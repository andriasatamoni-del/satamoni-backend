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vmlDrawing2.vml" ContentType="application/vnd.openxmlformats-officedocument.vmlDrawing"/>
  <Override PartName="/xl/charts/chart1.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التعليمات" sheetId="2" state="visible" r:id="rId4"/>
    <sheet name="المكونات" sheetId="3" state="visible" r:id="rId5"/>
    <sheet name="تغيّر الأسعار" sheetId="4" state="visible" r:id="rId6"/>
    <sheet name="تأثير الأسعار على الأصناف" sheetId="5" state="visible" r:id="rId7"/>
    <sheet name="المنيو" sheetId="6" state="visible" r:id="rId8"/>
    <sheet name="الريسبي" sheetId="7" state="visible" r:id="rId9"/>
    <sheet name="تحليل التكلفة والسعر" sheetId="8" state="visible" r:id="rId10"/>
    <sheet name="تكلفة العروض" sheetId="9" state="visible" r:id="rId11"/>
    <sheet name="تتبع الهدر" sheetId="10" state="visible" r:id="rId12"/>
    <sheet name="هندسة المنيو" sheetId="11" state="visible" r:id="rId13"/>
    <sheet name="المصروفات غير المباشرة" sheetId="12" state="visible" r:id="rId14"/>
    <sheet name="مقارنة الفروع" sheetId="13" state="visible" r:id="rId15"/>
    <sheet name="قائمة الدخل الشهرية" sheetId="14" state="visible" r:id="rId16"/>
    <sheet name="نقطة التعادل" sheetId="15" state="visible" r:id="rId17"/>
  </sheets>
  <definedNames>
    <definedName function="false" hidden="true" localSheetId="4" name="_xlnm._FilterDatabase" vbProcedure="false">'تأثير الأسعار على الأصناف'!$A$4:$J$175</definedName>
    <definedName function="false" hidden="true" localSheetId="3" name="_xlnm._FilterDatabase" vbProcedure="false">'تغيّر الأسعار'!$A$4:$J$113</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<sst xmlns="http://schemas.openxmlformats.org/spreadsheetml/2006/main" count="5297" uniqueCount="576">
  <si>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</si>
  <si>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</si>
  <si>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</si>
  <si>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</si>
  <si>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</si>
  <si>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</si>
  <si>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</si>
  <si>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</si>
  <si>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</si>
  <si>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</si>
  <si>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</si>
  <si>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</si>
  <si>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</si>
  <si>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</si>
  <si>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</si>
  <si>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</si>
  <si>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</si>
  <si>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</si>
  <si>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</si>
  <si>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</si>
  <si>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</si>
  <si>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</si>
  <si>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</si>
  <si>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</si>
  <si>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</si>
  <si>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</si>
  <si>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</si>
  <si>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</si>
  <si>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</si>
  <si>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</si>
  <si>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</si>
  <si>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</si>
  <si>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</si>
  <si>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</si>
  <si>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</si>
  <si>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</si>
  <si>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</si>
  <si>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</si>
  <si>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</si>
  <si>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</si>
  <si>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</si>
  <si>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</si>
  <si>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</si>
  <si>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</si>
  <si>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</si>
  <si>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</si>
  <si>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مهم</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</si>
  <si>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</si>
  <si>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</si>
  <si>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لسه أسعار يوليو لحد ما تتحدث.</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</si>
  <si>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</si>
  <si>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</si>
  <si>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</si>
  <si>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</si>
  <si>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</si>
  <si>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</si>
  <si>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</si>
  <si>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</si>
  <si>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متوسط تكلفة جرد 30-9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</si>
  <si>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</si>
  <si>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</si>
  <si>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</si>
  <si>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متوسط تكلفة جرد 30-9 (يوليو: 0.5). الوحدة تخمين من اسم الصنف - يُرجى التأكيد</t>
  </si>
  <si>
    <t xml:space="preserve">اكياس بيضاء</t>
  </si>
  <si>
    <t xml:space="preserve">[أكتوبر 2026] متوسط تكلفة جرد 30-9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</si>
  <si>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</si>
  <si>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</si>
  <si>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</si>
  <si>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</si>
  <si>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</si>
  <si>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</si>
  <si>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</si>
  <si>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</si>
  <si>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</si>
  <si>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</si>
  <si>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</si>
  <si>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</si>
  <si>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</si>
  <si>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</si>
  <si>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</si>
  <si>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</si>
  <si>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</si>
  <si>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</si>
  <si>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</si>
  <si>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</si>
  <si>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</si>
  <si>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</si>
  <si>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</si>
  <si>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</si>
  <si>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</si>
  <si>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</si>
  <si>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</si>
  <si>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</si>
  <si>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</si>
  <si>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</si>
  <si>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</si>
  <si>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</si>
  <si>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</si>
  <si>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</si>
  <si>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</si>
  <si>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</si>
  <si>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متوسط تكلفة جرد 30-9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</si>
  <si>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</si>
  <si>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</si>
  <si>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</si>
  <si>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</si>
  <si>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</si>
  <si>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</si>
  <si>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</si>
  <si>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</si>
  <si>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</si>
  <si>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</si>
  <si>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</si>
  <si>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</si>
  <si>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</si>
  <si>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</si>
  <si>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متوسط تكلفة جرد 30-9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</si>
  <si>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</si>
  <si>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</si>
  <si>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</si>
  <si>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</si>
  <si>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</si>
  <si>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</si>
  <si>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</si>
  <si>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</si>
  <si>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</si>
  <si>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</si>
  <si>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</si>
  <si>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متوسط تكلفة جرد 30-9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</si>
  <si>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</si>
  <si>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</si>
  <si>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</si>
  <si>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</si>
  <si>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</si>
  <si>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</si>
  <si>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</si>
  <si>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</si>
  <si>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</si>
  <si>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</si>
  <si>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</si>
  <si>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</si>
  <si>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</si>
  <si>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</si>
  <si>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</si>
  <si>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</si>
  <si>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</si>
  <si>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</si>
  <si>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</si>
  <si>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</si>
  <si>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</si>
  <si>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</si>
  <si>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</si>
  <si>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</si>
  <si>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</si>
  <si>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</si>
  <si>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[أكتوبر 2026] مشتريات 1-12 أكتوبر (يوليو: 120). الوحدة تخمين من اسم الصنف - يُرجى التأكيد</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</si>
  <si>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</si>
  <si>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</si>
  <si>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</si>
  <si>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</si>
  <si>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</si>
  <si>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</si>
  <si>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</si>
  <si>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</si>
  <si>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</si>
  <si>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</si>
  <si>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</si>
  <si>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</si>
  <si>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</si>
  <si>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</si>
  <si>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</si>
  <si>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</si>
  <si>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</si>
  <si>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</si>
  <si>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</si>
  <si>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متوسط تكلفة جرد 30-9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</si>
  <si>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</si>
  <si>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</si>
  <si>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</si>
  <si>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</si>
  <si>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</si>
  <si>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</si>
  <si>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</si>
  <si>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[أكتوبر 2026] مشتريات 1-12 أكتوبر (يوليو: 100). الوحدة تخمين من اسم الصنف - يُرجى التأكيد</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</si>
  <si>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</si>
  <si>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</si>
  <si>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</si>
  <si>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</si>
  <si>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</si>
  <si>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</si>
  <si>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</si>
  <si>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</si>
  <si>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</si>
  <si>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</si>
  <si>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</si>
  <si>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</si>
  <si>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</si>
  <si>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</si>
  <si>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</si>
  <si>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</si>
  <si>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</si>
  <si>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</si>
  <si>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</si>
  <si>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</si>
  <si>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</si>
  <si>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</si>
  <si>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</si>
  <si>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متوسط تكلفة جرد 30-9 (يوليو: 4.4). الوحدة تخمين من اسم الصنف - يُرجى التأكيد</t>
  </si>
  <si>
    <t xml:space="preserve">علب صوصات</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</si>
  <si>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</si>
  <si>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</si>
  <si>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</si>
  <si>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</si>
  <si>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</si>
  <si>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</si>
  <si>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</si>
  <si>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</si>
  <si>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</si>
  <si>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</si>
  <si>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</si>
  <si>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</si>
  <si>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</si>
  <si>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</si>
  <si>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</si>
  <si>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</si>
  <si>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</si>
  <si>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</si>
  <si>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</si>
  <si>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</si>
  <si>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</si>
  <si>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</si>
  <si>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</si>
  <si>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</si>
  <si>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</si>
  <si>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</si>
  <si>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</si>
  <si>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متوسط تكلفة جرد 30-9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</si>
  <si>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</si>
  <si>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</si>
  <si>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</si>
  <si>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</si>
  <si>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</si>
  <si>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</si>
  <si>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</si>
  <si>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</si>
  <si>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</si>
  <si>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</si>
  <si>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</si>
  <si>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</si>
  <si>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</si>
  <si>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</si>
  <si>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</si>
  <si>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</si>
  <si>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</si>
  <si>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</si>
  <si>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</si>
  <si>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</si>
  <si>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</si>
  <si>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متوسط تكلفة جرد 30-9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</si>
  <si>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</si>
  <si>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</si>
  <si>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</si>
  <si>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</si>
  <si>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</si>
  <si>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</si>
  <si>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</si>
  <si>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</si>
  <si>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</si>
  <si>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</si>
  <si>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</si>
  <si>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</si>
  <si>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</si>
  <si>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</si>
  <si>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</si>
  <si>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</si>
  <si>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</si>
  <si>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</si>
  <si>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</si>
  <si>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</si>
  <si>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</si>
  <si>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</si>
  <si>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</si>
  <si>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متوسط تكلفة جرد 30-9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</si>
  <si>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</si>
  <si>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</si>
  <si>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</si>
  <si>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</si>
  <si>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المكون</t>
  </si>
  <si>
    <t xml:space="preserve">الوحدة</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</si>
  <si>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</si>
  <si>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</si>
  <si>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</si>
  <si>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</si>
  <si>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</si>
  <si>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</si>
  <si>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</si>
  <si>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</si>
  <si>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متوسط تكلفة جرد 30-9</t>
  </si>
  <si>
    <t xml:space="preserve">⚠ تغير &gt;20% — اتأكد</t>
  </si>
  <si>
    <t xml:space="preserve">مشتريات 1-12 أكتوبر</t>
  </si>
  <si>
    <t xml:space="preserve">لم يتحدث (غير موجود في التقارير) — السعر القديم</t>
  </si>
  <si>
    <t xml:space="preserve">⚠ بدون تحديث — ابعت السعر</t>
  </si>
  <si>
    <t xml:space="preserve">تأثير أسعار أكتوبر على تكلفة الأصناف (أسعار البيع لسه يوليو لحد ما تتحدث)</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</si>
  <si>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</si>
  <si>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</si>
  <si>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</si>
  <si>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الحالي</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</si>
  <si>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</si>
  <si>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</si>
  <si>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</si>
  <si>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</si>
  <si>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</si>
  <si>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</si>
  <si>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</si>
  <si>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</si>
  <si>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</si>
  <si>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</si>
  <si>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</si>
  <si>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</si>
  <si>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</si>
  <si>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</si>
  <si>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</si>
  <si>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</si>
  <si>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</si>
  <si>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</si>
  <si>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</si>
  <si>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</si>
  <si>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</si>
  <si>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</si>
  <si>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</si>
  <si>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</si>
  <si>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</si>
  <si>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</si>
  <si>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</si>
  <si>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</si>
  <si>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</si>
  <si>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</si>
  <si>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</si>
  <si>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</si>
  <si>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</si>
  <si>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</si>
  <si>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</si>
  <si>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</si>
  <si>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</si>
  <si>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</si>
  <si>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</si>
  <si>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</si>
  <si>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</si>
  <si>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</si>
  <si>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</si>
  <si>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</si>
  <si>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</si>
  <si>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</si>
  <si>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</si>
  <si>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</si>
  <si>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</si>
  <si>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</si>
  <si>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</si>
  <si>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</si>
  <si>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</si>
  <si>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</si>
  <si>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</si>
  <si>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</si>
  <si>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</si>
  <si>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</si>
  <si>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</si>
  <si>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</si>
  <si>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</si>
  <si>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</si>
  <si>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</si>
  <si>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</si>
  <si>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</si>
  <si>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</si>
  <si>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</si>
  <si>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</si>
  <si>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</si>
  <si>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</si>
  <si>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</si>
  <si>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</si>
  <si>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</si>
  <si>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</si>
  <si>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</si>
  <si>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</si>
  <si>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</si>
  <si>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</si>
  <si>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</si>
  <si>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</si>
  <si>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</si>
  <si>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</si>
  <si>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</si>
  <si>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</si>
  <si>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</si>
  <si>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</si>
  <si>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</si>
  <si>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</si>
  <si>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</si>
  <si>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</si>
  <si>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</si>
  <si>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</si>
  <si>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</si>
  <si>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</si>
  <si>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</si>
  <si>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</si>
  <si>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</si>
  <si>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</si>
  <si>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</si>
  <si>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</si>
  <si>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</si>
  <si>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</si>
  <si>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</si>
  <si>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</si>
  <si>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</si>
  <si>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</si>
  <si>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</si>
  <si>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</si>
  <si>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</si>
  <si>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</si>
  <si>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</si>
  <si>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</si>
  <si>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</si>
  <si>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</si>
  <si>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</si>
  <si>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</si>
  <si>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</si>
  <si>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</si>
  <si>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</si>
  <si>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</si>
  <si>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</si>
  <si>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</si>
  <si>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</si>
  <si>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</si>
  <si>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</si>
  <si>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</si>
  <si>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</si>
  <si>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</si>
  <si>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</si>
  <si>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</si>
  <si>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</si>
  <si>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</si>
  <si>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</si>
  <si>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</si>
  <si>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</si>
  <si>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</si>
  <si>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</si>
  <si>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</si>
  <si>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</si>
  <si>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</si>
  <si>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</si>
  <si>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</si>
  <si>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</si>
  <si>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</si>
  <si>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</si>
  <si>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</si>
  <si>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</si>
  <si>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</si>
  <si>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</si>
  <si>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</si>
  <si>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</si>
  <si>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</si>
  <si>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</si>
  <si>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</si>
  <si>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</si>
  <si>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</si>
  <si>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</si>
  <si>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</si>
  <si>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</si>
  <si>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</si>
  <si>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</si>
  <si>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</si>
  <si>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</si>
  <si>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</si>
  <si>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</si>
  <si>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</si>
  <si>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</si>
  <si>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</si>
  <si>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</si>
  <si>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</si>
  <si>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</si>
  <si>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</si>
  <si>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</si>
  <si>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</si>
  <si>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</si>
  <si>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</si>
  <si>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</si>
  <si>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</si>
  <si>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</si>
  <si>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</si>
  <si>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</si>
  <si>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</si>
  <si>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</si>
  <si>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</si>
  <si>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</si>
  <si>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</si>
  <si>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</si>
  <si>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</si>
  <si>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</si>
  <si>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</si>
  <si>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</si>
  <si>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</si>
  <si>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</si>
  <si>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</si>
  <si>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</si>
  <si>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</si>
  <si>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</si>
  <si>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</si>
  <si>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</si>
  <si>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</si>
  <si>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</si>
  <si>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</si>
  <si>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</si>
  <si>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</si>
  <si>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</si>
  <si>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</si>
  <si>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</si>
  <si>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</si>
  <si>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</si>
  <si>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</si>
  <si>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</si>
  <si>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</si>
  <si>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</si>
  <si>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</si>
  <si>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</si>
  <si>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</si>
  <si>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</si>
  <si>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</si>
  <si>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</si>
  <si>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</si>
  <si>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</si>
  <si>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</si>
  <si>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</si>
  <si>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</si>
  <si>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</si>
  <si>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</si>
  <si>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</si>
  <si>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</si>
  <si>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</si>
  <si>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</si>
  <si>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</si>
  <si>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</si>
  <si>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</si>
  <si>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</si>
  <si>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</si>
  <si>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</si>
  <si>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</si>
  <si>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</si>
  <si>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</si>
  <si>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</si>
  <si>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</si>
  <si>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</si>
  <si>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</si>
  <si>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محرم بك</t>
  </si>
  <si>
    <t xml:space="preserve">ابراهيمية</t>
  </si>
  <si>
    <t xml:space="preserve">عصافرة</t>
  </si>
  <si>
    <t xml:space="preserve">المطبخ المركزي</t>
  </si>
  <si>
    <t xml:space="preserve">ملحوظة: إجمالي المشتريات وقيمة الجرد بيانات حقيقية من تقارير يوليو 2026 (1-31 يوليو) لكل فرع.</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</si>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</sst>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yyyy\-mm\-dd"/>
    <numFmt numFmtId="169" formatCode="#,##0.00;\(#,##0.00\);\-"/>
    <numFmt numFmtId="170" formatCode="0.0%;\-0.0%;\-"/>
    <numFmt numFmtId="171" formatCode="0.00%"/>
    <numFmt numFmtId="172" formatCode="#,##0.0000"/>
    <numFmt numFmtId="173" formatCode="#,##0.000"/>
  </numFmts>
  <fonts count="31">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6"/>
      <color rgb="FF1F2937"/>
      <name val="Arial"/>
      <family val="0"/>
      <charset val="1"/>
    </font>
    <font>
      <b val="true"/>
      <sz val="11"/>
      <name val="Arial"/>
      <family val="0"/>
      <charset val="1"/>
    </font>
    <font>
      <sz val="11"/>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i val="true"/>
      <sz val="10"/>
      <name val="Arial"/>
      <family val="0"/>
      <charset val="1"/>
    </font>
    <font>
      <b val="true"/>
      <sz val="11"/>
      <color rgb="FFFFFFFF"/>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s>
  <fills count="9">
    <fill>
      <patternFill patternType="none"/>
    </fill>
    <fill>
      <patternFill patternType="gray125"/>
    </fill>
    <fill>
      <patternFill patternType="solid">
        <fgColor rgb="FFF3F4F6"/>
        <bgColor rgb="FFE8F0FE"/>
      </patternFill>
    </fill>
    <fill>
      <patternFill patternType="solid">
        <fgColor rgb="FFD9D9D9"/>
        <bgColor rgb="FFBDD7EE"/>
      </patternFill>
    </fill>
    <fill>
      <patternFill patternType="solid">
        <fgColor rgb="FF1F2937"/>
        <bgColor rgb="FF333300"/>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F3F4F6"/>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true" indent="0" shrinkToFit="false"/>
      <protection locked="true" hidden="false"/>
    </xf>
    <xf numFmtId="164" fontId="22" fillId="5"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22" fillId="0" borderId="1" xfId="0" applyFont="true" applyBorder="true" applyAlignment="true" applyProtection="false">
      <alignment horizontal="right" vertical="center" textRotation="0" wrapText="true" indent="0" shrinkToFit="false"/>
      <protection locked="true" hidden="false"/>
    </xf>
    <xf numFmtId="167" fontId="12" fillId="6" borderId="1" xfId="0" applyFont="true" applyBorder="true" applyAlignment="true" applyProtection="false">
      <alignment horizontal="right" vertical="center" textRotation="0" wrapText="true" indent="0" shrinkToFit="false"/>
      <protection locked="true" hidden="false"/>
    </xf>
    <xf numFmtId="167" fontId="22" fillId="0" borderId="1" xfId="0" applyFont="true" applyBorder="true" applyAlignment="true" applyProtection="false">
      <alignment horizontal="right" vertical="center" textRotation="0" wrapText="true" indent="0" shrinkToFit="false"/>
      <protection locked="true" hidden="false"/>
    </xf>
    <xf numFmtId="168" fontId="22" fillId="0" borderId="1"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right" vertical="top" textRotation="0" wrapText="true" indent="0" shrinkToFit="false"/>
      <protection locked="true" hidden="false"/>
    </xf>
    <xf numFmtId="164" fontId="27" fillId="4"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9" fontId="2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xf numFmtId="170" fontId="12" fillId="0" borderId="0" xfId="0" applyFont="true" applyBorder="false" applyAlignment="true" applyProtection="false">
      <alignment horizontal="center" vertical="bottom" textRotation="0" wrapText="false" indent="0" shrinkToFit="false"/>
      <protection locked="true" hidden="false"/>
    </xf>
    <xf numFmtId="164" fontId="12" fillId="6" borderId="0" xfId="0" applyFont="true" applyBorder="false" applyAlignment="true" applyProtection="false">
      <alignment horizontal="right"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right" vertical="bottom" textRotation="0" wrapText="false" indent="0" shrinkToFit="false"/>
      <protection locked="true" hidden="false"/>
    </xf>
    <xf numFmtId="169" fontId="21" fillId="0" borderId="0" xfId="0" applyFont="true" applyBorder="false" applyAlignment="true" applyProtection="false">
      <alignment horizontal="center" vertical="bottom" textRotation="0" wrapText="false" indent="0" shrinkToFit="false"/>
      <protection locked="true" hidden="false"/>
    </xf>
    <xf numFmtId="170" fontId="21" fillId="0" borderId="0" xfId="0" applyFont="true" applyBorder="false" applyAlignment="true" applyProtection="false">
      <alignment horizontal="center" vertical="bottom" textRotation="0" wrapText="false" indent="0" shrinkToFit="false"/>
      <protection locked="true" hidden="false"/>
    </xf>
    <xf numFmtId="164" fontId="22" fillId="8" borderId="1" xfId="0" applyFont="true" applyBorder="true" applyAlignment="true" applyProtection="false">
      <alignment horizontal="right" vertical="center" textRotation="0" wrapText="true" indent="0" shrinkToFit="false"/>
      <protection locked="true" hidden="false"/>
    </xf>
    <xf numFmtId="164" fontId="28" fillId="8" borderId="1" xfId="0" applyFont="true" applyBorder="true" applyAlignment="true" applyProtection="false">
      <alignment horizontal="right" vertical="center" textRotation="0" wrapText="true" indent="0" shrinkToFit="false"/>
      <protection locked="true" hidden="false"/>
    </xf>
    <xf numFmtId="167" fontId="28" fillId="8" borderId="1" xfId="0" applyFont="true" applyBorder="true" applyAlignment="true" applyProtection="false">
      <alignment horizontal="right" vertical="center" textRotation="0" wrapText="true" indent="0" shrinkToFit="false"/>
      <protection locked="true" hidden="false"/>
    </xf>
    <xf numFmtId="167" fontId="12" fillId="8" borderId="1" xfId="0" applyFont="true" applyBorder="true" applyAlignment="true" applyProtection="false">
      <alignment horizontal="right" vertical="center" textRotation="0" wrapText="tru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7" fontId="28" fillId="0" borderId="1" xfId="0" applyFont="true" applyBorder="true" applyAlignment="true" applyProtection="false">
      <alignment horizontal="right"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6" fontId="22" fillId="5"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right" vertical="center" textRotation="0" wrapText="true" indent="0" shrinkToFit="false"/>
      <protection locked="true" hidden="false"/>
    </xf>
    <xf numFmtId="172" fontId="22" fillId="5" borderId="1" xfId="0" applyFont="true" applyBorder="true" applyAlignment="true" applyProtection="false">
      <alignment horizontal="center" vertical="center" textRotation="0" wrapText="true" indent="0" shrinkToFit="false"/>
      <protection locked="true" hidden="false"/>
    </xf>
    <xf numFmtId="166" fontId="28" fillId="0" borderId="1" xfId="0" applyFont="true" applyBorder="true" applyAlignment="true" applyProtection="false">
      <alignment horizontal="center" vertical="center" textRotation="0" wrapText="true" indent="0" shrinkToFit="false"/>
      <protection locked="true" hidden="false"/>
    </xf>
    <xf numFmtId="172" fontId="28" fillId="0" borderId="1" xfId="0" applyFont="true" applyBorder="true" applyAlignment="true" applyProtection="false">
      <alignment horizontal="center" vertical="center" textRotation="0" wrapText="true" indent="0" shrinkToFit="false"/>
      <protection locked="true" hidden="false"/>
    </xf>
    <xf numFmtId="167" fontId="22" fillId="8" borderId="1" xfId="0" applyFont="true" applyBorder="true" applyAlignment="true" applyProtection="false">
      <alignment horizontal="right" vertical="center" textRotation="0" wrapText="true" indent="0" shrinkToFit="false"/>
      <protection locked="true" hidden="false"/>
    </xf>
    <xf numFmtId="166" fontId="12" fillId="8" borderId="1" xfId="0" applyFont="true" applyBorder="true" applyAlignment="true" applyProtection="false">
      <alignment horizontal="right" vertical="center" textRotation="0" wrapText="tru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73" fontId="22" fillId="0" borderId="1" xfId="0" applyFont="true" applyBorder="true" applyAlignment="true" applyProtection="false">
      <alignment horizontal="right" vertical="center" textRotation="0" wrapText="true" indent="0" shrinkToFit="false"/>
      <protection locked="true" hidden="false"/>
    </xf>
    <xf numFmtId="173" fontId="12" fillId="0" borderId="1" xfId="0" applyFont="true" applyBorder="true" applyAlignment="true" applyProtection="false">
      <alignment horizontal="right" vertical="center" textRotation="0" wrapText="true" indent="0" shrinkToFit="false"/>
      <protection locked="true" hidden="false"/>
    </xf>
    <xf numFmtId="167" fontId="22" fillId="5"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28" fillId="0" borderId="1" xfId="0" applyFont="true" applyBorder="true" applyAlignment="true" applyProtection="false">
      <alignment horizontal="right" vertical="center" textRotation="0" wrapText="true" indent="0" shrinkToFit="false"/>
      <protection locked="true" hidden="false"/>
    </xf>
    <xf numFmtId="166" fontId="22" fillId="5"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s>
  <colors>
    <indexedColors>
      <rgbColor rgb="FF000000"/>
      <rgbColor rgb="FFFFFFFF"/>
      <rgbColor rgb="FFDC2626"/>
      <rgbColor rgb="FF00FF00"/>
      <rgbColor rgb="FF0000FF"/>
      <rgbColor rgb="FFFFFF00"/>
      <rgbColor rgb="FFFF00FF"/>
      <rgbColor rgb="FF00FFFF"/>
      <rgbColor rgb="FF9C0006"/>
      <rgbColor rgb="FF008000"/>
      <rgbColor rgb="FF000080"/>
      <rgbColor rgb="FF9C6500"/>
      <rgbColor rgb="FF800080"/>
      <rgbColor rgb="FF008080"/>
      <rgbColor rgb="FFB7B7B7"/>
      <rgbColor rgb="FF878787"/>
      <rgbColor rgb="FF9999FF"/>
      <rgbColor rgb="FF9333EA"/>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1F6FEB"/>
      <rgbColor rgb="FF33CCCC"/>
      <rgbColor rgb="FF99CC00"/>
      <rgbColor rgb="FFFFCC00"/>
      <rgbColor rgb="FFFF9900"/>
      <rgbColor rgb="FFFF6600"/>
      <rgbColor rgb="FF6B7280"/>
      <rgbColor rgb="FF4F81BD"/>
      <rgbColor rgb="FF003366"/>
      <rgbColor rgb="FF16A34A"/>
      <rgbColor rgb="FF0061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0.546055655769989</c:v>
                </c:pt>
                <c:pt idx="1">
                  <c:v>0.545396859836959</c:v>
                </c:pt>
                <c:pt idx="2">
                  <c:v>0.565246253135328</c:v>
                </c:pt>
                <c:pt idx="3">
                  <c:v>0.570625067956349</c:v>
                </c:pt>
                <c:pt idx="4">
                  <c:v>0.579153747501257</c:v>
                </c:pt>
                <c:pt idx="5">
                  <c:v>0.657360109354414</c:v>
                </c:pt>
                <c:pt idx="6">
                  <c:v>0.530554041666667</c:v>
                </c:pt>
                <c:pt idx="7">
                  <c:v>0.480038343784097</c:v>
                </c:pt>
                <c:pt idx="8">
                  <c:v>0.459892789698974</c:v>
                </c:pt>
                <c:pt idx="9">
                  <c:v>0.454607999465812</c:v>
                </c:pt>
                <c:pt idx="10">
                  <c:v>0.442755052083333</c:v>
                </c:pt>
                <c:pt idx="11">
                  <c:v>0.475268923333333</c:v>
                </c:pt>
              </c:numCache>
            </c:numRef>
          </c:val>
        </c:ser>
        <c:gapWidth val="150"/>
        <c:overlap val="0"/>
        <c:axId val="21438714"/>
        <c:axId val="49516850"/>
      </c:barChart>
      <c:catAx>
        <c:axId val="2143871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516850"/>
        <c:crosses val="autoZero"/>
        <c:auto val="1"/>
        <c:lblAlgn val="ctr"/>
        <c:lblOffset val="100"/>
        <c:noMultiLvlLbl val="0"/>
      </c:catAx>
      <c:valAx>
        <c:axId val="495168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43871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-610920</xdr:colOff>
      <xdr:row>6</xdr:row>
      <xdr:rowOff>0</xdr:rowOff>
    </xdr:from>
    <xdr:to>
      <xdr:col>12</xdr:col>
      <xdr:colOff>-1340280</xdr:colOff>
      <xdr:row>20</xdr:row>
      <xdr:rowOff>97920</xdr:rowOff>
    </xdr:to>
    <xdr:graphicFrame>
      <xdr:nvGraphicFramePr>
        <xdr:cNvPr id="0" name="Chart 1"/>
        <xdr:cNvGraphicFramePr/>
      </xdr:nvGraphicFramePr>
      <xdr:xfrm>
        <a:off x="-13161240" y="1647720"/>
        <a:ext cx="575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171</v>
      </c>
      <c r="B4" s="5" t="n">
        <f aca="false">IFERROR(AVERAGEIFS('تحليل التكلفة والسعر'!$E$2:$E$700,'تحليل التكلفة والسعر'!$C$2:$C$700,"&gt;0"),"")</f>
        <v>0.51307795619249</v>
      </c>
      <c r="C4" s="6" t="n">
        <f aca="false">IFERROR(AVERAGEIFS('تحليل التكلفة والسعر'!$K$2:$K$700,'تحليل التكلفة والسعر'!$C$2:$C$700,"&gt;0"),"")</f>
        <v>0.76307795619249</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154</v>
      </c>
      <c r="E4" s="8" t="n">
        <f aca="false">IFERROR(AVERAGEIFS('تحليل التكلفة والسعر'!$I$2:$I$700,'تحليل التكلفة والسعر'!$C$2:$C$700,"&gt;0"),"")</f>
        <v>0.48692204380751</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0.546055655769989</v>
      </c>
      <c r="D8" s="12" t="n">
        <f aca="false">IFERROR(AVERAGEIFS('تحليل التكلفة والسعر'!$K$2:$K$700,'تحليل التكلفة والسعر'!$A$2:$A$700,$A8,'تحليل التكلفة والسعر'!$C$2:$C$700,"&gt;0"),"")</f>
        <v>0.796055655769989</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0.545396859836959</v>
      </c>
      <c r="D9" s="12" t="n">
        <f aca="false">IFERROR(AVERAGEIFS('تحليل التكلفة والسعر'!$K$2:$K$700,'تحليل التكلفة والسعر'!$A$2:$A$700,$A9,'تحليل التكلفة والسعر'!$C$2:$C$700,"&gt;0"),"")</f>
        <v>0.795396859836959</v>
      </c>
    </row>
    <row r="10" customFormat="false" ht="15" hidden="false" customHeight="true" outlineLevel="0" collapsed="false">
      <c r="A10" s="11" t="s">
        <v>11</v>
      </c>
      <c r="B10" s="11" t="n">
        <f aca="false">COUNTIF('تحليل التكلفة والسعر'!$A$2:$A$700,$A10)</f>
        <v>6</v>
      </c>
      <c r="C10" s="12" t="n">
        <f aca="false">IFERROR(AVERAGEIFS('تحليل التكلفة والسعر'!$E$2:$E$700,'تحليل التكلفة والسعر'!$A$2:$A$700,$A10,'تحليل التكلفة والسعر'!$C$2:$C$700,"&gt;0"),"")</f>
        <v>0.565246253135328</v>
      </c>
      <c r="D10" s="12" t="n">
        <f aca="false">IFERROR(AVERAGEIFS('تحليل التكلفة والسعر'!$K$2:$K$700,'تحليل التكلفة والسعر'!$A$2:$A$700,$A10,'تحليل التكلفة والسعر'!$C$2:$C$700,"&gt;0"),"")</f>
        <v>0.815246253135328</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0.570625067956349</v>
      </c>
      <c r="D11" s="12" t="n">
        <f aca="false">IFERROR(AVERAGEIFS('تحليل التكلفة والسعر'!$K$2:$K$700,'تحليل التكلفة والسعر'!$A$2:$A$700,$A11,'تحليل التكلفة والسعر'!$C$2:$C$700,"&gt;0"),"")</f>
        <v>0.820625067956349</v>
      </c>
    </row>
    <row r="12" customFormat="false" ht="15" hidden="false" customHeight="true" outlineLevel="0" collapsed="false">
      <c r="A12" s="11" t="s">
        <v>13</v>
      </c>
      <c r="B12" s="11" t="n">
        <f aca="false">COUNTIF('تحليل التكلفة والسعر'!$A$2:$A$700,$A12)</f>
        <v>6</v>
      </c>
      <c r="C12" s="12" t="n">
        <f aca="false">IFERROR(AVERAGEIFS('تحليل التكلفة والسعر'!$E$2:$E$700,'تحليل التكلفة والسعر'!$A$2:$A$700,$A12,'تحليل التكلفة والسعر'!$C$2:$C$700,"&gt;0"),"")</f>
        <v>0.579153747501257</v>
      </c>
      <c r="D12" s="12" t="n">
        <f aca="false">IFERROR(AVERAGEIFS('تحليل التكلفة والسعر'!$K$2:$K$700,'تحليل التكلفة والسعر'!$A$2:$A$700,$A12,'تحليل التكلفة والسعر'!$C$2:$C$700,"&gt;0"),"")</f>
        <v>0.829153747501257</v>
      </c>
    </row>
    <row r="13" customFormat="false" ht="15" hidden="false" customHeight="true" outlineLevel="0" collapsed="false">
      <c r="A13" s="11" t="s">
        <v>14</v>
      </c>
      <c r="B13" s="11" t="n">
        <f aca="false">COUNTIF('تحليل التكلفة والسعر'!$A$2:$A$700,$A13)</f>
        <v>6</v>
      </c>
      <c r="C13" s="12" t="n">
        <f aca="false">IFERROR(AVERAGEIFS('تحليل التكلفة والسعر'!$E$2:$E$700,'تحليل التكلفة والسعر'!$A$2:$A$700,$A13,'تحليل التكلفة والسعر'!$C$2:$C$700,"&gt;0"),"")</f>
        <v>0.657360109354414</v>
      </c>
      <c r="D13" s="12" t="n">
        <f aca="false">IFERROR(AVERAGEIFS('تحليل التكلفة والسعر'!$K$2:$K$700,'تحليل التكلفة والسعر'!$A$2:$A$700,$A13,'تحليل التكلفة والسعر'!$C$2:$C$700,"&gt;0"),"")</f>
        <v>0.907360109354414</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0.530554041666667</v>
      </c>
      <c r="D14" s="12" t="n">
        <f aca="false">IFERROR(AVERAGEIFS('تحليل التكلفة والسعر'!$K$2:$K$700,'تحليل التكلفة والسعر'!$A$2:$A$700,$A14,'تحليل التكلفة والسعر'!$C$2:$C$700,"&gt;0"),"")</f>
        <v>0.780554041666667</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0.480038343784097</v>
      </c>
      <c r="D15" s="12" t="n">
        <f aca="false">IFERROR(AVERAGEIFS('تحليل التكلفة والسعر'!$K$2:$K$700,'تحليل التكلفة والسعر'!$A$2:$A$700,$A15,'تحليل التكلفة والسعر'!$C$2:$C$700,"&gt;0"),"")</f>
        <v>0.730038343784097</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0.459892789698974</v>
      </c>
      <c r="D16" s="12" t="n">
        <f aca="false">IFERROR(AVERAGEIFS('تحليل التكلفة والسعر'!$K$2:$K$700,'تحليل التكلفة والسعر'!$A$2:$A$700,$A16,'تحليل التكلفة والسعر'!$C$2:$C$700,"&gt;0"),"")</f>
        <v>0.709892789698974</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0.454607999465812</v>
      </c>
      <c r="D17" s="12" t="n">
        <f aca="false">IFERROR(AVERAGEIFS('تحليل التكلفة والسعر'!$K$2:$K$700,'تحليل التكلفة والسعر'!$A$2:$A$700,$A17,'تحليل التكلفة والسعر'!$C$2:$C$700,"&gt;0"),"")</f>
        <v>0.704607999465812</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0.442755052083333</v>
      </c>
      <c r="D18" s="12" t="n">
        <f aca="false">IFERROR(AVERAGEIFS('تحليل التكلفة والسعر'!$K$2:$K$700,'تحليل التكلفة والسعر'!$A$2:$A$700,$A18,'تحليل التكلفة والسعر'!$C$2:$C$700,"&gt;0"),"")</f>
        <v>0.692755052083333</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0.475268923333333</v>
      </c>
      <c r="D19" s="12" t="n">
        <f aca="false">IFERROR(AVERAGEIFS('تحليل التكلفة والسعر'!$K$2:$K$700,'تحليل التكلفة والسعر'!$A$2:$A$700,$A19,'تحليل التكلفة والسعر'!$C$2:$C$700,"&gt;0"),"")</f>
        <v>0.725268923333333</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0.502459690219907</v>
      </c>
      <c r="D20" s="12" t="n">
        <f aca="false">IFERROR(AVERAGEIFS('تحليل التكلفة والسعر'!$K$2:$K$700,'تحليل التكلفة والسعر'!$A$2:$A$700,$A20,'تحليل التكلفة والسعر'!$C$2:$C$700,"&gt;0"),"")</f>
        <v>0.752459690219907</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فراخ كريسبي (فطير كبير)</v>
      </c>
      <c r="B25" s="13" t="n">
        <f aca="false">IFERROR(INDEX('تحليل التكلفة والسعر'!$D$2:$D$700,MATCH(LARGE('تحليل التكلفة والسعر'!$L$2:$L$700,1),'تحليل التكلفة والسعر'!$L$2:$L$700,0)),"")</f>
        <v>120</v>
      </c>
      <c r="C25" s="12" t="n">
        <f aca="false">IFERROR(INDEX('تحليل التكلفة والسعر'!$E$2:$E$700,MATCH(LARGE('تحليل التكلفة والسعر'!$L$2:$L$700,1),'تحليل التكلفة والسعر'!$L$2:$L$700,0)),"")</f>
        <v>0.2494325</v>
      </c>
      <c r="D25" s="12" t="n">
        <f aca="false">IFERROR(INDEX('تحليل التكلفة والسعر'!$I$2:$I$700,MATCH(LARGE('تحليل التكلفة والسعر'!$L$2:$L$700,1),'تحليل التكلفة والسعر'!$L$2:$L$700,0)),"")</f>
        <v>0.7505675</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اضافة حشو للاطراف (Small)</v>
      </c>
      <c r="B26" s="13" t="n">
        <f aca="false">IFERROR(INDEX('تحليل التكلفة والسعر'!$D$2:$D$700,MATCH(LARGE('تحليل التكلفة والسعر'!$L$2:$L$700,2),'تحليل التكلفة والسعر'!$L$2:$L$700,0)),"")</f>
        <v>40</v>
      </c>
      <c r="C26" s="12" t="n">
        <f aca="false">IFERROR(INDEX('تحليل التكلفة والسعر'!$E$2:$E$700,MATCH(LARGE('تحليل التكلفة والسعر'!$L$2:$L$700,2),'تحليل التكلفة والسعر'!$L$2:$L$700,0)),"")</f>
        <v>0.2732975</v>
      </c>
      <c r="D26" s="12" t="n">
        <f aca="false">IFERROR(INDEX('تحليل التكلفة والسعر'!$I$2:$I$700,MATCH(LARGE('تحليل التكلفة والسعر'!$L$2:$L$700,2),'تحليل التكلفة والسعر'!$L$2:$L$700,0)),"")</f>
        <v>0.7267025</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جبنة رومي (فطير كبير)</v>
      </c>
      <c r="B27" s="13" t="n">
        <f aca="false">IFERROR(INDEX('تحليل التكلفة والسعر'!$D$2:$D$700,MATCH(LARGE('تحليل التكلفة والسعر'!$L$2:$L$700,3),'تحليل التكلفة والسعر'!$L$2:$L$700,0)),"")</f>
        <v>45</v>
      </c>
      <c r="C27" s="12" t="n">
        <f aca="false">IFERROR(INDEX('تحليل التكلفة والسعر'!$E$2:$E$700,MATCH(LARGE('تحليل التكلفة والسعر'!$L$2:$L$700,3),'تحليل التكلفة والسعر'!$L$2:$L$700,0)),"")</f>
        <v>0.320708888888889</v>
      </c>
      <c r="D27" s="12" t="n">
        <f aca="false">IFERROR(INDEX('تحليل التكلفة والسعر'!$I$2:$I$700,MATCH(LARGE('تحليل التكلفة والسعر'!$L$2:$L$700,3),'تحليل التكلفة والسعر'!$L$2:$L$700,0)),"")</f>
        <v>0.679291111111111</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مشروم (فطير كبير)</v>
      </c>
      <c r="B28" s="13" t="n">
        <f aca="false">IFERROR(INDEX('تحليل التكلفة والسعر'!$D$2:$D$700,MATCH(LARGE('تحليل التكلفة والسعر'!$L$2:$L$700,4),'تحليل التكلفة والسعر'!$L$2:$L$700,0)),"")</f>
        <v>45</v>
      </c>
      <c r="C28" s="12" t="n">
        <f aca="false">IFERROR(INDEX('تحليل التكلفة والسعر'!$E$2:$E$700,MATCH(LARGE('تحليل التكلفة والسعر'!$L$2:$L$700,4),'تحليل التكلفة والسعر'!$L$2:$L$700,0)),"")</f>
        <v>0.323114288888889</v>
      </c>
      <c r="D28" s="12" t="n">
        <f aca="false">IFERROR(INDEX('تحليل التكلفة والسعر'!$I$2:$I$700,MATCH(LARGE('تحليل التكلفة والسعر'!$L$2:$L$700,4),'تحليل التكلفة والسعر'!$L$2:$L$700,0)),"")</f>
        <v>0.676885711111111</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مشروم (بيتزا كبير)</v>
      </c>
      <c r="B29" s="13" t="n">
        <f aca="false">IFERROR(INDEX('تحليل التكلفة والسعر'!$D$2:$D$700,MATCH(LARGE('تحليل التكلفة والسعر'!$L$2:$L$700,5),'تحليل التكلفة والسعر'!$L$2:$L$700,0)),"")</f>
        <v>45</v>
      </c>
      <c r="C29" s="12" t="n">
        <f aca="false">IFERROR(INDEX('تحليل التكلفة والسعر'!$E$2:$E$700,MATCH(LARGE('تحليل التكلفة والسعر'!$L$2:$L$700,5),'تحليل التكلفة والسعر'!$L$2:$L$700,0)),"")</f>
        <v>0.323114288888889</v>
      </c>
      <c r="D29" s="12" t="n">
        <f aca="false">IFERROR(INDEX('تحليل التكلفة والسعر'!$I$2:$I$700,MATCH(LARGE('تحليل التكلفة والسعر'!$L$2:$L$700,5),'تحليل التكلفة والسعر'!$L$2:$L$700,0)),"")</f>
        <v>0.676885711111111</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1.1800825</v>
      </c>
      <c r="D33" s="12" t="n">
        <f aca="false">IFERROR(INDEX('تحليل التكلفة والسعر'!$I$2:$I$700,MATCH(SMALL('تحليل التكلفة والسعر'!$L$2:$L$700,1),'تحليل التكلفة والسعر'!$L$2:$L$700,0)),"")</f>
        <v>-0.1800825</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بيبسي لتر</v>
      </c>
      <c r="B34" s="13" t="n">
        <f aca="false">IFERROR(INDEX('تحليل التكلفة والسعر'!$D$2:$D$700,MATCH(SMALL('تحليل التكلفة والسعر'!$L$2:$L$700,2),'تحليل التكلفة والسعر'!$L$2:$L$700,0)),"")</f>
        <v>35</v>
      </c>
      <c r="C34" s="12" t="n">
        <f aca="false">IFERROR(INDEX('تحليل التكلفة والسعر'!$E$2:$E$700,MATCH(SMALL('تحليل التكلفة والسعر'!$L$2:$L$700,2),'تحليل التكلفة والسعر'!$L$2:$L$700,0)),"")</f>
        <v>0.883768571428571</v>
      </c>
      <c r="D34" s="12" t="n">
        <f aca="false">IFERROR(INDEX('تحليل التكلفة والسعر'!$I$2:$I$700,MATCH(SMALL('تحليل التكلفة والسعر'!$L$2:$L$700,2),'تحليل التكلفة والسعر'!$L$2:$L$700,0)),"")</f>
        <v>0.116231428571429</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بيبسي كانز</v>
      </c>
      <c r="B35" s="13" t="n">
        <f aca="false">IFERROR(INDEX('تحليل التكلفة والسعر'!$D$2:$D$700,MATCH(SMALL('تحليل التكلفة والسعر'!$L$2:$L$700,3),'تحليل التكلفة والسعر'!$L$2:$L$700,0)),"")</f>
        <v>20</v>
      </c>
      <c r="C35" s="12" t="n">
        <f aca="false">IFERROR(INDEX('تحليل التكلفة والسعر'!$E$2:$E$700,MATCH(SMALL('تحليل التكلفة والسعر'!$L$2:$L$700,3),'تحليل التكلفة والسعر'!$L$2:$L$700,0)),"")</f>
        <v>0.824375</v>
      </c>
      <c r="D35" s="12" t="n">
        <f aca="false">IFERROR(INDEX('تحليل التكلفة والسعر'!$I$2:$I$700,MATCH(SMALL('تحليل التكلفة والسعر'!$L$2:$L$700,3),'تحليل التكلفة والسعر'!$L$2:$L$700,0)),"")</f>
        <v>0.175625</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اضافة جمبري (بيتزا وسط)</v>
      </c>
      <c r="B36" s="13" t="n">
        <f aca="false">IFERROR(INDEX('تحليل التكلفة والسعر'!$D$2:$D$700,MATCH(SMALL('تحليل التكلفة والسعر'!$L$2:$L$700,4),'تحليل التكلفة والسعر'!$L$2:$L$700,0)),"")</f>
        <v>130</v>
      </c>
      <c r="C36" s="12" t="n">
        <f aca="false">IFERROR(INDEX('تحليل التكلفة والسعر'!$E$2:$E$700,MATCH(SMALL('تحليل التكلفة والسعر'!$L$2:$L$700,4),'تحليل التكلفة والسعر'!$L$2:$L$700,0)),"")</f>
        <v>0.737937692307692</v>
      </c>
      <c r="D36" s="12" t="n">
        <f aca="false">IFERROR(INDEX('تحليل التكلفة والسعر'!$I$2:$I$700,MATCH(SMALL('تحليل التكلفة والسعر'!$L$2:$L$700,4),'تحليل التكلفة والسعر'!$L$2:$L$700,0)),"")</f>
        <v>0.262062307692308</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فطيرة مشلتت بالسمنة البلدي صغير</v>
      </c>
      <c r="B37" s="13" t="n">
        <f aca="false">IFERROR(INDEX('تحليل التكلفة والسعر'!$D$2:$D$700,MATCH(SMALL('تحليل التكلفة والسعر'!$L$2:$L$700,5),'تحليل التكلفة والسعر'!$L$2:$L$700,0)),"")</f>
        <v>60</v>
      </c>
      <c r="C37" s="12" t="n">
        <f aca="false">IFERROR(INDEX('تحليل التكلفة والسعر'!$E$2:$E$700,MATCH(SMALL('تحليل التكلفة والسعر'!$L$2:$L$700,5),'تحليل التكلفة والسعر'!$L$2:$L$700,0)),"")</f>
        <v>0.711631666666667</v>
      </c>
      <c r="D37" s="12" t="n">
        <f aca="false">IFERROR(INDEX('تحليل التكلفة والسعر'!$I$2:$I$700,MATCH(SMALL('تحليل التكلفة والسعر'!$L$2:$L$700,5),'تحليل التكلفة والسعر'!$L$2:$L$700,0)),"")</f>
        <v>0.288368333333333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15" t="s">
        <v>29</v>
      </c>
      <c r="B1" s="15"/>
    </row>
    <row r="3" customFormat="false" ht="45" hidden="false" customHeight="true" outlineLevel="0" collapsed="false">
      <c r="A3" s="16" t="s">
        <v>30</v>
      </c>
      <c r="B3" s="11" t="s">
        <v>31</v>
      </c>
    </row>
    <row r="4" customFormat="false" ht="45" hidden="false" customHeight="true" outlineLevel="0" collapsed="false">
      <c r="A4" s="16" t="s">
        <v>32</v>
      </c>
      <c r="B4" s="11" t="s">
        <v>33</v>
      </c>
    </row>
    <row r="5" customFormat="false" ht="45" hidden="false" customHeight="true" outlineLevel="0" collapsed="false">
      <c r="A5" s="16" t="s">
        <v>34</v>
      </c>
      <c r="B5" s="11" t="s">
        <v>35</v>
      </c>
    </row>
    <row r="6" customFormat="false" ht="45" hidden="false" customHeight="true" outlineLevel="0" collapsed="false">
      <c r="A6" s="16" t="s">
        <v>36</v>
      </c>
      <c r="B6" s="11" t="s">
        <v>37</v>
      </c>
    </row>
    <row r="7" customFormat="false" ht="45" hidden="false" customHeight="true" outlineLevel="0" collapsed="false">
      <c r="A7" s="16" t="s">
        <v>38</v>
      </c>
      <c r="B7" s="11" t="s">
        <v>39</v>
      </c>
    </row>
    <row r="8" customFormat="false" ht="45" hidden="false" customHeight="true" outlineLevel="0" collapsed="false">
      <c r="A8" s="16" t="s">
        <v>40</v>
      </c>
      <c r="B8" s="11" t="s">
        <v>41</v>
      </c>
    </row>
    <row r="9" customFormat="false" ht="45" hidden="false" customHeight="true" outlineLevel="0" collapsed="false">
      <c r="A9" s="16" t="s">
        <v>42</v>
      </c>
      <c r="B9" s="11" t="s">
        <v>43</v>
      </c>
    </row>
    <row r="10" customFormat="false" ht="45" hidden="false" customHeight="true" outlineLevel="0" collapsed="false">
      <c r="A10" s="16" t="s">
        <v>44</v>
      </c>
      <c r="B10" s="11" t="s">
        <v>45</v>
      </c>
    </row>
    <row r="11" customFormat="false" ht="45" hidden="false" customHeight="true" outlineLevel="0" collapsed="false">
      <c r="A11" s="16" t="s">
        <v>46</v>
      </c>
      <c r="B11" s="11" t="s">
        <v>47</v>
      </c>
    </row>
    <row r="13" customFormat="false" ht="39.55" hidden="false" customHeight="false" outlineLevel="0" collapsed="false">
      <c r="A13" s="17" t="s">
        <v>48</v>
      </c>
      <c r="B13" s="18" t="s">
        <v>49</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50</v>
      </c>
      <c r="B1" s="10" t="s">
        <v>51</v>
      </c>
      <c r="C1" s="10" t="s">
        <v>52</v>
      </c>
      <c r="D1" s="10" t="s">
        <v>53</v>
      </c>
      <c r="E1" s="10" t="s">
        <v>54</v>
      </c>
      <c r="F1" s="10" t="s">
        <v>55</v>
      </c>
    </row>
    <row r="2" customFormat="false" ht="26.25" hidden="false" customHeight="true" outlineLevel="0" collapsed="false">
      <c r="A2" s="11" t="s">
        <v>56</v>
      </c>
      <c r="B2" s="19" t="s">
        <v>57</v>
      </c>
      <c r="C2" s="13" t="n">
        <v>3.3</v>
      </c>
      <c r="D2" s="11" t="s">
        <v>58</v>
      </c>
      <c r="E2" s="11" t="n">
        <v>1823</v>
      </c>
      <c r="F2" s="20" t="n">
        <v>46307</v>
      </c>
    </row>
    <row r="3" customFormat="false" ht="15" hidden="false" customHeight="true" outlineLevel="0" collapsed="false">
      <c r="A3" s="11" t="s">
        <v>59</v>
      </c>
      <c r="B3" s="19" t="s">
        <v>57</v>
      </c>
      <c r="C3" s="13" t="n">
        <v>0.8</v>
      </c>
      <c r="D3" s="11" t="s">
        <v>60</v>
      </c>
      <c r="E3" s="11" t="n">
        <v>1814</v>
      </c>
      <c r="F3" s="20" t="n">
        <v>46307</v>
      </c>
    </row>
    <row r="4" customFormat="false" ht="15" hidden="false" customHeight="true" outlineLevel="0" collapsed="false">
      <c r="A4" s="11" t="s">
        <v>61</v>
      </c>
      <c r="B4" s="19" t="s">
        <v>57</v>
      </c>
      <c r="C4" s="13" t="n">
        <v>0.5</v>
      </c>
      <c r="D4" s="11" t="s">
        <v>62</v>
      </c>
      <c r="E4" s="11" t="n">
        <v>1815</v>
      </c>
      <c r="F4" s="20" t="n">
        <v>46307</v>
      </c>
    </row>
    <row r="5" customFormat="false" ht="15" hidden="false" customHeight="true" outlineLevel="0" collapsed="false">
      <c r="A5" s="11" t="s">
        <v>63</v>
      </c>
      <c r="B5" s="19" t="s">
        <v>57</v>
      </c>
      <c r="C5" s="13" t="n">
        <v>120</v>
      </c>
      <c r="D5" s="11" t="s">
        <v>64</v>
      </c>
      <c r="E5" s="11" t="n">
        <v>2291</v>
      </c>
      <c r="F5" s="20" t="n">
        <v>46307</v>
      </c>
    </row>
    <row r="6" customFormat="false" ht="15" hidden="false" customHeight="true" outlineLevel="0" collapsed="false">
      <c r="A6" s="11" t="s">
        <v>65</v>
      </c>
      <c r="B6" s="19" t="s">
        <v>57</v>
      </c>
      <c r="C6" s="13" t="n">
        <v>80</v>
      </c>
      <c r="D6" s="11" t="s">
        <v>66</v>
      </c>
      <c r="E6" s="11" t="n">
        <v>2280</v>
      </c>
      <c r="F6" s="20" t="n">
        <v>46307</v>
      </c>
    </row>
    <row r="7" customFormat="false" ht="15" hidden="false" customHeight="true" outlineLevel="0" collapsed="false">
      <c r="A7" s="11" t="s">
        <v>67</v>
      </c>
      <c r="B7" s="21" t="s">
        <v>68</v>
      </c>
      <c r="C7" s="13" t="n">
        <v>1.4</v>
      </c>
      <c r="D7" s="11" t="s">
        <v>69</v>
      </c>
      <c r="E7" s="11" t="n">
        <v>1828</v>
      </c>
      <c r="F7" s="20" t="n">
        <v>46307</v>
      </c>
    </row>
    <row r="8" customFormat="false" ht="26.25" hidden="false" customHeight="true" outlineLevel="0" collapsed="false">
      <c r="A8" s="11" t="s">
        <v>70</v>
      </c>
      <c r="B8" s="21" t="s">
        <v>68</v>
      </c>
      <c r="C8" s="13" t="n">
        <v>1.4</v>
      </c>
      <c r="D8" s="11" t="s">
        <v>71</v>
      </c>
      <c r="E8" s="11" t="n">
        <v>1827</v>
      </c>
      <c r="F8" s="20" t="n">
        <v>46307</v>
      </c>
    </row>
    <row r="9" customFormat="false" ht="15" hidden="false" customHeight="true" outlineLevel="0" collapsed="false">
      <c r="A9" s="11" t="s">
        <v>72</v>
      </c>
      <c r="B9" s="19" t="s">
        <v>57</v>
      </c>
      <c r="C9" s="13" t="n">
        <v>60</v>
      </c>
      <c r="D9" s="11" t="s">
        <v>73</v>
      </c>
      <c r="E9" s="11" t="n">
        <v>2275</v>
      </c>
      <c r="F9" s="20" t="n">
        <v>46307</v>
      </c>
    </row>
    <row r="10" customFormat="false" ht="15" hidden="false" customHeight="true" outlineLevel="0" collapsed="false">
      <c r="A10" s="11" t="s">
        <v>74</v>
      </c>
      <c r="B10" s="19" t="s">
        <v>57</v>
      </c>
      <c r="C10" s="13" t="n">
        <v>18</v>
      </c>
      <c r="D10" s="11" t="s">
        <v>75</v>
      </c>
      <c r="E10" s="11" t="n">
        <v>2215</v>
      </c>
      <c r="F10" s="20" t="n">
        <v>46307</v>
      </c>
    </row>
    <row r="11" customFormat="false" ht="15" hidden="false" customHeight="true" outlineLevel="0" collapsed="false">
      <c r="A11" s="11" t="s">
        <v>76</v>
      </c>
      <c r="B11" s="21" t="s">
        <v>57</v>
      </c>
      <c r="C11" s="13" t="n">
        <v>35</v>
      </c>
      <c r="D11" s="11" t="s">
        <v>77</v>
      </c>
      <c r="E11" s="11" t="n">
        <v>1748</v>
      </c>
      <c r="F11" s="20" t="n">
        <v>46307</v>
      </c>
    </row>
    <row r="12" customFormat="false" ht="15" hidden="false" customHeight="true" outlineLevel="0" collapsed="false">
      <c r="A12" s="11" t="s">
        <v>78</v>
      </c>
      <c r="B12" s="21" t="s">
        <v>57</v>
      </c>
      <c r="C12" s="13" t="n">
        <v>46.8889</v>
      </c>
      <c r="D12" s="11" t="s">
        <v>79</v>
      </c>
      <c r="E12" s="11" t="n">
        <v>2581</v>
      </c>
      <c r="F12" s="20" t="n">
        <v>46307</v>
      </c>
    </row>
    <row r="13" customFormat="false" ht="15" hidden="false" customHeight="true" outlineLevel="0" collapsed="false">
      <c r="A13" s="11" t="s">
        <v>80</v>
      </c>
      <c r="B13" s="21" t="s">
        <v>57</v>
      </c>
      <c r="C13" s="13" t="n">
        <v>5.65</v>
      </c>
      <c r="D13" s="11" t="s">
        <v>81</v>
      </c>
      <c r="E13" s="11" t="n">
        <v>2344</v>
      </c>
      <c r="F13" s="20" t="n">
        <v>46307</v>
      </c>
    </row>
    <row r="14" customFormat="false" ht="15" hidden="false" customHeight="true" outlineLevel="0" collapsed="false">
      <c r="A14" s="11" t="s">
        <v>82</v>
      </c>
      <c r="B14" s="21" t="s">
        <v>57</v>
      </c>
      <c r="C14" s="13" t="n">
        <v>9</v>
      </c>
      <c r="D14" s="11" t="s">
        <v>83</v>
      </c>
      <c r="E14" s="11" t="n">
        <v>2343</v>
      </c>
      <c r="F14" s="20" t="n">
        <v>46307</v>
      </c>
    </row>
    <row r="15" customFormat="false" ht="15" hidden="false" customHeight="true" outlineLevel="0" collapsed="false">
      <c r="A15" s="11" t="s">
        <v>84</v>
      </c>
      <c r="B15" s="21" t="s">
        <v>57</v>
      </c>
      <c r="C15" s="13" t="n">
        <v>95</v>
      </c>
      <c r="D15" s="11" t="s">
        <v>85</v>
      </c>
      <c r="E15" s="11" t="n">
        <v>1831</v>
      </c>
      <c r="F15" s="20" t="n">
        <v>46307</v>
      </c>
    </row>
    <row r="16" customFormat="false" ht="15" hidden="false" customHeight="true" outlineLevel="0" collapsed="false">
      <c r="A16" s="11" t="s">
        <v>86</v>
      </c>
      <c r="B16" s="21" t="s">
        <v>57</v>
      </c>
      <c r="C16" s="13" t="n">
        <v>34</v>
      </c>
      <c r="D16" s="11" t="s">
        <v>87</v>
      </c>
      <c r="E16" s="11" t="n">
        <v>1752</v>
      </c>
      <c r="F16" s="20" t="n">
        <v>46307</v>
      </c>
    </row>
    <row r="17" customFormat="false" ht="15" hidden="false" customHeight="true" outlineLevel="0" collapsed="false">
      <c r="A17" s="11" t="s">
        <v>88</v>
      </c>
      <c r="B17" s="21" t="s">
        <v>57</v>
      </c>
      <c r="C17" s="13" t="n">
        <v>45</v>
      </c>
      <c r="D17" s="11" t="s">
        <v>89</v>
      </c>
      <c r="E17" s="11" t="n">
        <v>1753</v>
      </c>
      <c r="F17" s="20" t="n">
        <v>46307</v>
      </c>
    </row>
    <row r="18" customFormat="false" ht="15" hidden="false" customHeight="true" outlineLevel="0" collapsed="false">
      <c r="A18" s="11" t="s">
        <v>90</v>
      </c>
      <c r="B18" s="21" t="s">
        <v>57</v>
      </c>
      <c r="C18" s="13" t="n">
        <v>27.1442</v>
      </c>
      <c r="D18" s="11" t="s">
        <v>91</v>
      </c>
      <c r="E18" s="11" t="n">
        <v>1756</v>
      </c>
      <c r="F18" s="20" t="n">
        <v>46307</v>
      </c>
    </row>
    <row r="19" customFormat="false" ht="15" hidden="false" customHeight="true" outlineLevel="0" collapsed="false">
      <c r="A19" s="11" t="s">
        <v>92</v>
      </c>
      <c r="B19" s="21" t="s">
        <v>57</v>
      </c>
      <c r="C19" s="13" t="n">
        <v>33.7609</v>
      </c>
      <c r="D19" s="11" t="s">
        <v>93</v>
      </c>
      <c r="E19" s="11" t="n">
        <v>1759</v>
      </c>
      <c r="F19" s="20" t="n">
        <v>46307</v>
      </c>
    </row>
    <row r="20" customFormat="false" ht="15" hidden="false" customHeight="true" outlineLevel="0" collapsed="false">
      <c r="A20" s="11" t="s">
        <v>94</v>
      </c>
      <c r="B20" s="21" t="s">
        <v>57</v>
      </c>
      <c r="C20" s="13" t="n">
        <v>48.2857</v>
      </c>
      <c r="D20" s="11" t="s">
        <v>95</v>
      </c>
      <c r="E20" s="11" t="n">
        <v>2583</v>
      </c>
      <c r="F20" s="20" t="n">
        <v>46307</v>
      </c>
    </row>
    <row r="21" customFormat="false" ht="15" hidden="false" customHeight="true" outlineLevel="0" collapsed="false">
      <c r="A21" s="11" t="s">
        <v>96</v>
      </c>
      <c r="B21" s="21" t="s">
        <v>57</v>
      </c>
      <c r="C21" s="13" t="n">
        <v>30</v>
      </c>
      <c r="D21" s="11" t="s">
        <v>97</v>
      </c>
      <c r="E21" s="11" t="n">
        <v>1760</v>
      </c>
      <c r="F21" s="20" t="n">
        <v>46307</v>
      </c>
    </row>
    <row r="22" customFormat="false" ht="15" hidden="false" customHeight="true" outlineLevel="0" collapsed="false">
      <c r="A22" s="11" t="s">
        <v>98</v>
      </c>
      <c r="B22" s="21" t="s">
        <v>57</v>
      </c>
      <c r="C22" s="22" t="n">
        <v>29</v>
      </c>
      <c r="D22" s="11" t="s">
        <v>99</v>
      </c>
      <c r="E22" s="11" t="n">
        <v>2585</v>
      </c>
      <c r="F22" s="20" t="n">
        <v>46307</v>
      </c>
    </row>
    <row r="23" customFormat="false" ht="15" hidden="false" customHeight="true" outlineLevel="0" collapsed="false">
      <c r="A23" s="11" t="s">
        <v>100</v>
      </c>
      <c r="B23" s="21" t="s">
        <v>57</v>
      </c>
      <c r="C23" s="13" t="n">
        <v>25</v>
      </c>
      <c r="D23" s="11" t="s">
        <v>101</v>
      </c>
      <c r="E23" s="11" t="n">
        <v>1790</v>
      </c>
      <c r="F23" s="20" t="n">
        <v>46307</v>
      </c>
    </row>
    <row r="24" customFormat="false" ht="15" hidden="false" customHeight="true" outlineLevel="0" collapsed="false">
      <c r="A24" s="11" t="s">
        <v>102</v>
      </c>
      <c r="B24" s="21" t="s">
        <v>57</v>
      </c>
      <c r="C24" s="13" t="n">
        <v>21</v>
      </c>
      <c r="D24" s="11" t="s">
        <v>103</v>
      </c>
      <c r="E24" s="11" t="n">
        <v>1754</v>
      </c>
      <c r="F24" s="20" t="n">
        <v>46307</v>
      </c>
    </row>
    <row r="25" customFormat="false" ht="15" hidden="false" customHeight="true" outlineLevel="0" collapsed="false">
      <c r="A25" s="11" t="s">
        <v>104</v>
      </c>
      <c r="B25" s="21" t="s">
        <v>57</v>
      </c>
      <c r="C25" s="13" t="n">
        <v>23</v>
      </c>
      <c r="D25" s="11" t="s">
        <v>105</v>
      </c>
      <c r="E25" s="11" t="n">
        <v>1799</v>
      </c>
      <c r="F25" s="20" t="n">
        <v>46307</v>
      </c>
    </row>
    <row r="26" customFormat="false" ht="15" hidden="false" customHeight="true" outlineLevel="0" collapsed="false">
      <c r="A26" s="11" t="s">
        <v>106</v>
      </c>
      <c r="B26" s="21" t="s">
        <v>57</v>
      </c>
      <c r="C26" s="13" t="n">
        <v>20</v>
      </c>
      <c r="D26" s="11" t="s">
        <v>107</v>
      </c>
      <c r="E26" s="11" t="n">
        <v>1750</v>
      </c>
      <c r="F26" s="20" t="n">
        <v>46307</v>
      </c>
    </row>
    <row r="27" customFormat="false" ht="15" hidden="false" customHeight="true" outlineLevel="0" collapsed="false">
      <c r="A27" s="11" t="s">
        <v>108</v>
      </c>
      <c r="B27" s="21" t="s">
        <v>57</v>
      </c>
      <c r="C27" s="13" t="n">
        <v>26.4194</v>
      </c>
      <c r="D27" s="11" t="s">
        <v>109</v>
      </c>
      <c r="E27" s="11" t="n">
        <v>2586</v>
      </c>
      <c r="F27" s="20" t="n">
        <v>46307</v>
      </c>
    </row>
    <row r="28" customFormat="false" ht="15" hidden="false" customHeight="true" outlineLevel="0" collapsed="false">
      <c r="A28" s="11" t="s">
        <v>110</v>
      </c>
      <c r="B28" s="21" t="s">
        <v>57</v>
      </c>
      <c r="C28" s="13" t="n">
        <v>17.5</v>
      </c>
      <c r="D28" s="11" t="s">
        <v>111</v>
      </c>
      <c r="E28" s="11" t="n">
        <v>1766</v>
      </c>
      <c r="F28" s="20" t="n">
        <v>46307</v>
      </c>
    </row>
    <row r="29" customFormat="false" ht="15" hidden="false" customHeight="true" outlineLevel="0" collapsed="false">
      <c r="A29" s="11" t="s">
        <v>112</v>
      </c>
      <c r="B29" s="21" t="s">
        <v>57</v>
      </c>
      <c r="C29" s="13" t="n">
        <v>25</v>
      </c>
      <c r="D29" s="11" t="s">
        <v>113</v>
      </c>
      <c r="E29" s="11" t="n">
        <v>2587</v>
      </c>
      <c r="F29" s="20" t="n">
        <v>46307</v>
      </c>
    </row>
    <row r="30" customFormat="false" ht="15" hidden="false" customHeight="true" outlineLevel="0" collapsed="false">
      <c r="A30" s="11" t="s">
        <v>114</v>
      </c>
      <c r="B30" s="19" t="s">
        <v>115</v>
      </c>
      <c r="C30" s="13" t="n">
        <v>100</v>
      </c>
      <c r="D30" s="11" t="s">
        <v>116</v>
      </c>
      <c r="E30" s="11" t="n">
        <v>1803</v>
      </c>
      <c r="F30" s="20" t="n">
        <v>46307</v>
      </c>
    </row>
    <row r="31" customFormat="false" ht="15" hidden="false" customHeight="true" outlineLevel="0" collapsed="false">
      <c r="A31" s="11" t="s">
        <v>117</v>
      </c>
      <c r="B31" s="19" t="s">
        <v>115</v>
      </c>
      <c r="C31" s="13" t="n">
        <v>104.58</v>
      </c>
      <c r="D31" s="11" t="s">
        <v>118</v>
      </c>
      <c r="E31" s="11" t="n">
        <v>1795</v>
      </c>
      <c r="F31" s="20" t="n">
        <v>46307</v>
      </c>
    </row>
    <row r="32" customFormat="false" ht="15" hidden="false" customHeight="true" outlineLevel="0" collapsed="false">
      <c r="A32" s="11" t="s">
        <v>119</v>
      </c>
      <c r="B32" s="19" t="s">
        <v>115</v>
      </c>
      <c r="C32" s="13" t="n">
        <v>100</v>
      </c>
      <c r="D32" s="11" t="s">
        <v>116</v>
      </c>
      <c r="E32" s="11" t="n">
        <v>1804</v>
      </c>
      <c r="F32" s="20" t="n">
        <v>46307</v>
      </c>
    </row>
    <row r="33" customFormat="false" ht="15" hidden="false" customHeight="true" outlineLevel="0" collapsed="false">
      <c r="A33" s="11" t="s">
        <v>120</v>
      </c>
      <c r="B33" s="19" t="s">
        <v>115</v>
      </c>
      <c r="C33" s="13" t="n">
        <v>41</v>
      </c>
      <c r="D33" s="11" t="s">
        <v>121</v>
      </c>
      <c r="E33" s="11" t="n">
        <v>1775</v>
      </c>
      <c r="F33" s="20" t="n">
        <v>46307</v>
      </c>
    </row>
    <row r="34" customFormat="false" ht="15" hidden="false" customHeight="true" outlineLevel="0" collapsed="false">
      <c r="A34" s="11" t="s">
        <v>122</v>
      </c>
      <c r="B34" s="19" t="s">
        <v>115</v>
      </c>
      <c r="C34" s="13" t="n">
        <v>25</v>
      </c>
      <c r="D34" s="11" t="s">
        <v>123</v>
      </c>
      <c r="E34" s="11" t="n">
        <v>2229</v>
      </c>
      <c r="F34" s="20" t="n">
        <v>46230</v>
      </c>
    </row>
    <row r="35" customFormat="false" ht="15" hidden="false" customHeight="true" outlineLevel="0" collapsed="false">
      <c r="A35" s="11" t="s">
        <v>124</v>
      </c>
      <c r="B35" s="19" t="s">
        <v>115</v>
      </c>
      <c r="C35" s="22" t="n">
        <v>18</v>
      </c>
      <c r="D35" s="11" t="s">
        <v>125</v>
      </c>
      <c r="E35" s="11" t="n">
        <v>2241</v>
      </c>
      <c r="F35" s="20" t="n">
        <v>46307</v>
      </c>
    </row>
    <row r="36" customFormat="false" ht="26.25" hidden="false" customHeight="true" outlineLevel="0" collapsed="false">
      <c r="A36" s="11" t="s">
        <v>126</v>
      </c>
      <c r="B36" s="21" t="s">
        <v>127</v>
      </c>
      <c r="C36" s="22" t="n">
        <v>3.566</v>
      </c>
      <c r="D36" s="11" t="s">
        <v>128</v>
      </c>
      <c r="E36" s="11" t="n">
        <v>1838</v>
      </c>
      <c r="F36" s="20" t="n">
        <v>46307</v>
      </c>
    </row>
    <row r="37" customFormat="false" ht="15" hidden="false" customHeight="true" outlineLevel="0" collapsed="false">
      <c r="A37" s="11" t="s">
        <v>129</v>
      </c>
      <c r="B37" s="19" t="s">
        <v>130</v>
      </c>
      <c r="C37" s="13" t="n">
        <v>30</v>
      </c>
      <c r="D37" s="11" t="s">
        <v>131</v>
      </c>
      <c r="E37" s="11" t="n">
        <v>1896</v>
      </c>
      <c r="F37" s="20" t="n">
        <v>46307</v>
      </c>
    </row>
    <row r="38" customFormat="false" ht="15" hidden="false" customHeight="true" outlineLevel="0" collapsed="false">
      <c r="A38" s="11" t="s">
        <v>132</v>
      </c>
      <c r="B38" s="19" t="s">
        <v>115</v>
      </c>
      <c r="C38" s="13" t="n">
        <v>175</v>
      </c>
      <c r="D38" s="11" t="s">
        <v>133</v>
      </c>
      <c r="E38" s="11" t="n">
        <v>2226</v>
      </c>
      <c r="F38" s="20" t="n">
        <v>46307</v>
      </c>
    </row>
    <row r="39" customFormat="false" ht="15" hidden="false" customHeight="true" outlineLevel="0" collapsed="false">
      <c r="A39" s="11" t="s">
        <v>134</v>
      </c>
      <c r="B39" s="19" t="s">
        <v>57</v>
      </c>
      <c r="C39" s="13" t="n">
        <v>6.09</v>
      </c>
      <c r="D39" s="11" t="s">
        <v>135</v>
      </c>
      <c r="E39" s="11" t="n">
        <v>2281</v>
      </c>
      <c r="F39" s="20" t="n">
        <v>46307</v>
      </c>
    </row>
    <row r="40" customFormat="false" ht="15" hidden="false" customHeight="true" outlineLevel="0" collapsed="false">
      <c r="A40" s="11" t="s">
        <v>136</v>
      </c>
      <c r="B40" s="19" t="s">
        <v>57</v>
      </c>
      <c r="C40" s="13" t="n">
        <v>15.5556</v>
      </c>
      <c r="D40" s="11" t="s">
        <v>137</v>
      </c>
      <c r="E40" s="11" t="n">
        <v>1725</v>
      </c>
      <c r="F40" s="20" t="n">
        <v>46307</v>
      </c>
    </row>
    <row r="41" customFormat="false" ht="15" hidden="false" customHeight="true" outlineLevel="0" collapsed="false">
      <c r="A41" s="11" t="s">
        <v>138</v>
      </c>
      <c r="B41" s="19" t="s">
        <v>139</v>
      </c>
      <c r="C41" s="13" t="n">
        <v>30</v>
      </c>
      <c r="D41" s="11" t="s">
        <v>140</v>
      </c>
      <c r="E41" s="11" t="n">
        <v>1721</v>
      </c>
      <c r="F41" s="20" t="n">
        <v>46307</v>
      </c>
    </row>
    <row r="42" customFormat="false" ht="15" hidden="false" customHeight="true" outlineLevel="0" collapsed="false">
      <c r="A42" s="11" t="s">
        <v>141</v>
      </c>
      <c r="B42" s="19" t="s">
        <v>115</v>
      </c>
      <c r="C42" s="13" t="n">
        <v>105</v>
      </c>
      <c r="D42" s="11" t="s">
        <v>123</v>
      </c>
      <c r="E42" s="11" t="n">
        <v>2235</v>
      </c>
      <c r="F42" s="20" t="n">
        <v>46230</v>
      </c>
    </row>
    <row r="43" customFormat="false" ht="15" hidden="false" customHeight="true" outlineLevel="0" collapsed="false">
      <c r="A43" s="11" t="s">
        <v>142</v>
      </c>
      <c r="B43" s="19" t="s">
        <v>143</v>
      </c>
      <c r="C43" s="13" t="n">
        <v>182.3077</v>
      </c>
      <c r="D43" s="11" t="s">
        <v>144</v>
      </c>
      <c r="E43" s="11" t="n">
        <v>2572</v>
      </c>
      <c r="F43" s="20" t="n">
        <v>46307</v>
      </c>
    </row>
    <row r="44" customFormat="false" ht="15" hidden="false" customHeight="true" outlineLevel="0" collapsed="false">
      <c r="A44" s="11" t="s">
        <v>145</v>
      </c>
      <c r="B44" s="21" t="s">
        <v>146</v>
      </c>
      <c r="C44" s="13" t="n">
        <v>0.18</v>
      </c>
      <c r="D44" s="11" t="s">
        <v>147</v>
      </c>
      <c r="E44" s="11" t="n">
        <v>2242</v>
      </c>
      <c r="F44" s="20" t="n">
        <v>46307</v>
      </c>
    </row>
    <row r="45" customFormat="false" ht="15" hidden="false" customHeight="true" outlineLevel="0" collapsed="false">
      <c r="A45" s="11" t="s">
        <v>148</v>
      </c>
      <c r="B45" s="19" t="s">
        <v>115</v>
      </c>
      <c r="C45" s="13" t="n">
        <v>200</v>
      </c>
      <c r="D45" s="11" t="s">
        <v>149</v>
      </c>
      <c r="E45" s="11" t="n">
        <v>1801</v>
      </c>
      <c r="F45" s="20" t="n">
        <v>46307</v>
      </c>
    </row>
    <row r="46" customFormat="false" ht="15" hidden="false" customHeight="true" outlineLevel="0" collapsed="false">
      <c r="A46" s="11" t="s">
        <v>150</v>
      </c>
      <c r="B46" s="19" t="s">
        <v>143</v>
      </c>
      <c r="C46" s="13" t="n">
        <v>15</v>
      </c>
      <c r="D46" s="11" t="s">
        <v>137</v>
      </c>
      <c r="E46" s="11" t="n">
        <v>2339</v>
      </c>
      <c r="F46" s="20" t="n">
        <v>46307</v>
      </c>
    </row>
    <row r="47" customFormat="false" ht="15" hidden="false" customHeight="true" outlineLevel="0" collapsed="false">
      <c r="A47" s="11" t="s">
        <v>151</v>
      </c>
      <c r="B47" s="19" t="s">
        <v>115</v>
      </c>
      <c r="C47" s="13" t="n">
        <v>30</v>
      </c>
      <c r="D47" s="11" t="s">
        <v>131</v>
      </c>
      <c r="E47" s="11" t="n">
        <v>2256</v>
      </c>
      <c r="F47" s="20" t="n">
        <v>46307</v>
      </c>
    </row>
    <row r="48" customFormat="false" ht="15" hidden="false" customHeight="true" outlineLevel="0" collapsed="false">
      <c r="A48" s="11" t="s">
        <v>152</v>
      </c>
      <c r="B48" s="19" t="s">
        <v>115</v>
      </c>
      <c r="C48" s="13" t="n">
        <v>20</v>
      </c>
      <c r="D48" s="11" t="s">
        <v>153</v>
      </c>
      <c r="E48" s="11" t="n">
        <v>1809</v>
      </c>
      <c r="F48" s="20" t="n">
        <v>46307</v>
      </c>
    </row>
    <row r="49" customFormat="false" ht="15" hidden="false" customHeight="true" outlineLevel="0" collapsed="false">
      <c r="A49" s="11" t="s">
        <v>154</v>
      </c>
      <c r="B49" s="19" t="s">
        <v>115</v>
      </c>
      <c r="C49" s="13" t="n">
        <v>120</v>
      </c>
      <c r="D49" s="11" t="s">
        <v>155</v>
      </c>
      <c r="E49" s="11" t="n">
        <v>1788</v>
      </c>
      <c r="F49" s="20" t="n">
        <v>46307</v>
      </c>
    </row>
    <row r="50" customFormat="false" ht="15" hidden="false" customHeight="true" outlineLevel="0" collapsed="false">
      <c r="A50" s="11" t="s">
        <v>156</v>
      </c>
      <c r="B50" s="19" t="s">
        <v>115</v>
      </c>
      <c r="C50" s="13" t="n">
        <v>220</v>
      </c>
      <c r="D50" s="11" t="s">
        <v>157</v>
      </c>
      <c r="E50" s="11" t="n">
        <v>1800</v>
      </c>
      <c r="F50" s="20" t="n">
        <v>46307</v>
      </c>
    </row>
    <row r="51" customFormat="false" ht="15" hidden="false" customHeight="true" outlineLevel="0" collapsed="false">
      <c r="A51" s="11" t="s">
        <v>158</v>
      </c>
      <c r="B51" s="19" t="s">
        <v>139</v>
      </c>
      <c r="C51" s="13" t="n">
        <v>70</v>
      </c>
      <c r="D51" s="11" t="s">
        <v>159</v>
      </c>
      <c r="E51" s="11" t="n">
        <v>1786</v>
      </c>
      <c r="F51" s="20" t="n">
        <v>46307</v>
      </c>
    </row>
    <row r="52" customFormat="false" ht="15" hidden="false" customHeight="true" outlineLevel="0" collapsed="false">
      <c r="A52" s="11" t="s">
        <v>160</v>
      </c>
      <c r="B52" s="19" t="s">
        <v>139</v>
      </c>
      <c r="C52" s="13" t="n">
        <v>75</v>
      </c>
      <c r="D52" s="11" t="s">
        <v>161</v>
      </c>
      <c r="E52" s="11" t="n">
        <v>1785</v>
      </c>
      <c r="F52" s="20" t="n">
        <v>46307</v>
      </c>
    </row>
    <row r="53" customFormat="false" ht="15" hidden="false" customHeight="true" outlineLevel="0" collapsed="false">
      <c r="A53" s="11" t="s">
        <v>162</v>
      </c>
      <c r="B53" s="19" t="s">
        <v>115</v>
      </c>
      <c r="C53" s="22" t="n">
        <v>95</v>
      </c>
      <c r="D53" s="11" t="s">
        <v>163</v>
      </c>
      <c r="E53" s="11" t="n">
        <v>1771</v>
      </c>
      <c r="F53" s="20" t="n">
        <v>46307</v>
      </c>
    </row>
    <row r="54" customFormat="false" ht="15" hidden="false" customHeight="true" outlineLevel="0" collapsed="false">
      <c r="A54" s="11" t="s">
        <v>164</v>
      </c>
      <c r="B54" s="19" t="s">
        <v>115</v>
      </c>
      <c r="C54" s="13" t="n">
        <v>30.2614</v>
      </c>
      <c r="D54" s="11" t="s">
        <v>131</v>
      </c>
      <c r="E54" s="11" t="n">
        <v>1798</v>
      </c>
      <c r="F54" s="20" t="n">
        <v>46307</v>
      </c>
    </row>
    <row r="55" customFormat="false" ht="15" hidden="false" customHeight="true" outlineLevel="0" collapsed="false">
      <c r="A55" s="11" t="s">
        <v>165</v>
      </c>
      <c r="B55" s="19" t="s">
        <v>143</v>
      </c>
      <c r="C55" s="13" t="n">
        <v>7.1</v>
      </c>
      <c r="D55" s="11" t="s">
        <v>166</v>
      </c>
      <c r="E55" s="11" t="n">
        <v>2320</v>
      </c>
      <c r="F55" s="20" t="n">
        <v>46307</v>
      </c>
    </row>
    <row r="56" customFormat="false" ht="15" hidden="false" customHeight="true" outlineLevel="0" collapsed="false">
      <c r="A56" s="11" t="s">
        <v>167</v>
      </c>
      <c r="B56" s="19" t="s">
        <v>115</v>
      </c>
      <c r="C56" s="13" t="n">
        <v>380</v>
      </c>
      <c r="D56" s="11" t="s">
        <v>168</v>
      </c>
      <c r="E56" s="11" t="n">
        <v>1787</v>
      </c>
      <c r="F56" s="20" t="n">
        <v>46307</v>
      </c>
    </row>
    <row r="57" customFormat="false" ht="15" hidden="false" customHeight="true" outlineLevel="0" collapsed="false">
      <c r="A57" s="11" t="s">
        <v>169</v>
      </c>
      <c r="B57" s="21" t="s">
        <v>170</v>
      </c>
      <c r="C57" s="13" t="n">
        <v>2.5189</v>
      </c>
      <c r="D57" s="11" t="s">
        <v>171</v>
      </c>
      <c r="E57" s="11" t="n">
        <v>1840</v>
      </c>
      <c r="F57" s="20" t="n">
        <v>46307</v>
      </c>
    </row>
    <row r="58" customFormat="false" ht="26.25" hidden="false" customHeight="true" outlineLevel="0" collapsed="false">
      <c r="A58" s="11" t="s">
        <v>172</v>
      </c>
      <c r="B58" s="21" t="s">
        <v>57</v>
      </c>
      <c r="C58" s="13" t="n">
        <v>0.55</v>
      </c>
      <c r="D58" s="11" t="s">
        <v>173</v>
      </c>
      <c r="E58" s="11" t="n">
        <v>2590</v>
      </c>
      <c r="F58" s="20" t="n">
        <v>46307</v>
      </c>
    </row>
    <row r="59" customFormat="false" ht="15" hidden="false" customHeight="true" outlineLevel="0" collapsed="false">
      <c r="A59" s="11" t="s">
        <v>174</v>
      </c>
      <c r="B59" s="21" t="s">
        <v>57</v>
      </c>
      <c r="C59" s="13" t="n">
        <v>0.6744</v>
      </c>
      <c r="D59" s="11" t="s">
        <v>175</v>
      </c>
      <c r="E59" s="11" t="n">
        <v>1837</v>
      </c>
      <c r="F59" s="20" t="n">
        <v>46307</v>
      </c>
    </row>
    <row r="60" customFormat="false" ht="15" hidden="false" customHeight="true" outlineLevel="0" collapsed="false">
      <c r="A60" s="11" t="s">
        <v>176</v>
      </c>
      <c r="B60" s="19" t="s">
        <v>115</v>
      </c>
      <c r="C60" s="13" t="n">
        <v>110</v>
      </c>
      <c r="D60" s="11" t="s">
        <v>177</v>
      </c>
      <c r="E60" s="11" t="n">
        <v>2285</v>
      </c>
      <c r="F60" s="20" t="n">
        <v>46307</v>
      </c>
    </row>
    <row r="61" customFormat="false" ht="15" hidden="false" customHeight="true" outlineLevel="0" collapsed="false">
      <c r="A61" s="11" t="s">
        <v>178</v>
      </c>
      <c r="B61" s="19" t="s">
        <v>57</v>
      </c>
      <c r="C61" s="13" t="n">
        <v>0.3</v>
      </c>
      <c r="D61" s="11" t="s">
        <v>179</v>
      </c>
      <c r="E61" s="11" t="n">
        <v>1824</v>
      </c>
      <c r="F61" s="20" t="n">
        <v>46307</v>
      </c>
    </row>
    <row r="62" customFormat="false" ht="15" hidden="false" customHeight="true" outlineLevel="0" collapsed="false">
      <c r="A62" s="11" t="s">
        <v>180</v>
      </c>
      <c r="B62" s="19" t="s">
        <v>115</v>
      </c>
      <c r="C62" s="13" t="n">
        <v>130</v>
      </c>
      <c r="D62" s="11" t="s">
        <v>181</v>
      </c>
      <c r="E62" s="11" t="n">
        <v>1791</v>
      </c>
      <c r="F62" s="20" t="n">
        <v>46307</v>
      </c>
    </row>
    <row r="63" customFormat="false" ht="15" hidden="false" customHeight="true" outlineLevel="0" collapsed="false">
      <c r="A63" s="11" t="s">
        <v>182</v>
      </c>
      <c r="B63" s="19" t="s">
        <v>115</v>
      </c>
      <c r="C63" s="13" t="n">
        <v>100</v>
      </c>
      <c r="D63" s="11" t="s">
        <v>183</v>
      </c>
      <c r="E63" s="11" t="n">
        <v>1792</v>
      </c>
      <c r="F63" s="20" t="n">
        <v>46307</v>
      </c>
    </row>
    <row r="64" customFormat="false" ht="15" hidden="false" customHeight="true" outlineLevel="0" collapsed="false">
      <c r="A64" s="11" t="s">
        <v>184</v>
      </c>
      <c r="B64" s="19" t="s">
        <v>139</v>
      </c>
      <c r="C64" s="13" t="n">
        <v>12</v>
      </c>
      <c r="D64" s="11" t="s">
        <v>185</v>
      </c>
      <c r="E64" s="11" t="n">
        <v>2271</v>
      </c>
      <c r="F64" s="20" t="n">
        <v>46307</v>
      </c>
    </row>
    <row r="65" customFormat="false" ht="15" hidden="false" customHeight="true" outlineLevel="0" collapsed="false">
      <c r="A65" s="11" t="s">
        <v>186</v>
      </c>
      <c r="B65" s="19" t="s">
        <v>115</v>
      </c>
      <c r="C65" s="13" t="n">
        <v>32</v>
      </c>
      <c r="D65" s="11" t="s">
        <v>187</v>
      </c>
      <c r="E65" s="11" t="n">
        <v>1774</v>
      </c>
      <c r="F65" s="20" t="n">
        <v>46307</v>
      </c>
    </row>
    <row r="66" customFormat="false" ht="15" hidden="false" customHeight="true" outlineLevel="0" collapsed="false">
      <c r="A66" s="11" t="s">
        <v>188</v>
      </c>
      <c r="B66" s="19" t="s">
        <v>115</v>
      </c>
      <c r="C66" s="13" t="n">
        <v>70</v>
      </c>
      <c r="D66" s="11" t="s">
        <v>189</v>
      </c>
      <c r="E66" s="11" t="n">
        <v>1780</v>
      </c>
      <c r="F66" s="20" t="n">
        <v>46307</v>
      </c>
    </row>
    <row r="67" customFormat="false" ht="15" hidden="false" customHeight="true" outlineLevel="0" collapsed="false">
      <c r="A67" s="11" t="s">
        <v>190</v>
      </c>
      <c r="B67" s="19" t="s">
        <v>115</v>
      </c>
      <c r="C67" s="13" t="n">
        <v>140</v>
      </c>
      <c r="D67" s="11" t="s">
        <v>191</v>
      </c>
      <c r="E67" s="11" t="n">
        <v>2219</v>
      </c>
      <c r="F67" s="20" t="n">
        <v>46307</v>
      </c>
    </row>
    <row r="68" customFormat="false" ht="15" hidden="false" customHeight="true" outlineLevel="0" collapsed="false">
      <c r="A68" s="11" t="s">
        <v>192</v>
      </c>
      <c r="B68" s="19" t="s">
        <v>115</v>
      </c>
      <c r="C68" s="13" t="n">
        <v>105</v>
      </c>
      <c r="D68" s="11" t="s">
        <v>193</v>
      </c>
      <c r="E68" s="11" t="n">
        <v>1779</v>
      </c>
      <c r="F68" s="20" t="n">
        <v>46307</v>
      </c>
    </row>
    <row r="69" customFormat="false" ht="15" hidden="false" customHeight="true" outlineLevel="0" collapsed="false">
      <c r="A69" s="11" t="s">
        <v>194</v>
      </c>
      <c r="B69" s="19" t="s">
        <v>115</v>
      </c>
      <c r="C69" s="13" t="n">
        <v>140</v>
      </c>
      <c r="D69" s="11" t="s">
        <v>195</v>
      </c>
      <c r="E69" s="11" t="n">
        <v>1778</v>
      </c>
      <c r="F69" s="20" t="n">
        <v>46307</v>
      </c>
    </row>
    <row r="70" customFormat="false" ht="15" hidden="false" customHeight="true" outlineLevel="0" collapsed="false">
      <c r="A70" s="11" t="s">
        <v>196</v>
      </c>
      <c r="B70" s="19" t="s">
        <v>115</v>
      </c>
      <c r="C70" s="13" t="n">
        <v>21</v>
      </c>
      <c r="D70" s="11" t="s">
        <v>197</v>
      </c>
      <c r="E70" s="11" t="n">
        <v>1772</v>
      </c>
      <c r="F70" s="20" t="n">
        <v>46307</v>
      </c>
    </row>
    <row r="71" customFormat="false" ht="15" hidden="false" customHeight="true" outlineLevel="0" collapsed="false">
      <c r="A71" s="11" t="s">
        <v>198</v>
      </c>
      <c r="B71" s="19" t="s">
        <v>115</v>
      </c>
      <c r="C71" s="13" t="n">
        <v>22</v>
      </c>
      <c r="D71" s="11" t="s">
        <v>199</v>
      </c>
      <c r="E71" s="11" t="n">
        <v>1749</v>
      </c>
      <c r="F71" s="20" t="n">
        <v>46307</v>
      </c>
    </row>
    <row r="72" customFormat="false" ht="15" hidden="false" customHeight="true" outlineLevel="0" collapsed="false">
      <c r="A72" s="11" t="s">
        <v>200</v>
      </c>
      <c r="B72" s="19" t="s">
        <v>57</v>
      </c>
      <c r="C72" s="13" t="n">
        <v>4</v>
      </c>
      <c r="D72" s="11" t="s">
        <v>201</v>
      </c>
      <c r="E72" s="11" t="n">
        <v>1806</v>
      </c>
      <c r="F72" s="20" t="n">
        <v>46307</v>
      </c>
    </row>
    <row r="73" customFormat="false" ht="15" hidden="false" customHeight="true" outlineLevel="0" collapsed="false">
      <c r="A73" s="11" t="s">
        <v>202</v>
      </c>
      <c r="B73" s="19" t="s">
        <v>115</v>
      </c>
      <c r="C73" s="13" t="n">
        <v>140</v>
      </c>
      <c r="D73" s="11" t="s">
        <v>203</v>
      </c>
      <c r="E73" s="11" t="n">
        <v>1805</v>
      </c>
      <c r="F73" s="20" t="n">
        <v>46307</v>
      </c>
    </row>
    <row r="74" customFormat="false" ht="15" hidden="false" customHeight="true" outlineLevel="0" collapsed="false">
      <c r="A74" s="11" t="s">
        <v>204</v>
      </c>
      <c r="B74" s="19" t="s">
        <v>57</v>
      </c>
      <c r="C74" s="13" t="n">
        <v>5.5</v>
      </c>
      <c r="D74" s="11" t="s">
        <v>205</v>
      </c>
      <c r="E74" s="11" t="n">
        <v>1818</v>
      </c>
      <c r="F74" s="20" t="n">
        <v>46307</v>
      </c>
    </row>
    <row r="75" customFormat="false" ht="15" hidden="false" customHeight="true" outlineLevel="0" collapsed="false">
      <c r="A75" s="11" t="s">
        <v>206</v>
      </c>
      <c r="B75" s="19" t="s">
        <v>57</v>
      </c>
      <c r="C75" s="13" t="n">
        <v>4.5</v>
      </c>
      <c r="D75" s="11" t="s">
        <v>207</v>
      </c>
      <c r="E75" s="11" t="n">
        <v>1751</v>
      </c>
      <c r="F75" s="20" t="n">
        <v>46307</v>
      </c>
    </row>
    <row r="76" customFormat="false" ht="15" hidden="false" customHeight="true" outlineLevel="0" collapsed="false">
      <c r="A76" s="11" t="s">
        <v>208</v>
      </c>
      <c r="B76" s="19" t="s">
        <v>57</v>
      </c>
      <c r="C76" s="13" t="n">
        <v>0.5</v>
      </c>
      <c r="D76" s="11" t="s">
        <v>62</v>
      </c>
      <c r="E76" s="11" t="n">
        <v>2306</v>
      </c>
      <c r="F76" s="20" t="n">
        <v>46307</v>
      </c>
    </row>
    <row r="77" customFormat="false" ht="15" hidden="false" customHeight="true" outlineLevel="0" collapsed="false">
      <c r="A77" s="11" t="s">
        <v>209</v>
      </c>
      <c r="B77" s="19" t="s">
        <v>57</v>
      </c>
      <c r="C77" s="13" t="n">
        <v>1.7</v>
      </c>
      <c r="D77" s="11" t="s">
        <v>210</v>
      </c>
      <c r="E77" s="11" t="n">
        <v>2437</v>
      </c>
      <c r="F77" s="20" t="n">
        <v>46307</v>
      </c>
    </row>
    <row r="78" customFormat="false" ht="15" hidden="false" customHeight="true" outlineLevel="0" collapsed="false">
      <c r="A78" s="11" t="s">
        <v>211</v>
      </c>
      <c r="B78" s="19" t="s">
        <v>57</v>
      </c>
      <c r="C78" s="13" t="n">
        <v>2</v>
      </c>
      <c r="D78" s="11" t="s">
        <v>212</v>
      </c>
      <c r="E78" s="11" t="n">
        <v>2438</v>
      </c>
      <c r="F78" s="20" t="n">
        <v>46307</v>
      </c>
    </row>
    <row r="79" customFormat="false" ht="15" hidden="false" customHeight="true" outlineLevel="0" collapsed="false">
      <c r="A79" s="11" t="s">
        <v>213</v>
      </c>
      <c r="B79" s="19" t="s">
        <v>57</v>
      </c>
      <c r="C79" s="13" t="n">
        <v>3.1</v>
      </c>
      <c r="D79" s="11" t="s">
        <v>214</v>
      </c>
      <c r="E79" s="11" t="n">
        <v>2413</v>
      </c>
      <c r="F79" s="20" t="n">
        <v>46307</v>
      </c>
    </row>
    <row r="80" customFormat="false" ht="15" hidden="false" customHeight="true" outlineLevel="0" collapsed="false">
      <c r="A80" s="11" t="s">
        <v>215</v>
      </c>
      <c r="B80" s="19" t="s">
        <v>57</v>
      </c>
      <c r="C80" s="13" t="n">
        <v>42.03</v>
      </c>
      <c r="D80" s="11" t="s">
        <v>216</v>
      </c>
      <c r="E80" s="11" t="n">
        <v>1764</v>
      </c>
      <c r="F80" s="20" t="n">
        <v>46307</v>
      </c>
    </row>
    <row r="81" customFormat="false" ht="15" hidden="false" customHeight="true" outlineLevel="0" collapsed="false">
      <c r="A81" s="11" t="s">
        <v>217</v>
      </c>
      <c r="B81" s="19" t="s">
        <v>115</v>
      </c>
      <c r="C81" s="13" t="n">
        <v>150</v>
      </c>
      <c r="D81" s="11" t="s">
        <v>218</v>
      </c>
      <c r="E81" s="11" t="n">
        <v>1890</v>
      </c>
      <c r="F81" s="20" t="n">
        <v>46307</v>
      </c>
    </row>
    <row r="82" customFormat="false" ht="15" hidden="false" customHeight="true" outlineLevel="0" collapsed="false">
      <c r="A82" s="11" t="s">
        <v>219</v>
      </c>
      <c r="B82" s="19" t="s">
        <v>115</v>
      </c>
      <c r="C82" s="13" t="n">
        <v>27</v>
      </c>
      <c r="D82" s="11" t="s">
        <v>220</v>
      </c>
      <c r="E82" s="11" t="n">
        <v>1773</v>
      </c>
      <c r="F82" s="20" t="n">
        <v>46307</v>
      </c>
    </row>
    <row r="83" customFormat="false" ht="15" hidden="false" customHeight="true" outlineLevel="0" collapsed="false">
      <c r="A83" s="11" t="s">
        <v>221</v>
      </c>
      <c r="B83" s="19" t="s">
        <v>57</v>
      </c>
      <c r="C83" s="22" t="n">
        <v>15</v>
      </c>
      <c r="D83" s="11" t="s">
        <v>222</v>
      </c>
      <c r="E83" s="11" t="n">
        <v>2319</v>
      </c>
      <c r="F83" s="20" t="n">
        <v>46307</v>
      </c>
    </row>
    <row r="84" customFormat="false" ht="15" hidden="false" customHeight="true" outlineLevel="0" collapsed="false">
      <c r="A84" s="11" t="s">
        <v>223</v>
      </c>
      <c r="B84" s="19" t="s">
        <v>57</v>
      </c>
      <c r="C84" s="13" t="n">
        <v>7</v>
      </c>
      <c r="D84" s="11" t="s">
        <v>224</v>
      </c>
      <c r="E84" s="11" t="n">
        <v>1767</v>
      </c>
      <c r="F84" s="20" t="n">
        <v>46307</v>
      </c>
    </row>
    <row r="85" customFormat="false" ht="15" hidden="false" customHeight="true" outlineLevel="0" collapsed="false">
      <c r="A85" s="11" t="s">
        <v>225</v>
      </c>
      <c r="B85" s="19" t="s">
        <v>57</v>
      </c>
      <c r="C85" s="13" t="n">
        <v>0.3</v>
      </c>
      <c r="D85" s="11" t="s">
        <v>179</v>
      </c>
      <c r="E85" s="11" t="n">
        <v>1782</v>
      </c>
      <c r="F85" s="20" t="n">
        <v>46307</v>
      </c>
    </row>
    <row r="86" customFormat="false" ht="15" hidden="false" customHeight="true" outlineLevel="0" collapsed="false">
      <c r="A86" s="11" t="s">
        <v>226</v>
      </c>
      <c r="B86" s="19" t="s">
        <v>115</v>
      </c>
      <c r="C86" s="13" t="n">
        <v>90</v>
      </c>
      <c r="D86" s="11" t="s">
        <v>227</v>
      </c>
      <c r="E86" s="11" t="n">
        <v>1776</v>
      </c>
      <c r="F86" s="20" t="n">
        <v>46307</v>
      </c>
    </row>
    <row r="87" customFormat="false" ht="15" hidden="false" customHeight="true" outlineLevel="0" collapsed="false">
      <c r="A87" s="11" t="s">
        <v>228</v>
      </c>
      <c r="B87" s="19" t="s">
        <v>57</v>
      </c>
      <c r="C87" s="13" t="n">
        <v>0.5</v>
      </c>
      <c r="D87" s="11" t="s">
        <v>229</v>
      </c>
      <c r="E87" s="11" t="n">
        <v>1826</v>
      </c>
      <c r="F87" s="20" t="n">
        <v>46307</v>
      </c>
    </row>
    <row r="88" customFormat="false" ht="15" hidden="false" customHeight="true" outlineLevel="0" collapsed="false">
      <c r="A88" s="11" t="s">
        <v>230</v>
      </c>
      <c r="B88" s="19" t="s">
        <v>115</v>
      </c>
      <c r="C88" s="13" t="n">
        <v>420</v>
      </c>
      <c r="D88" s="11" t="s">
        <v>231</v>
      </c>
      <c r="E88" s="11" t="n">
        <v>1839</v>
      </c>
      <c r="F88" s="20" t="n">
        <v>46307</v>
      </c>
    </row>
    <row r="89" customFormat="false" ht="15" hidden="false" customHeight="true" outlineLevel="0" collapsed="false">
      <c r="A89" s="11" t="s">
        <v>232</v>
      </c>
      <c r="B89" s="19" t="s">
        <v>57</v>
      </c>
      <c r="C89" s="13" t="n">
        <v>2</v>
      </c>
      <c r="D89" s="11" t="s">
        <v>212</v>
      </c>
      <c r="E89" s="11" t="n">
        <v>1822</v>
      </c>
      <c r="F89" s="20" t="n">
        <v>46307</v>
      </c>
    </row>
    <row r="90" customFormat="false" ht="15" hidden="false" customHeight="true" outlineLevel="0" collapsed="false">
      <c r="A90" s="11" t="s">
        <v>233</v>
      </c>
      <c r="B90" s="19" t="s">
        <v>139</v>
      </c>
      <c r="C90" s="13" t="n">
        <v>20.2727</v>
      </c>
      <c r="D90" s="11" t="s">
        <v>234</v>
      </c>
      <c r="E90" s="11" t="n">
        <v>1789</v>
      </c>
      <c r="F90" s="20" t="n">
        <v>46307</v>
      </c>
    </row>
    <row r="91" customFormat="false" ht="15" hidden="false" customHeight="true" outlineLevel="0" collapsed="false">
      <c r="A91" s="11" t="s">
        <v>235</v>
      </c>
      <c r="B91" s="19" t="s">
        <v>57</v>
      </c>
      <c r="C91" s="13" t="n">
        <v>6</v>
      </c>
      <c r="D91" s="11" t="s">
        <v>236</v>
      </c>
      <c r="E91" s="11" t="n">
        <v>2249</v>
      </c>
      <c r="F91" s="20" t="n">
        <v>46307</v>
      </c>
    </row>
    <row r="92" customFormat="false" ht="15" hidden="false" customHeight="true" outlineLevel="0" collapsed="false">
      <c r="A92" s="11" t="s">
        <v>237</v>
      </c>
      <c r="B92" s="19" t="s">
        <v>115</v>
      </c>
      <c r="C92" s="13" t="n">
        <v>135</v>
      </c>
      <c r="D92" s="11" t="s">
        <v>195</v>
      </c>
      <c r="E92" s="11" t="n">
        <v>1794</v>
      </c>
      <c r="F92" s="20" t="n">
        <v>46307</v>
      </c>
    </row>
    <row r="93" customFormat="false" ht="15" hidden="false" customHeight="true" outlineLevel="0" collapsed="false">
      <c r="A93" s="11" t="s">
        <v>238</v>
      </c>
      <c r="B93" s="19" t="s">
        <v>57</v>
      </c>
      <c r="C93" s="13" t="n">
        <v>5.5</v>
      </c>
      <c r="D93" s="11" t="s">
        <v>239</v>
      </c>
      <c r="E93" s="11" t="n">
        <v>2321</v>
      </c>
      <c r="F93" s="20" t="n">
        <v>46307</v>
      </c>
    </row>
    <row r="94" customFormat="false" ht="15" hidden="false" customHeight="true" outlineLevel="0" collapsed="false">
      <c r="A94" s="11" t="s">
        <v>240</v>
      </c>
      <c r="B94" s="19" t="s">
        <v>57</v>
      </c>
      <c r="C94" s="13" t="n">
        <v>25</v>
      </c>
      <c r="D94" s="11" t="s">
        <v>241</v>
      </c>
      <c r="E94" s="11" t="n">
        <v>2349</v>
      </c>
      <c r="F94" s="20" t="n">
        <v>46307</v>
      </c>
    </row>
    <row r="95" customFormat="false" ht="15" hidden="false" customHeight="true" outlineLevel="0" collapsed="false">
      <c r="A95" s="11" t="s">
        <v>242</v>
      </c>
      <c r="B95" s="19" t="s">
        <v>115</v>
      </c>
      <c r="C95" s="22" t="n">
        <v>151.2027</v>
      </c>
      <c r="D95" s="11" t="s">
        <v>243</v>
      </c>
      <c r="E95" s="11" t="n">
        <v>1758</v>
      </c>
      <c r="F95" s="20" t="n">
        <v>46307</v>
      </c>
    </row>
    <row r="96" customFormat="false" ht="15" hidden="false" customHeight="true" outlineLevel="0" collapsed="false">
      <c r="A96" s="11" t="s">
        <v>244</v>
      </c>
      <c r="B96" s="19" t="s">
        <v>115</v>
      </c>
      <c r="C96" s="13" t="n">
        <v>24</v>
      </c>
      <c r="D96" s="11" t="s">
        <v>245</v>
      </c>
      <c r="E96" s="11" t="n">
        <v>1811</v>
      </c>
      <c r="F96" s="20" t="n">
        <v>46307</v>
      </c>
    </row>
    <row r="97" customFormat="false" ht="15" hidden="false" customHeight="true" outlineLevel="0" collapsed="false">
      <c r="A97" s="11" t="s">
        <v>246</v>
      </c>
      <c r="B97" s="19" t="s">
        <v>57</v>
      </c>
      <c r="C97" s="13" t="n">
        <v>25</v>
      </c>
      <c r="D97" s="11" t="s">
        <v>247</v>
      </c>
      <c r="E97" s="11" t="n">
        <v>2348</v>
      </c>
      <c r="F97" s="20" t="n">
        <v>46307</v>
      </c>
    </row>
    <row r="98" customFormat="false" ht="15" hidden="false" customHeight="true" outlineLevel="0" collapsed="false">
      <c r="A98" s="11" t="s">
        <v>248</v>
      </c>
      <c r="B98" s="19" t="s">
        <v>115</v>
      </c>
      <c r="C98" s="13" t="n">
        <v>8.37</v>
      </c>
      <c r="D98" s="11" t="s">
        <v>249</v>
      </c>
      <c r="E98" s="11" t="n">
        <v>2254</v>
      </c>
      <c r="F98" s="20" t="n">
        <v>46307</v>
      </c>
    </row>
    <row r="99" customFormat="false" ht="15" hidden="false" customHeight="true" outlineLevel="0" collapsed="false">
      <c r="A99" s="11" t="s">
        <v>250</v>
      </c>
      <c r="B99" s="19" t="s">
        <v>57</v>
      </c>
      <c r="C99" s="13" t="n">
        <v>9</v>
      </c>
      <c r="D99" s="11" t="s">
        <v>251</v>
      </c>
      <c r="E99" s="11" t="n">
        <v>2341</v>
      </c>
      <c r="F99" s="20" t="n">
        <v>46307</v>
      </c>
    </row>
    <row r="100" customFormat="false" ht="15" hidden="false" customHeight="true" outlineLevel="0" collapsed="false">
      <c r="A100" s="11" t="s">
        <v>252</v>
      </c>
      <c r="B100" s="19" t="s">
        <v>115</v>
      </c>
      <c r="C100" s="13" t="n">
        <v>610</v>
      </c>
      <c r="D100" s="11" t="s">
        <v>253</v>
      </c>
      <c r="E100" s="11" t="n">
        <v>1793</v>
      </c>
      <c r="F100" s="20" t="n">
        <v>46307</v>
      </c>
    </row>
    <row r="101" customFormat="false" ht="26.25" hidden="false" customHeight="true" outlineLevel="0" collapsed="false">
      <c r="A101" s="11" t="s">
        <v>254</v>
      </c>
      <c r="B101" s="21" t="s">
        <v>255</v>
      </c>
      <c r="C101" s="22" t="n">
        <v>0.3665</v>
      </c>
      <c r="D101" s="11" t="s">
        <v>256</v>
      </c>
      <c r="E101" s="11" t="n">
        <v>1812</v>
      </c>
      <c r="F101" s="20" t="n">
        <v>46307</v>
      </c>
    </row>
    <row r="102" customFormat="false" ht="26.25" hidden="false" customHeight="true" outlineLevel="0" collapsed="false">
      <c r="A102" s="11" t="s">
        <v>257</v>
      </c>
      <c r="B102" s="21" t="s">
        <v>68</v>
      </c>
      <c r="C102" s="22" t="n">
        <v>0.9995</v>
      </c>
      <c r="D102" s="11" t="s">
        <v>258</v>
      </c>
      <c r="E102" s="11" t="s">
        <v>259</v>
      </c>
      <c r="F102" s="20" t="n">
        <v>46307</v>
      </c>
    </row>
    <row r="103" customFormat="false" ht="39" hidden="false" customHeight="true" outlineLevel="0" collapsed="false">
      <c r="A103" s="11" t="s">
        <v>260</v>
      </c>
      <c r="B103" s="21" t="s">
        <v>115</v>
      </c>
      <c r="C103" s="13" t="n">
        <f aca="false">IFERROR((850/5000)*INDEX($C$2:$C$500,MATCH("كاستر بودر",$A$2:$A$500,0))+(2000/5000)*INDEX($C$2:$C$500,MATCH("لبن",$A$2:$A$500,0)),"")</f>
        <v>23.40908</v>
      </c>
      <c r="D103" s="11" t="s">
        <v>261</v>
      </c>
      <c r="E103" s="11" t="s">
        <v>262</v>
      </c>
      <c r="F103" s="20" t="n">
        <v>46230</v>
      </c>
    </row>
    <row r="104" customFormat="false" ht="39" hidden="false" customHeight="true" outlineLevel="0" collapsed="false">
      <c r="A104" s="11" t="s">
        <v>263</v>
      </c>
      <c r="B104" s="21" t="s">
        <v>57</v>
      </c>
      <c r="C104" s="13" t="n">
        <v>4.47</v>
      </c>
      <c r="D104" s="11" t="s">
        <v>264</v>
      </c>
      <c r="E104" s="11" t="n">
        <v>1819</v>
      </c>
      <c r="F104" s="20" t="n">
        <v>46307</v>
      </c>
    </row>
    <row r="105" customFormat="false" ht="51.75" hidden="false" customHeight="true" outlineLevel="0" collapsed="false">
      <c r="A105" s="11" t="s">
        <v>265</v>
      </c>
      <c r="B105" s="21" t="s">
        <v>57</v>
      </c>
      <c r="C105" s="13" t="n">
        <f aca="false">IFERROR((2*INDEX($C$2:$C$500,MATCH("لبن",$A$2:$A$500,0))+0.25*INDEX($C$2:$C$500,MATCH("زبدة",$A$2:$A$500,0))+5*INDEX($C$2:$C$500,MATCH("دقيق",$A$2:$A$500,0))+0.25*INDEX($C$2:$C$500,MATCH("سكر بودرة",$A$2:$A$500,0)))/60,"")</f>
        <v>2.9685125</v>
      </c>
      <c r="D105" s="11" t="s">
        <v>266</v>
      </c>
      <c r="E105" s="11" t="s">
        <v>262</v>
      </c>
      <c r="F105" s="20" t="n">
        <v>46230</v>
      </c>
    </row>
    <row r="106" customFormat="false" ht="26.25" hidden="false" customHeight="true" outlineLevel="0" collapsed="false">
      <c r="A106" s="11" t="s">
        <v>267</v>
      </c>
      <c r="B106" s="21" t="s">
        <v>115</v>
      </c>
      <c r="C106" s="13" t="n">
        <f aca="false">IFERROR((850/5000)*INDEX($C$2:$C$500,MATCH("كاستر بودر",$A$2:$A$500,0)),"")</f>
        <v>15.3</v>
      </c>
      <c r="D106" s="11" t="s">
        <v>268</v>
      </c>
      <c r="E106" s="11" t="s">
        <v>262</v>
      </c>
      <c r="F106" s="20" t="n">
        <v>46230</v>
      </c>
    </row>
    <row r="107" customFormat="false" ht="39" hidden="false" customHeight="true" outlineLevel="0" collapsed="false">
      <c r="A107" s="11" t="s">
        <v>269</v>
      </c>
      <c r="B107" s="21" t="s">
        <v>57</v>
      </c>
      <c r="C107" s="13" t="n">
        <f aca="false">IFERROR((0.25*INDEX($C$2:$C$500,MATCH("زبدة",$A$2:$A$500,0))+5*INDEX($C$2:$C$500,MATCH("دقيق",$A$2:$A$500,0))+0.25*INDEX($C$2:$C$500,MATCH("سكر بودرة",$A$2:$A$500,0)))/60,"")</f>
        <v>2.29275583333333</v>
      </c>
      <c r="D107" s="11" t="s">
        <v>270</v>
      </c>
      <c r="E107" s="11" t="s">
        <v>262</v>
      </c>
      <c r="F107" s="20" t="n">
        <v>46230</v>
      </c>
    </row>
    <row r="108" customFormat="false" ht="26.25" hidden="false" customHeight="true" outlineLevel="0" collapsed="false">
      <c r="A108" s="11" t="s">
        <v>271</v>
      </c>
      <c r="B108" s="21" t="s">
        <v>115</v>
      </c>
      <c r="C108" s="13" t="n">
        <v>220.02</v>
      </c>
      <c r="D108" s="11" t="s">
        <v>272</v>
      </c>
      <c r="E108" s="11" t="n">
        <v>2232</v>
      </c>
      <c r="F108" s="20" t="n">
        <v>46307</v>
      </c>
    </row>
    <row r="109" customFormat="false" ht="26.25" hidden="false" customHeight="true" outlineLevel="0" collapsed="false">
      <c r="A109" s="11" t="s">
        <v>273</v>
      </c>
      <c r="B109" s="21" t="s">
        <v>115</v>
      </c>
      <c r="C109" s="13" t="n">
        <v>219.23</v>
      </c>
      <c r="D109" s="11" t="s">
        <v>274</v>
      </c>
      <c r="E109" s="11" t="n">
        <v>2234</v>
      </c>
      <c r="F109" s="20" t="n">
        <v>46307</v>
      </c>
    </row>
    <row r="110" customFormat="false" ht="26.25" hidden="false" customHeight="true" outlineLevel="0" collapsed="false">
      <c r="A110" s="11" t="s">
        <v>275</v>
      </c>
      <c r="B110" s="21" t="s">
        <v>57</v>
      </c>
      <c r="C110" s="13" t="n">
        <v>6</v>
      </c>
      <c r="D110" s="11" t="s">
        <v>276</v>
      </c>
      <c r="E110" s="11" t="n">
        <v>2236</v>
      </c>
      <c r="F110" s="20" t="n">
        <v>46307</v>
      </c>
    </row>
    <row r="111" customFormat="false" ht="26.25" hidden="false" customHeight="true" outlineLevel="0" collapsed="false">
      <c r="A111" s="11" t="s">
        <v>277</v>
      </c>
      <c r="B111" s="21" t="s">
        <v>57</v>
      </c>
      <c r="C111" s="13" t="n">
        <v>0.3</v>
      </c>
      <c r="D111" s="11" t="s">
        <v>278</v>
      </c>
      <c r="E111" s="11" t="n">
        <v>1825</v>
      </c>
      <c r="F111" s="20" t="n">
        <v>46307</v>
      </c>
    </row>
    <row r="112" customFormat="false" ht="39" hidden="false" customHeight="true" outlineLevel="0" collapsed="false">
      <c r="A112" s="11" t="s">
        <v>279</v>
      </c>
      <c r="B112" s="21" t="s">
        <v>57</v>
      </c>
      <c r="C112" s="13" t="n">
        <v>4.44</v>
      </c>
      <c r="D112" s="11" t="s">
        <v>280</v>
      </c>
      <c r="E112" s="11" t="n">
        <v>1820</v>
      </c>
      <c r="F112" s="20" t="n">
        <v>46307</v>
      </c>
    </row>
    <row r="113" customFormat="false" ht="26.25" hidden="false" customHeight="true" outlineLevel="0" collapsed="false">
      <c r="A113" s="11" t="s">
        <v>281</v>
      </c>
      <c r="B113" s="21" t="s">
        <v>57</v>
      </c>
      <c r="C113" s="22" t="n">
        <v>8</v>
      </c>
      <c r="D113" s="11" t="s">
        <v>282</v>
      </c>
      <c r="E113" s="11" t="n">
        <v>1821</v>
      </c>
      <c r="F113" s="20" t="n">
        <v>46307</v>
      </c>
    </row>
    <row r="114" customFormat="false" ht="90" hidden="false" customHeight="true" outlineLevel="0" collapsed="false">
      <c r="A114" s="11" t="s">
        <v>283</v>
      </c>
      <c r="B114" s="21" t="s">
        <v>57</v>
      </c>
      <c r="C114" s="13" t="n">
        <v>5.5777</v>
      </c>
      <c r="D114" s="11" t="s">
        <v>284</v>
      </c>
      <c r="E114" s="11" t="s">
        <v>259</v>
      </c>
      <c r="F114" s="20" t="n">
        <v>46230</v>
      </c>
    </row>
    <row r="115" customFormat="false" ht="15" hidden="false" customHeight="true" outlineLevel="0" collapsed="false">
      <c r="A115" s="21"/>
      <c r="B115" s="21"/>
      <c r="C115" s="23"/>
      <c r="D115" s="21"/>
      <c r="E115" s="21"/>
      <c r="F115" s="24"/>
    </row>
    <row r="116" customFormat="false" ht="15" hidden="false" customHeight="true" outlineLevel="0" collapsed="false">
      <c r="A116" s="21"/>
      <c r="B116" s="21"/>
      <c r="C116" s="23"/>
      <c r="D116" s="21"/>
      <c r="E116" s="21"/>
      <c r="F116" s="24"/>
    </row>
    <row r="117" customFormat="false" ht="15" hidden="false" customHeight="true" outlineLevel="0" collapsed="false">
      <c r="A117" s="21"/>
      <c r="B117" s="21"/>
      <c r="C117" s="23"/>
      <c r="D117" s="21"/>
      <c r="E117" s="21"/>
      <c r="F117" s="24"/>
    </row>
    <row r="118" customFormat="false" ht="15" hidden="false" customHeight="true" outlineLevel="0" collapsed="false">
      <c r="A118" s="21"/>
      <c r="B118" s="21"/>
      <c r="C118" s="23"/>
      <c r="D118" s="21"/>
      <c r="E118" s="21"/>
      <c r="F118" s="24"/>
    </row>
    <row r="119" customFormat="false" ht="15" hidden="false" customHeight="true" outlineLevel="0" collapsed="false">
      <c r="A119" s="21"/>
      <c r="B119" s="21"/>
      <c r="C119" s="23"/>
      <c r="D119" s="21"/>
      <c r="E119" s="21"/>
      <c r="F119" s="24"/>
    </row>
    <row r="120" customFormat="false" ht="15" hidden="false" customHeight="true" outlineLevel="0" collapsed="false">
      <c r="A120" s="21"/>
      <c r="B120" s="21"/>
      <c r="C120" s="23"/>
      <c r="D120" s="21"/>
      <c r="E120" s="21"/>
      <c r="F120" s="24"/>
    </row>
    <row r="121" customFormat="false" ht="15" hidden="false" customHeight="true" outlineLevel="0" collapsed="false">
      <c r="A121" s="21"/>
      <c r="B121" s="21"/>
      <c r="C121" s="23"/>
      <c r="D121" s="21"/>
      <c r="E121" s="21"/>
      <c r="F121" s="24"/>
    </row>
    <row r="122" customFormat="false" ht="15" hidden="false" customHeight="true" outlineLevel="0" collapsed="false">
      <c r="A122" s="21"/>
      <c r="B122" s="21"/>
      <c r="C122" s="23"/>
      <c r="D122" s="21"/>
      <c r="E122" s="21"/>
      <c r="F122" s="24"/>
    </row>
    <row r="123" customFormat="false" ht="15" hidden="false" customHeight="true" outlineLevel="0" collapsed="false">
      <c r="A123" s="21"/>
      <c r="B123" s="21"/>
      <c r="C123" s="23"/>
      <c r="D123" s="21"/>
      <c r="E123" s="21"/>
      <c r="F123" s="24"/>
    </row>
    <row r="124" customFormat="false" ht="15" hidden="false" customHeight="true" outlineLevel="0" collapsed="false">
      <c r="A124" s="21"/>
      <c r="B124" s="21"/>
      <c r="C124" s="23"/>
      <c r="D124" s="21"/>
      <c r="E124" s="21"/>
      <c r="F124" s="24"/>
    </row>
    <row r="125" customFormat="false" ht="15" hidden="false" customHeight="true" outlineLevel="0" collapsed="false">
      <c r="A125" s="21"/>
      <c r="B125" s="21"/>
      <c r="C125" s="23"/>
      <c r="D125" s="21"/>
      <c r="E125" s="21"/>
      <c r="F125" s="24"/>
    </row>
    <row r="126" customFormat="false" ht="15" hidden="false" customHeight="true" outlineLevel="0" collapsed="false">
      <c r="A126" s="21"/>
      <c r="B126" s="21"/>
      <c r="C126" s="23"/>
      <c r="D126" s="21"/>
      <c r="E126" s="21"/>
      <c r="F126" s="24"/>
    </row>
    <row r="127" customFormat="false" ht="15" hidden="false" customHeight="true" outlineLevel="0" collapsed="false">
      <c r="A127" s="21"/>
      <c r="B127" s="21"/>
      <c r="C127" s="23"/>
      <c r="D127" s="21"/>
      <c r="E127" s="21"/>
      <c r="F127" s="24"/>
    </row>
    <row r="128" customFormat="false" ht="15" hidden="false" customHeight="true" outlineLevel="0" collapsed="false">
      <c r="A128" s="21"/>
      <c r="B128" s="21"/>
      <c r="C128" s="23"/>
      <c r="D128" s="21"/>
      <c r="E128" s="21"/>
      <c r="F128" s="24"/>
    </row>
    <row r="129" customFormat="false" ht="15" hidden="false" customHeight="true" outlineLevel="0" collapsed="false">
      <c r="A129" s="21"/>
      <c r="B129" s="21"/>
      <c r="C129" s="23"/>
      <c r="D129" s="21"/>
      <c r="E129" s="21"/>
      <c r="F129" s="24"/>
    </row>
    <row r="130" customFormat="false" ht="15" hidden="false" customHeight="true" outlineLevel="0" collapsed="false">
      <c r="A130" s="21"/>
      <c r="B130" s="21"/>
      <c r="C130" s="23"/>
      <c r="D130" s="21"/>
      <c r="E130" s="21"/>
      <c r="F130" s="24"/>
    </row>
    <row r="131" customFormat="false" ht="15" hidden="false" customHeight="true" outlineLevel="0" collapsed="false">
      <c r="A131" s="21"/>
      <c r="B131" s="21"/>
      <c r="C131" s="23"/>
      <c r="D131" s="21"/>
      <c r="E131" s="21"/>
      <c r="F131" s="24"/>
    </row>
    <row r="132" customFormat="false" ht="15" hidden="false" customHeight="true" outlineLevel="0" collapsed="false">
      <c r="A132" s="21"/>
      <c r="B132" s="21"/>
      <c r="C132" s="23"/>
      <c r="D132" s="21"/>
      <c r="E132" s="21"/>
      <c r="F132" s="24"/>
    </row>
    <row r="133" customFormat="false" ht="15" hidden="false" customHeight="true" outlineLevel="0" collapsed="false">
      <c r="A133" s="21"/>
      <c r="B133" s="21"/>
      <c r="C133" s="23"/>
      <c r="D133" s="21"/>
      <c r="E133" s="21"/>
      <c r="F133" s="24"/>
    </row>
    <row r="134" customFormat="false" ht="15" hidden="false" customHeight="true" outlineLevel="0" collapsed="false">
      <c r="A134" s="21"/>
      <c r="B134" s="21"/>
      <c r="C134" s="23"/>
      <c r="D134" s="21"/>
      <c r="E134" s="21"/>
      <c r="F134" s="24"/>
    </row>
    <row r="135" customFormat="false" ht="15" hidden="false" customHeight="true" outlineLevel="0" collapsed="false">
      <c r="A135" s="21"/>
      <c r="B135" s="21"/>
      <c r="C135" s="23"/>
      <c r="D135" s="21"/>
      <c r="E135" s="21"/>
      <c r="F135" s="24"/>
    </row>
    <row r="136" customFormat="false" ht="15" hidden="false" customHeight="true" outlineLevel="0" collapsed="false">
      <c r="A136" s="21"/>
      <c r="B136" s="21"/>
      <c r="C136" s="23"/>
      <c r="D136" s="21"/>
      <c r="E136" s="21"/>
      <c r="F136" s="24"/>
    </row>
    <row r="137" customFormat="false" ht="15" hidden="false" customHeight="true" outlineLevel="0" collapsed="false">
      <c r="A137" s="21"/>
      <c r="B137" s="21"/>
      <c r="C137" s="23"/>
      <c r="D137" s="21"/>
      <c r="E137" s="21"/>
      <c r="F137" s="24"/>
    </row>
    <row r="138" customFormat="false" ht="15" hidden="false" customHeight="true" outlineLevel="0" collapsed="false">
      <c r="A138" s="21"/>
      <c r="B138" s="21"/>
      <c r="C138" s="23"/>
      <c r="D138" s="21"/>
      <c r="E138" s="21"/>
      <c r="F138" s="24"/>
    </row>
    <row r="139" customFormat="false" ht="15" hidden="false" customHeight="true" outlineLevel="0" collapsed="false">
      <c r="A139" s="21"/>
      <c r="B139" s="21"/>
      <c r="C139" s="23"/>
      <c r="D139" s="21"/>
      <c r="E139" s="21"/>
      <c r="F139" s="24"/>
    </row>
    <row r="140" customFormat="false" ht="15" hidden="false" customHeight="true" outlineLevel="0" collapsed="false">
      <c r="A140" s="21"/>
      <c r="B140" s="21"/>
      <c r="C140" s="23"/>
      <c r="D140" s="21"/>
      <c r="E140" s="21"/>
      <c r="F140" s="24"/>
    </row>
    <row r="141" customFormat="false" ht="15" hidden="false" customHeight="true" outlineLevel="0" collapsed="false">
      <c r="A141" s="21"/>
      <c r="B141" s="21"/>
      <c r="C141" s="23"/>
      <c r="D141" s="21"/>
      <c r="E141" s="21"/>
      <c r="F141" s="24"/>
    </row>
    <row r="142" customFormat="false" ht="15" hidden="false" customHeight="true" outlineLevel="0" collapsed="false">
      <c r="A142" s="21"/>
      <c r="B142" s="21"/>
      <c r="C142" s="23"/>
      <c r="D142" s="21"/>
      <c r="E142" s="21"/>
      <c r="F142" s="24"/>
    </row>
    <row r="143" customFormat="false" ht="15" hidden="false" customHeight="true" outlineLevel="0" collapsed="false">
      <c r="A143" s="21"/>
      <c r="B143" s="21"/>
      <c r="C143" s="23"/>
      <c r="D143" s="21"/>
      <c r="E143" s="21"/>
      <c r="F143" s="24"/>
    </row>
    <row r="144" customFormat="false" ht="15" hidden="false" customHeight="true" outlineLevel="0" collapsed="false">
      <c r="A144" s="21"/>
      <c r="B144" s="21"/>
      <c r="C144" s="23"/>
      <c r="D144" s="21"/>
      <c r="E144" s="21"/>
      <c r="F144" s="24"/>
    </row>
    <row r="145" customFormat="false" ht="15" hidden="false" customHeight="true" outlineLevel="0" collapsed="false">
      <c r="A145" s="21"/>
      <c r="B145" s="21"/>
      <c r="C145" s="23"/>
      <c r="D145" s="21"/>
      <c r="E145" s="21"/>
      <c r="F145" s="24"/>
    </row>
    <row r="146" customFormat="false" ht="15" hidden="false" customHeight="true" outlineLevel="0" collapsed="false">
      <c r="A146" s="21"/>
      <c r="B146" s="21"/>
      <c r="C146" s="23"/>
      <c r="D146" s="21"/>
      <c r="E146" s="21"/>
      <c r="F146" s="24"/>
    </row>
    <row r="147" customFormat="false" ht="15" hidden="false" customHeight="true" outlineLevel="0" collapsed="false">
      <c r="A147" s="21"/>
      <c r="B147" s="21"/>
      <c r="C147" s="23"/>
      <c r="D147" s="21"/>
      <c r="E147" s="21"/>
      <c r="F147" s="24"/>
    </row>
    <row r="148" customFormat="false" ht="15" hidden="false" customHeight="true" outlineLevel="0" collapsed="false">
      <c r="A148" s="21"/>
      <c r="B148" s="21"/>
      <c r="C148" s="23"/>
      <c r="D148" s="21"/>
      <c r="E148" s="21"/>
      <c r="F148" s="24"/>
    </row>
    <row r="149" customFormat="false" ht="15" hidden="false" customHeight="true" outlineLevel="0" collapsed="false">
      <c r="A149" s="21"/>
      <c r="B149" s="21"/>
      <c r="C149" s="23"/>
      <c r="D149" s="21"/>
      <c r="E149" s="21"/>
      <c r="F149" s="24"/>
    </row>
    <row r="150" customFormat="false" ht="15" hidden="false" customHeight="true" outlineLevel="0" collapsed="false">
      <c r="A150" s="21"/>
      <c r="B150" s="21"/>
      <c r="C150" s="23"/>
      <c r="D150" s="21"/>
      <c r="E150" s="21"/>
      <c r="F150" s="24"/>
    </row>
    <row r="151" customFormat="false" ht="15" hidden="false" customHeight="true" outlineLevel="0" collapsed="false">
      <c r="A151" s="21"/>
      <c r="B151" s="21"/>
      <c r="C151" s="23"/>
      <c r="D151" s="21"/>
      <c r="E151" s="21"/>
      <c r="F151" s="24"/>
    </row>
    <row r="152" customFormat="false" ht="15" hidden="false" customHeight="true" outlineLevel="0" collapsed="false">
      <c r="A152" s="21"/>
      <c r="B152" s="21"/>
      <c r="C152" s="23"/>
      <c r="D152" s="21"/>
      <c r="E152" s="21"/>
      <c r="F152" s="24"/>
    </row>
    <row r="153" customFormat="false" ht="15" hidden="false" customHeight="true" outlineLevel="0" collapsed="false">
      <c r="A153" s="21"/>
      <c r="B153" s="21"/>
      <c r="C153" s="23"/>
      <c r="D153" s="21"/>
      <c r="E153" s="21"/>
      <c r="F153" s="24"/>
    </row>
    <row r="154" customFormat="false" ht="15" hidden="false" customHeight="true" outlineLevel="0" collapsed="false">
      <c r="A154" s="21"/>
      <c r="B154" s="21"/>
      <c r="C154" s="23"/>
      <c r="D154" s="21"/>
      <c r="E154" s="21"/>
      <c r="F154" s="24"/>
    </row>
    <row r="155" customFormat="false" ht="15" hidden="false" customHeight="true" outlineLevel="0" collapsed="false">
      <c r="A155" s="21"/>
      <c r="B155" s="21"/>
      <c r="C155" s="23"/>
      <c r="D155" s="21"/>
      <c r="E155" s="21"/>
      <c r="F155" s="24"/>
    </row>
    <row r="156" customFormat="false" ht="15" hidden="false" customHeight="true" outlineLevel="0" collapsed="false">
      <c r="A156" s="21"/>
      <c r="B156" s="21"/>
      <c r="C156" s="23"/>
      <c r="D156" s="21"/>
      <c r="E156" s="21"/>
      <c r="F156" s="24"/>
    </row>
    <row r="157" customFormat="false" ht="15" hidden="false" customHeight="true" outlineLevel="0" collapsed="false">
      <c r="A157" s="21"/>
      <c r="B157" s="21"/>
      <c r="C157" s="23"/>
      <c r="D157" s="21"/>
      <c r="E157" s="21"/>
      <c r="F157" s="24"/>
    </row>
    <row r="158" customFormat="false" ht="15" hidden="false" customHeight="true" outlineLevel="0" collapsed="false">
      <c r="A158" s="21"/>
      <c r="B158" s="21"/>
      <c r="C158" s="23"/>
      <c r="D158" s="21"/>
      <c r="E158" s="21"/>
      <c r="F158" s="24"/>
    </row>
    <row r="159" customFormat="false" ht="15" hidden="false" customHeight="true" outlineLevel="0" collapsed="false">
      <c r="A159" s="21"/>
      <c r="B159" s="21"/>
      <c r="C159" s="23"/>
      <c r="D159" s="21"/>
      <c r="E159" s="21"/>
      <c r="F159" s="24"/>
    </row>
    <row r="160" customFormat="false" ht="15" hidden="false" customHeight="true" outlineLevel="0" collapsed="false">
      <c r="A160" s="21"/>
      <c r="B160" s="21"/>
      <c r="C160" s="23"/>
      <c r="D160" s="21"/>
      <c r="E160" s="21"/>
      <c r="F160" s="24"/>
    </row>
    <row r="161" customFormat="false" ht="15" hidden="false" customHeight="true" outlineLevel="0" collapsed="false">
      <c r="A161" s="21"/>
      <c r="B161" s="21"/>
      <c r="C161" s="23"/>
      <c r="D161" s="21"/>
      <c r="E161" s="21"/>
      <c r="F161" s="24"/>
    </row>
    <row r="162" customFormat="false" ht="15" hidden="false" customHeight="true" outlineLevel="0" collapsed="false">
      <c r="A162" s="21"/>
      <c r="B162" s="21"/>
      <c r="C162" s="23"/>
      <c r="D162" s="21"/>
      <c r="E162" s="21"/>
      <c r="F162" s="24"/>
    </row>
    <row r="163" customFormat="false" ht="15" hidden="false" customHeight="true" outlineLevel="0" collapsed="false">
      <c r="A163" s="21"/>
      <c r="B163" s="21"/>
      <c r="C163" s="23"/>
      <c r="D163" s="21"/>
      <c r="E163" s="21"/>
      <c r="F163" s="24"/>
    </row>
    <row r="164" customFormat="false" ht="15" hidden="false" customHeight="true" outlineLevel="0" collapsed="false">
      <c r="A164" s="21"/>
      <c r="B164" s="21"/>
      <c r="C164" s="23"/>
      <c r="D164" s="21"/>
      <c r="E164" s="21"/>
      <c r="F164" s="24"/>
    </row>
    <row r="165" customFormat="false" ht="15" hidden="false" customHeight="true" outlineLevel="0" collapsed="false">
      <c r="A165" s="21"/>
      <c r="B165" s="21"/>
      <c r="C165" s="23"/>
      <c r="D165" s="21"/>
      <c r="E165" s="21"/>
      <c r="F165" s="24"/>
    </row>
    <row r="166" customFormat="false" ht="15" hidden="false" customHeight="true" outlineLevel="0" collapsed="false">
      <c r="A166" s="21"/>
      <c r="B166" s="21"/>
      <c r="C166" s="23"/>
      <c r="D166" s="21"/>
      <c r="E166" s="21"/>
      <c r="F166" s="24"/>
    </row>
    <row r="167" customFormat="false" ht="15" hidden="false" customHeight="true" outlineLevel="0" collapsed="false">
      <c r="A167" s="21"/>
      <c r="B167" s="21"/>
      <c r="C167" s="23"/>
      <c r="D167" s="21"/>
      <c r="E167" s="21"/>
      <c r="F167" s="24"/>
    </row>
    <row r="168" customFormat="false" ht="15" hidden="false" customHeight="true" outlineLevel="0" collapsed="false">
      <c r="A168" s="21"/>
      <c r="B168" s="21"/>
      <c r="C168" s="23"/>
      <c r="D168" s="21"/>
      <c r="E168" s="21"/>
      <c r="F168" s="24"/>
    </row>
    <row r="169" customFormat="false" ht="15" hidden="false" customHeight="true" outlineLevel="0" collapsed="false">
      <c r="A169" s="21"/>
      <c r="B169" s="21"/>
      <c r="C169" s="23"/>
      <c r="D169" s="21"/>
      <c r="E169" s="21"/>
      <c r="F169" s="24"/>
    </row>
    <row r="170" customFormat="false" ht="15" hidden="false" customHeight="true" outlineLevel="0" collapsed="false">
      <c r="A170" s="21"/>
      <c r="B170" s="21"/>
      <c r="C170" s="23"/>
      <c r="D170" s="21"/>
      <c r="E170" s="21"/>
      <c r="F170" s="24"/>
    </row>
    <row r="171" customFormat="false" ht="15" hidden="false" customHeight="true" outlineLevel="0" collapsed="false">
      <c r="A171" s="21"/>
      <c r="B171" s="21"/>
      <c r="C171" s="23"/>
      <c r="D171" s="21"/>
      <c r="E171" s="21"/>
      <c r="F171" s="24"/>
    </row>
    <row r="172" customFormat="false" ht="15" hidden="false" customHeight="true" outlineLevel="0" collapsed="false">
      <c r="A172" s="21"/>
      <c r="B172" s="21"/>
      <c r="C172" s="23"/>
      <c r="D172" s="21"/>
      <c r="E172" s="21"/>
      <c r="F172" s="24"/>
    </row>
    <row r="173" customFormat="false" ht="15" hidden="false" customHeight="true" outlineLevel="0" collapsed="false">
      <c r="A173" s="21"/>
      <c r="B173" s="21"/>
      <c r="C173" s="23"/>
      <c r="D173" s="21"/>
      <c r="E173" s="21"/>
      <c r="F173" s="24"/>
    </row>
    <row r="174" customFormat="false" ht="15" hidden="false" customHeight="true" outlineLevel="0" collapsed="false">
      <c r="A174" s="21"/>
      <c r="B174" s="21"/>
      <c r="C174" s="23"/>
      <c r="D174" s="21"/>
      <c r="E174" s="21"/>
      <c r="F174" s="24"/>
    </row>
    <row r="175" customFormat="false" ht="15" hidden="false" customHeight="true" outlineLevel="0" collapsed="false">
      <c r="A175" s="21"/>
      <c r="B175" s="21"/>
      <c r="C175" s="23"/>
      <c r="D175" s="21"/>
      <c r="E175" s="21"/>
      <c r="F175" s="24"/>
    </row>
    <row r="176" customFormat="false" ht="15" hidden="false" customHeight="true" outlineLevel="0" collapsed="false">
      <c r="A176" s="21"/>
      <c r="B176" s="21"/>
      <c r="C176" s="23"/>
      <c r="D176" s="21"/>
      <c r="E176" s="21"/>
      <c r="F176" s="24"/>
    </row>
    <row r="177" customFormat="false" ht="15" hidden="false" customHeight="true" outlineLevel="0" collapsed="false">
      <c r="A177" s="21"/>
      <c r="B177" s="21"/>
      <c r="C177" s="23"/>
      <c r="D177" s="21"/>
      <c r="E177" s="21"/>
      <c r="F177" s="24"/>
    </row>
    <row r="178" customFormat="false" ht="15" hidden="false" customHeight="true" outlineLevel="0" collapsed="false">
      <c r="A178" s="21"/>
      <c r="B178" s="21"/>
      <c r="C178" s="23"/>
      <c r="D178" s="21"/>
      <c r="E178" s="21"/>
      <c r="F178" s="24"/>
    </row>
    <row r="179" customFormat="false" ht="15" hidden="false" customHeight="true" outlineLevel="0" collapsed="false">
      <c r="A179" s="21"/>
      <c r="B179" s="21"/>
      <c r="C179" s="23"/>
      <c r="D179" s="21"/>
      <c r="E179" s="21"/>
      <c r="F179" s="24"/>
    </row>
    <row r="180" customFormat="false" ht="15" hidden="false" customHeight="true" outlineLevel="0" collapsed="false">
      <c r="A180" s="21"/>
      <c r="B180" s="21"/>
      <c r="C180" s="23"/>
      <c r="D180" s="21"/>
      <c r="E180" s="21"/>
      <c r="F180" s="24"/>
    </row>
    <row r="181" customFormat="false" ht="15" hidden="false" customHeight="true" outlineLevel="0" collapsed="false">
      <c r="A181" s="21"/>
      <c r="B181" s="21"/>
      <c r="C181" s="23"/>
      <c r="D181" s="21"/>
      <c r="E181" s="21"/>
      <c r="F181" s="24"/>
    </row>
    <row r="182" customFormat="false" ht="15" hidden="false" customHeight="true" outlineLevel="0" collapsed="false">
      <c r="A182" s="21"/>
      <c r="B182" s="21"/>
      <c r="C182" s="23"/>
      <c r="D182" s="21"/>
      <c r="E182" s="21"/>
      <c r="F182" s="24"/>
    </row>
    <row r="183" customFormat="false" ht="15" hidden="false" customHeight="true" outlineLevel="0" collapsed="false">
      <c r="A183" s="21"/>
      <c r="B183" s="21"/>
      <c r="C183" s="23"/>
      <c r="D183" s="21"/>
      <c r="E183" s="21"/>
      <c r="F183" s="24"/>
    </row>
    <row r="184" customFormat="false" ht="15" hidden="false" customHeight="true" outlineLevel="0" collapsed="false">
      <c r="A184" s="21"/>
      <c r="B184" s="21"/>
      <c r="C184" s="23"/>
      <c r="D184" s="21"/>
      <c r="E184" s="21"/>
      <c r="F184" s="24"/>
    </row>
    <row r="185" customFormat="false" ht="15" hidden="false" customHeight="true" outlineLevel="0" collapsed="false">
      <c r="A185" s="21"/>
      <c r="B185" s="21"/>
      <c r="C185" s="23"/>
      <c r="D185" s="21"/>
      <c r="E185" s="21"/>
      <c r="F185" s="24"/>
    </row>
    <row r="186" customFormat="false" ht="15" hidden="false" customHeight="true" outlineLevel="0" collapsed="false">
      <c r="A186" s="21"/>
      <c r="B186" s="21"/>
      <c r="C186" s="23"/>
      <c r="D186" s="21"/>
      <c r="E186" s="21"/>
      <c r="F186" s="24"/>
    </row>
    <row r="187" customFormat="false" ht="15" hidden="false" customHeight="true" outlineLevel="0" collapsed="false">
      <c r="A187" s="21"/>
      <c r="B187" s="21"/>
      <c r="C187" s="23"/>
      <c r="D187" s="21"/>
      <c r="E187" s="21"/>
      <c r="F187" s="24"/>
    </row>
    <row r="188" customFormat="false" ht="15" hidden="false" customHeight="true" outlineLevel="0" collapsed="false">
      <c r="A188" s="21"/>
      <c r="B188" s="21"/>
      <c r="C188" s="23"/>
      <c r="D188" s="21"/>
      <c r="E188" s="21"/>
      <c r="F188" s="24"/>
    </row>
    <row r="189" customFormat="false" ht="15" hidden="false" customHeight="true" outlineLevel="0" collapsed="false">
      <c r="A189" s="21"/>
      <c r="B189" s="21"/>
      <c r="C189" s="23"/>
      <c r="D189" s="21"/>
      <c r="E189" s="21"/>
      <c r="F189" s="24"/>
    </row>
    <row r="190" customFormat="false" ht="15" hidden="false" customHeight="true" outlineLevel="0" collapsed="false">
      <c r="A190" s="21"/>
      <c r="B190" s="21"/>
      <c r="C190" s="23"/>
      <c r="D190" s="21"/>
      <c r="E190" s="21"/>
      <c r="F190" s="24"/>
    </row>
    <row r="191" customFormat="false" ht="15" hidden="false" customHeight="true" outlineLevel="0" collapsed="false">
      <c r="A191" s="21"/>
      <c r="B191" s="21"/>
      <c r="C191" s="23"/>
      <c r="D191" s="21"/>
      <c r="E191" s="21"/>
      <c r="F191" s="24"/>
    </row>
    <row r="192" customFormat="false" ht="15" hidden="false" customHeight="true" outlineLevel="0" collapsed="false">
      <c r="A192" s="21"/>
      <c r="B192" s="21"/>
      <c r="C192" s="23"/>
      <c r="D192" s="21"/>
      <c r="E192" s="21"/>
      <c r="F192" s="24"/>
    </row>
    <row r="193" customFormat="false" ht="15" hidden="false" customHeight="true" outlineLevel="0" collapsed="false">
      <c r="A193" s="21"/>
      <c r="B193" s="21"/>
      <c r="C193" s="23"/>
      <c r="D193" s="21"/>
      <c r="E193" s="21"/>
      <c r="F193" s="24"/>
    </row>
    <row r="194" customFormat="false" ht="15" hidden="false" customHeight="true" outlineLevel="0" collapsed="false">
      <c r="A194" s="21"/>
      <c r="B194" s="21"/>
      <c r="C194" s="23"/>
      <c r="D194" s="21"/>
      <c r="E194" s="21"/>
      <c r="F194" s="24"/>
    </row>
    <row r="195" customFormat="false" ht="15" hidden="false" customHeight="true" outlineLevel="0" collapsed="false">
      <c r="A195" s="21"/>
      <c r="B195" s="21"/>
      <c r="C195" s="23"/>
      <c r="D195" s="21"/>
      <c r="E195" s="21"/>
      <c r="F195" s="24"/>
    </row>
    <row r="196" customFormat="false" ht="15" hidden="false" customHeight="true" outlineLevel="0" collapsed="false">
      <c r="A196" s="21"/>
      <c r="B196" s="21"/>
      <c r="C196" s="23"/>
      <c r="D196" s="21"/>
      <c r="E196" s="21"/>
      <c r="F196" s="24"/>
    </row>
    <row r="197" customFormat="false" ht="15" hidden="false" customHeight="true" outlineLevel="0" collapsed="false">
      <c r="A197" s="21"/>
      <c r="B197" s="21"/>
      <c r="C197" s="23"/>
      <c r="D197" s="21"/>
      <c r="E197" s="21"/>
      <c r="F197" s="24"/>
    </row>
    <row r="198" customFormat="false" ht="15" hidden="false" customHeight="true" outlineLevel="0" collapsed="false">
      <c r="A198" s="21"/>
      <c r="B198" s="21"/>
      <c r="C198" s="23"/>
      <c r="D198" s="21"/>
      <c r="E198" s="21"/>
      <c r="F198" s="24"/>
    </row>
    <row r="199" customFormat="false" ht="15" hidden="false" customHeight="true" outlineLevel="0" collapsed="false">
      <c r="A199" s="21"/>
      <c r="B199" s="21"/>
      <c r="C199" s="23"/>
      <c r="D199" s="21"/>
      <c r="E199" s="21"/>
      <c r="F199" s="24"/>
    </row>
    <row r="200" customFormat="false" ht="15" hidden="false" customHeight="true" outlineLevel="0" collapsed="false">
      <c r="A200" s="21"/>
      <c r="B200" s="21"/>
      <c r="C200" s="23"/>
      <c r="D200" s="21"/>
      <c r="E200" s="21"/>
      <c r="F200" s="24"/>
    </row>
    <row r="201" customFormat="false" ht="15" hidden="false" customHeight="true" outlineLevel="0" collapsed="false">
      <c r="A201" s="21"/>
      <c r="B201" s="21"/>
      <c r="C201" s="23"/>
      <c r="D201" s="21"/>
      <c r="E201" s="21"/>
      <c r="F201" s="24"/>
    </row>
    <row r="202" customFormat="false" ht="15" hidden="false" customHeight="true" outlineLevel="0" collapsed="false">
      <c r="A202" s="21"/>
      <c r="B202" s="21"/>
      <c r="C202" s="23"/>
      <c r="D202" s="21"/>
      <c r="E202" s="21"/>
      <c r="F202" s="24"/>
    </row>
    <row r="203" customFormat="false" ht="15" hidden="false" customHeight="true" outlineLevel="0" collapsed="false">
      <c r="A203" s="21"/>
      <c r="B203" s="21"/>
      <c r="C203" s="23"/>
      <c r="D203" s="21"/>
      <c r="E203" s="21"/>
      <c r="F203" s="24"/>
    </row>
    <row r="204" customFormat="false" ht="15" hidden="false" customHeight="true" outlineLevel="0" collapsed="false">
      <c r="A204" s="21"/>
      <c r="B204" s="21"/>
      <c r="C204" s="23"/>
      <c r="D204" s="21"/>
      <c r="E204" s="21"/>
      <c r="F204" s="24"/>
    </row>
    <row r="205" customFormat="false" ht="15" hidden="false" customHeight="true" outlineLevel="0" collapsed="false">
      <c r="A205" s="21"/>
      <c r="B205" s="21"/>
      <c r="C205" s="23"/>
      <c r="D205" s="21"/>
      <c r="E205" s="21"/>
      <c r="F205" s="24"/>
    </row>
    <row r="206" customFormat="false" ht="15" hidden="false" customHeight="true" outlineLevel="0" collapsed="false">
      <c r="A206" s="21"/>
      <c r="B206" s="21"/>
      <c r="C206" s="23"/>
      <c r="D206" s="21"/>
      <c r="E206" s="21"/>
      <c r="F206" s="24"/>
    </row>
    <row r="207" customFormat="false" ht="15" hidden="false" customHeight="true" outlineLevel="0" collapsed="false">
      <c r="A207" s="21"/>
      <c r="B207" s="21"/>
      <c r="C207" s="23"/>
      <c r="D207" s="21"/>
      <c r="E207" s="21"/>
      <c r="F207" s="24"/>
    </row>
    <row r="208" customFormat="false" ht="15" hidden="false" customHeight="true" outlineLevel="0" collapsed="false">
      <c r="A208" s="21"/>
      <c r="B208" s="21"/>
      <c r="C208" s="23"/>
      <c r="D208" s="21"/>
      <c r="E208" s="21"/>
      <c r="F208" s="24"/>
    </row>
    <row r="209" customFormat="false" ht="15" hidden="false" customHeight="true" outlineLevel="0" collapsed="false">
      <c r="A209" s="21"/>
      <c r="B209" s="21"/>
      <c r="C209" s="23"/>
      <c r="D209" s="21"/>
      <c r="E209" s="21"/>
      <c r="F209" s="24"/>
    </row>
    <row r="210" customFormat="false" ht="15" hidden="false" customHeight="true" outlineLevel="0" collapsed="false">
      <c r="A210" s="21"/>
      <c r="B210" s="21"/>
      <c r="C210" s="23"/>
      <c r="D210" s="21"/>
      <c r="E210" s="21"/>
      <c r="F210" s="24"/>
    </row>
    <row r="211" customFormat="false" ht="15" hidden="false" customHeight="true" outlineLevel="0" collapsed="false">
      <c r="A211" s="21"/>
      <c r="B211" s="21"/>
      <c r="C211" s="23"/>
      <c r="D211" s="21"/>
      <c r="E211" s="21"/>
      <c r="F211" s="24"/>
    </row>
    <row r="212" customFormat="false" ht="15" hidden="false" customHeight="true" outlineLevel="0" collapsed="false">
      <c r="A212" s="21"/>
      <c r="B212" s="21"/>
      <c r="C212" s="23"/>
      <c r="D212" s="21"/>
      <c r="E212" s="21"/>
      <c r="F212" s="24"/>
    </row>
    <row r="213" customFormat="false" ht="15" hidden="false" customHeight="true" outlineLevel="0" collapsed="false">
      <c r="A213" s="21"/>
      <c r="B213" s="21"/>
      <c r="C213" s="23"/>
      <c r="D213" s="21"/>
      <c r="E213" s="21"/>
      <c r="F213" s="24"/>
    </row>
    <row r="214" customFormat="false" ht="15" hidden="false" customHeight="true" outlineLevel="0" collapsed="false">
      <c r="A214" s="21"/>
      <c r="B214" s="21"/>
      <c r="C214" s="23"/>
      <c r="D214" s="21"/>
      <c r="E214" s="21"/>
      <c r="F214" s="24"/>
    </row>
    <row r="215" customFormat="false" ht="15" hidden="false" customHeight="true" outlineLevel="0" collapsed="false">
      <c r="A215" s="21"/>
      <c r="B215" s="21"/>
      <c r="C215" s="23"/>
      <c r="D215" s="21"/>
      <c r="E215" s="21"/>
      <c r="F215" s="24"/>
    </row>
    <row r="216" customFormat="false" ht="15" hidden="false" customHeight="true" outlineLevel="0" collapsed="false">
      <c r="A216" s="21"/>
      <c r="B216" s="21"/>
      <c r="C216" s="23"/>
      <c r="D216" s="21"/>
      <c r="E216" s="21"/>
      <c r="F216" s="24"/>
    </row>
    <row r="217" customFormat="false" ht="15" hidden="false" customHeight="true" outlineLevel="0" collapsed="false">
      <c r="A217" s="21"/>
      <c r="B217" s="21"/>
      <c r="C217" s="23"/>
      <c r="D217" s="21"/>
      <c r="E217" s="21"/>
      <c r="F217" s="24"/>
    </row>
    <row r="218" customFormat="false" ht="15" hidden="false" customHeight="true" outlineLevel="0" collapsed="false">
      <c r="A218" s="21"/>
      <c r="B218" s="21"/>
      <c r="C218" s="23"/>
      <c r="D218" s="21"/>
      <c r="E218" s="21"/>
      <c r="F218" s="24"/>
    </row>
    <row r="219" customFormat="false" ht="15" hidden="false" customHeight="true" outlineLevel="0" collapsed="false">
      <c r="A219" s="21"/>
      <c r="B219" s="21"/>
      <c r="C219" s="23"/>
      <c r="D219" s="21"/>
      <c r="E219" s="21"/>
      <c r="F219" s="24"/>
    </row>
    <row r="220" customFormat="false" ht="15" hidden="false" customHeight="true" outlineLevel="0" collapsed="false">
      <c r="A220" s="21"/>
      <c r="B220" s="21"/>
      <c r="C220" s="23"/>
      <c r="D220" s="21"/>
      <c r="E220" s="21"/>
      <c r="F220" s="24"/>
    </row>
    <row r="221" customFormat="false" ht="15" hidden="false" customHeight="true" outlineLevel="0" collapsed="false">
      <c r="A221" s="21"/>
      <c r="B221" s="21"/>
      <c r="C221" s="23"/>
      <c r="D221" s="21"/>
      <c r="E221" s="21"/>
      <c r="F221" s="24"/>
    </row>
    <row r="222" customFormat="false" ht="15" hidden="false" customHeight="true" outlineLevel="0" collapsed="false">
      <c r="A222" s="21"/>
      <c r="B222" s="21"/>
      <c r="C222" s="23"/>
      <c r="D222" s="21"/>
      <c r="E222" s="21"/>
      <c r="F222" s="24"/>
    </row>
    <row r="223" customFormat="false" ht="15" hidden="false" customHeight="true" outlineLevel="0" collapsed="false">
      <c r="A223" s="21"/>
      <c r="B223" s="21"/>
      <c r="C223" s="23"/>
      <c r="D223" s="21"/>
      <c r="E223" s="21"/>
      <c r="F223" s="24"/>
    </row>
    <row r="224" customFormat="false" ht="15" hidden="false" customHeight="true" outlineLevel="0" collapsed="false">
      <c r="A224" s="21"/>
      <c r="B224" s="21"/>
      <c r="C224" s="23"/>
      <c r="D224" s="21"/>
      <c r="E224" s="21"/>
      <c r="F224" s="24"/>
    </row>
    <row r="225" customFormat="false" ht="15" hidden="false" customHeight="true" outlineLevel="0" collapsed="false">
      <c r="A225" s="21"/>
      <c r="B225" s="21"/>
      <c r="C225" s="23"/>
      <c r="D225" s="21"/>
      <c r="E225" s="21"/>
      <c r="F225" s="24"/>
    </row>
    <row r="226" customFormat="false" ht="15" hidden="false" customHeight="true" outlineLevel="0" collapsed="false">
      <c r="A226" s="21"/>
      <c r="B226" s="21"/>
      <c r="C226" s="23"/>
      <c r="D226" s="21"/>
      <c r="E226" s="21"/>
      <c r="F226" s="24"/>
    </row>
    <row r="227" customFormat="false" ht="15" hidden="false" customHeight="true" outlineLevel="0" collapsed="false">
      <c r="A227" s="21"/>
      <c r="B227" s="21"/>
      <c r="C227" s="23"/>
      <c r="D227" s="21"/>
      <c r="E227" s="21"/>
      <c r="F227" s="24"/>
    </row>
    <row r="228" customFormat="false" ht="15" hidden="false" customHeight="true" outlineLevel="0" collapsed="false">
      <c r="A228" s="21"/>
      <c r="B228" s="21"/>
      <c r="C228" s="23"/>
      <c r="D228" s="21"/>
      <c r="E228" s="21"/>
      <c r="F228" s="24"/>
    </row>
    <row r="229" customFormat="false" ht="15" hidden="false" customHeight="true" outlineLevel="0" collapsed="false">
      <c r="A229" s="21"/>
      <c r="B229" s="21"/>
      <c r="C229" s="23"/>
      <c r="D229" s="21"/>
      <c r="E229" s="21"/>
      <c r="F229" s="24"/>
    </row>
    <row r="230" customFormat="false" ht="15" hidden="false" customHeight="true" outlineLevel="0" collapsed="false">
      <c r="A230" s="21"/>
      <c r="B230" s="21"/>
      <c r="C230" s="23"/>
      <c r="D230" s="21"/>
      <c r="E230" s="21"/>
      <c r="F230" s="24"/>
    </row>
    <row r="231" customFormat="false" ht="15" hidden="false" customHeight="true" outlineLevel="0" collapsed="false">
      <c r="A231" s="21"/>
      <c r="B231" s="21"/>
      <c r="C231" s="23"/>
      <c r="D231" s="21"/>
      <c r="E231" s="21"/>
      <c r="F231" s="24"/>
    </row>
    <row r="232" customFormat="false" ht="15" hidden="false" customHeight="true" outlineLevel="0" collapsed="false">
      <c r="A232" s="21"/>
      <c r="B232" s="21"/>
      <c r="C232" s="23"/>
      <c r="D232" s="21"/>
      <c r="E232" s="21"/>
      <c r="F232" s="24"/>
    </row>
    <row r="233" customFormat="false" ht="15" hidden="false" customHeight="true" outlineLevel="0" collapsed="false">
      <c r="A233" s="21"/>
      <c r="B233" s="21"/>
      <c r="C233" s="23"/>
      <c r="D233" s="21"/>
      <c r="E233" s="21"/>
      <c r="F233" s="24"/>
    </row>
    <row r="234" customFormat="false" ht="15" hidden="false" customHeight="true" outlineLevel="0" collapsed="false">
      <c r="A234" s="21"/>
      <c r="B234" s="21"/>
      <c r="C234" s="23"/>
      <c r="D234" s="21"/>
      <c r="E234" s="21"/>
      <c r="F234" s="24"/>
    </row>
    <row r="235" customFormat="false" ht="15" hidden="false" customHeight="true" outlineLevel="0" collapsed="false">
      <c r="A235" s="21"/>
      <c r="B235" s="21"/>
      <c r="C235" s="23"/>
      <c r="D235" s="21"/>
      <c r="E235" s="21"/>
      <c r="F235" s="24"/>
    </row>
    <row r="236" customFormat="false" ht="15" hidden="false" customHeight="true" outlineLevel="0" collapsed="false">
      <c r="A236" s="21"/>
      <c r="B236" s="21"/>
      <c r="C236" s="23"/>
      <c r="D236" s="21"/>
      <c r="E236" s="21"/>
      <c r="F236" s="24"/>
    </row>
    <row r="237" customFormat="false" ht="15" hidden="false" customHeight="true" outlineLevel="0" collapsed="false">
      <c r="A237" s="21"/>
      <c r="B237" s="21"/>
      <c r="C237" s="23"/>
      <c r="D237" s="21"/>
      <c r="E237" s="21"/>
      <c r="F237" s="24"/>
    </row>
    <row r="238" customFormat="false" ht="15" hidden="false" customHeight="true" outlineLevel="0" collapsed="false">
      <c r="A238" s="21"/>
      <c r="B238" s="21"/>
      <c r="C238" s="23"/>
      <c r="D238" s="21"/>
      <c r="E238" s="21"/>
      <c r="F238" s="24"/>
    </row>
    <row r="239" customFormat="false" ht="15" hidden="false" customHeight="true" outlineLevel="0" collapsed="false">
      <c r="A239" s="21"/>
      <c r="B239" s="21"/>
      <c r="C239" s="23"/>
      <c r="D239" s="21"/>
      <c r="E239" s="21"/>
      <c r="F239" s="24"/>
    </row>
    <row r="240" customFormat="false" ht="15" hidden="false" customHeight="true" outlineLevel="0" collapsed="false">
      <c r="A240" s="21"/>
      <c r="B240" s="21"/>
      <c r="C240" s="23"/>
      <c r="D240" s="21"/>
      <c r="E240" s="21"/>
      <c r="F240" s="24"/>
    </row>
    <row r="241" customFormat="false" ht="15" hidden="false" customHeight="true" outlineLevel="0" collapsed="false">
      <c r="A241" s="21"/>
      <c r="B241" s="21"/>
      <c r="C241" s="23"/>
      <c r="D241" s="21"/>
      <c r="E241" s="21"/>
      <c r="F241" s="24"/>
    </row>
    <row r="242" customFormat="false" ht="15" hidden="false" customHeight="true" outlineLevel="0" collapsed="false">
      <c r="A242" s="21"/>
      <c r="B242" s="21"/>
      <c r="C242" s="23"/>
      <c r="D242" s="21"/>
      <c r="E242" s="21"/>
      <c r="F242" s="24"/>
    </row>
    <row r="243" customFormat="false" ht="15" hidden="false" customHeight="true" outlineLevel="0" collapsed="false">
      <c r="A243" s="21"/>
      <c r="B243" s="21"/>
      <c r="C243" s="23"/>
      <c r="D243" s="21"/>
      <c r="E243" s="21"/>
      <c r="F243" s="24"/>
    </row>
    <row r="244" customFormat="false" ht="15" hidden="false" customHeight="true" outlineLevel="0" collapsed="false">
      <c r="A244" s="21"/>
      <c r="B244" s="21"/>
      <c r="C244" s="23"/>
      <c r="D244" s="21"/>
      <c r="E244" s="21"/>
      <c r="F244" s="24"/>
    </row>
    <row r="245" customFormat="false" ht="15" hidden="false" customHeight="true" outlineLevel="0" collapsed="false">
      <c r="A245" s="21"/>
      <c r="B245" s="21"/>
      <c r="C245" s="23"/>
      <c r="D245" s="21"/>
      <c r="E245" s="21"/>
      <c r="F245" s="24"/>
    </row>
    <row r="246" customFormat="false" ht="15" hidden="false" customHeight="true" outlineLevel="0" collapsed="false">
      <c r="A246" s="21"/>
      <c r="B246" s="21"/>
      <c r="C246" s="23"/>
      <c r="D246" s="21"/>
      <c r="E246" s="21"/>
      <c r="F246" s="24"/>
    </row>
    <row r="247" customFormat="false" ht="15" hidden="false" customHeight="true" outlineLevel="0" collapsed="false">
      <c r="A247" s="21"/>
      <c r="B247" s="21"/>
      <c r="C247" s="23"/>
      <c r="D247" s="21"/>
      <c r="E247" s="21"/>
      <c r="F247" s="24"/>
    </row>
    <row r="248" customFormat="false" ht="15" hidden="false" customHeight="true" outlineLevel="0" collapsed="false">
      <c r="A248" s="21"/>
      <c r="B248" s="21"/>
      <c r="C248" s="23"/>
      <c r="D248" s="21"/>
      <c r="E248" s="21"/>
      <c r="F248" s="24"/>
    </row>
    <row r="249" customFormat="false" ht="15" hidden="false" customHeight="true" outlineLevel="0" collapsed="false">
      <c r="A249" s="21"/>
      <c r="B249" s="21"/>
      <c r="C249" s="23"/>
      <c r="D249" s="21"/>
      <c r="E249" s="21"/>
      <c r="F249" s="24"/>
    </row>
    <row r="250" customFormat="false" ht="15" hidden="false" customHeight="true" outlineLevel="0" collapsed="false">
      <c r="A250" s="21"/>
      <c r="B250" s="21"/>
      <c r="C250" s="23"/>
      <c r="D250" s="21"/>
      <c r="E250" s="21"/>
      <c r="F250" s="24"/>
    </row>
    <row r="251" customFormat="false" ht="15" hidden="false" customHeight="true" outlineLevel="0" collapsed="false">
      <c r="A251" s="21"/>
      <c r="B251" s="21"/>
      <c r="C251" s="23"/>
      <c r="D251" s="21"/>
      <c r="E251" s="21"/>
      <c r="F251" s="24"/>
    </row>
    <row r="252" customFormat="false" ht="15" hidden="false" customHeight="true" outlineLevel="0" collapsed="false">
      <c r="A252" s="21"/>
      <c r="B252" s="21"/>
      <c r="C252" s="23"/>
      <c r="D252" s="21"/>
      <c r="E252" s="21"/>
      <c r="F252" s="24"/>
    </row>
    <row r="253" customFormat="false" ht="15" hidden="false" customHeight="true" outlineLevel="0" collapsed="false">
      <c r="A253" s="21"/>
      <c r="B253" s="21"/>
      <c r="C253" s="23"/>
      <c r="D253" s="21"/>
      <c r="E253" s="21"/>
      <c r="F253" s="24"/>
    </row>
    <row r="254" customFormat="false" ht="15" hidden="false" customHeight="true" outlineLevel="0" collapsed="false">
      <c r="A254" s="21"/>
      <c r="B254" s="21"/>
      <c r="C254" s="23"/>
      <c r="D254" s="21"/>
      <c r="E254" s="21"/>
      <c r="F254" s="24"/>
    </row>
    <row r="255" customFormat="false" ht="15" hidden="false" customHeight="true" outlineLevel="0" collapsed="false">
      <c r="A255" s="21"/>
      <c r="B255" s="21"/>
      <c r="C255" s="23"/>
      <c r="D255" s="21"/>
      <c r="E255" s="21"/>
      <c r="F255" s="24"/>
    </row>
    <row r="256" customFormat="false" ht="15" hidden="false" customHeight="true" outlineLevel="0" collapsed="false">
      <c r="A256" s="21"/>
      <c r="B256" s="21"/>
      <c r="C256" s="23"/>
      <c r="D256" s="21"/>
      <c r="E256" s="21"/>
      <c r="F256" s="24"/>
    </row>
    <row r="257" customFormat="false" ht="15" hidden="false" customHeight="true" outlineLevel="0" collapsed="false">
      <c r="A257" s="21"/>
      <c r="B257" s="21"/>
      <c r="C257" s="23"/>
      <c r="D257" s="21"/>
      <c r="E257" s="21"/>
      <c r="F257" s="24"/>
    </row>
    <row r="258" customFormat="false" ht="15" hidden="false" customHeight="true" outlineLevel="0" collapsed="false">
      <c r="A258" s="21"/>
      <c r="B258" s="21"/>
      <c r="C258" s="23"/>
      <c r="D258" s="21"/>
      <c r="E258" s="21"/>
      <c r="F258" s="24"/>
    </row>
    <row r="259" customFormat="false" ht="15" hidden="false" customHeight="true" outlineLevel="0" collapsed="false">
      <c r="A259" s="21"/>
      <c r="B259" s="21"/>
      <c r="C259" s="23"/>
      <c r="D259" s="21"/>
      <c r="E259" s="21"/>
      <c r="F259" s="24"/>
    </row>
    <row r="260" customFormat="false" ht="15" hidden="false" customHeight="true" outlineLevel="0" collapsed="false">
      <c r="A260" s="21"/>
      <c r="B260" s="21"/>
      <c r="C260" s="23"/>
      <c r="D260" s="21"/>
      <c r="E260" s="21"/>
      <c r="F260" s="24"/>
    </row>
    <row r="261" customFormat="false" ht="15" hidden="false" customHeight="true" outlineLevel="0" collapsed="false">
      <c r="A261" s="21"/>
      <c r="B261" s="21"/>
      <c r="C261" s="23"/>
      <c r="D261" s="21"/>
      <c r="E261" s="21"/>
      <c r="F261" s="24"/>
    </row>
    <row r="262" customFormat="false" ht="15" hidden="false" customHeight="true" outlineLevel="0" collapsed="false">
      <c r="A262" s="21"/>
      <c r="B262" s="21"/>
      <c r="C262" s="23"/>
      <c r="D262" s="21"/>
      <c r="E262" s="21"/>
      <c r="F262" s="24"/>
    </row>
    <row r="263" customFormat="false" ht="15" hidden="false" customHeight="true" outlineLevel="0" collapsed="false">
      <c r="A263" s="21"/>
      <c r="B263" s="21"/>
      <c r="C263" s="23"/>
      <c r="D263" s="21"/>
      <c r="E263" s="21"/>
      <c r="F263" s="24"/>
    </row>
    <row r="264" customFormat="false" ht="15" hidden="false" customHeight="true" outlineLevel="0" collapsed="false">
      <c r="A264" s="21"/>
      <c r="B264" s="21"/>
      <c r="C264" s="23"/>
      <c r="D264" s="21"/>
      <c r="E264" s="21"/>
      <c r="F264" s="24"/>
    </row>
    <row r="265" customFormat="false" ht="15" hidden="false" customHeight="true" outlineLevel="0" collapsed="false">
      <c r="A265" s="21"/>
      <c r="B265" s="21"/>
      <c r="C265" s="23"/>
      <c r="D265" s="21"/>
      <c r="E265" s="21"/>
      <c r="F265" s="24"/>
    </row>
    <row r="266" customFormat="false" ht="15" hidden="false" customHeight="true" outlineLevel="0" collapsed="false">
      <c r="A266" s="21"/>
      <c r="B266" s="21"/>
      <c r="C266" s="23"/>
      <c r="D266" s="21"/>
      <c r="E266" s="21"/>
      <c r="F266" s="24"/>
    </row>
    <row r="267" customFormat="false" ht="15" hidden="false" customHeight="true" outlineLevel="0" collapsed="false">
      <c r="A267" s="21"/>
      <c r="B267" s="21"/>
      <c r="C267" s="23"/>
      <c r="D267" s="21"/>
      <c r="E267" s="21"/>
      <c r="F267" s="24"/>
    </row>
    <row r="268" customFormat="false" ht="15" hidden="false" customHeight="true" outlineLevel="0" collapsed="false">
      <c r="A268" s="21"/>
      <c r="B268" s="21"/>
      <c r="C268" s="23"/>
      <c r="D268" s="21"/>
      <c r="E268" s="21"/>
      <c r="F268" s="24"/>
    </row>
    <row r="269" customFormat="false" ht="15" hidden="false" customHeight="true" outlineLevel="0" collapsed="false">
      <c r="A269" s="21"/>
      <c r="B269" s="21"/>
      <c r="C269" s="23"/>
      <c r="D269" s="21"/>
      <c r="E269" s="21"/>
      <c r="F269" s="24"/>
    </row>
    <row r="270" customFormat="false" ht="15" hidden="false" customHeight="true" outlineLevel="0" collapsed="false">
      <c r="A270" s="21"/>
      <c r="B270" s="21"/>
      <c r="C270" s="23"/>
      <c r="D270" s="21"/>
      <c r="E270" s="21"/>
      <c r="F270" s="24"/>
    </row>
    <row r="271" customFormat="false" ht="15" hidden="false" customHeight="true" outlineLevel="0" collapsed="false">
      <c r="A271" s="21"/>
      <c r="B271" s="21"/>
      <c r="C271" s="23"/>
      <c r="D271" s="21"/>
      <c r="E271" s="21"/>
      <c r="F271" s="24"/>
    </row>
    <row r="272" customFormat="false" ht="15" hidden="false" customHeight="true" outlineLevel="0" collapsed="false">
      <c r="A272" s="21"/>
      <c r="B272" s="21"/>
      <c r="C272" s="23"/>
      <c r="D272" s="21"/>
      <c r="E272" s="21"/>
      <c r="F272" s="24"/>
    </row>
    <row r="273" customFormat="false" ht="15" hidden="false" customHeight="true" outlineLevel="0" collapsed="false">
      <c r="A273" s="21"/>
      <c r="B273" s="21"/>
      <c r="C273" s="23"/>
      <c r="D273" s="21"/>
      <c r="E273" s="21"/>
      <c r="F273" s="24"/>
    </row>
    <row r="274" customFormat="false" ht="15" hidden="false" customHeight="true" outlineLevel="0" collapsed="false">
      <c r="A274" s="21"/>
      <c r="B274" s="21"/>
      <c r="C274" s="23"/>
      <c r="D274" s="21"/>
      <c r="E274" s="21"/>
      <c r="F274" s="24"/>
    </row>
    <row r="275" customFormat="false" ht="15" hidden="false" customHeight="true" outlineLevel="0" collapsed="false">
      <c r="A275" s="21"/>
      <c r="B275" s="21"/>
      <c r="C275" s="23"/>
      <c r="D275" s="21"/>
      <c r="E275" s="21"/>
      <c r="F275" s="24"/>
    </row>
    <row r="276" customFormat="false" ht="15" hidden="false" customHeight="true" outlineLevel="0" collapsed="false">
      <c r="A276" s="21"/>
      <c r="B276" s="21"/>
      <c r="C276" s="23"/>
      <c r="D276" s="21"/>
      <c r="E276" s="21"/>
      <c r="F276" s="24"/>
    </row>
    <row r="277" customFormat="false" ht="15" hidden="false" customHeight="true" outlineLevel="0" collapsed="false">
      <c r="A277" s="21"/>
      <c r="B277" s="21"/>
      <c r="C277" s="23"/>
      <c r="D277" s="21"/>
      <c r="E277" s="21"/>
      <c r="F277" s="24"/>
    </row>
    <row r="278" customFormat="false" ht="15" hidden="false" customHeight="true" outlineLevel="0" collapsed="false">
      <c r="A278" s="21"/>
      <c r="B278" s="21"/>
      <c r="C278" s="23"/>
      <c r="D278" s="21"/>
      <c r="E278" s="21"/>
      <c r="F278" s="24"/>
    </row>
    <row r="279" customFormat="false" ht="15" hidden="false" customHeight="true" outlineLevel="0" collapsed="false">
      <c r="A279" s="21"/>
      <c r="B279" s="21"/>
      <c r="C279" s="23"/>
      <c r="D279" s="21"/>
      <c r="E279" s="21"/>
      <c r="F279" s="24"/>
    </row>
    <row r="280" customFormat="false" ht="15" hidden="false" customHeight="true" outlineLevel="0" collapsed="false">
      <c r="A280" s="21"/>
      <c r="B280" s="21"/>
      <c r="C280" s="23"/>
      <c r="D280" s="21"/>
      <c r="E280" s="21"/>
      <c r="F280" s="24"/>
    </row>
    <row r="281" customFormat="false" ht="15" hidden="false" customHeight="true" outlineLevel="0" collapsed="false">
      <c r="A281" s="21"/>
      <c r="B281" s="21"/>
      <c r="C281" s="23"/>
      <c r="D281" s="21"/>
      <c r="E281" s="21"/>
      <c r="F281" s="24"/>
    </row>
    <row r="282" customFormat="false" ht="15" hidden="false" customHeight="true" outlineLevel="0" collapsed="false">
      <c r="A282" s="21"/>
      <c r="B282" s="21"/>
      <c r="C282" s="23"/>
      <c r="D282" s="21"/>
      <c r="E282" s="21"/>
      <c r="F282" s="24"/>
    </row>
    <row r="283" customFormat="false" ht="15" hidden="false" customHeight="true" outlineLevel="0" collapsed="false">
      <c r="A283" s="21"/>
      <c r="B283" s="21"/>
      <c r="C283" s="23"/>
      <c r="D283" s="21"/>
      <c r="E283" s="21"/>
      <c r="F283" s="24"/>
    </row>
    <row r="284" customFormat="false" ht="15" hidden="false" customHeight="true" outlineLevel="0" collapsed="false">
      <c r="A284" s="21"/>
      <c r="B284" s="21"/>
      <c r="C284" s="23"/>
      <c r="D284" s="21"/>
      <c r="E284" s="21"/>
      <c r="F284" s="24"/>
    </row>
    <row r="285" customFormat="false" ht="15" hidden="false" customHeight="true" outlineLevel="0" collapsed="false">
      <c r="A285" s="21"/>
      <c r="B285" s="21"/>
      <c r="C285" s="23"/>
      <c r="D285" s="21"/>
      <c r="E285" s="21"/>
      <c r="F285" s="24"/>
    </row>
    <row r="286" customFormat="false" ht="15" hidden="false" customHeight="true" outlineLevel="0" collapsed="false">
      <c r="A286" s="21"/>
      <c r="B286" s="21"/>
      <c r="C286" s="23"/>
      <c r="D286" s="21"/>
      <c r="E286" s="21"/>
      <c r="F286" s="24"/>
    </row>
    <row r="287" customFormat="false" ht="15" hidden="false" customHeight="true" outlineLevel="0" collapsed="false">
      <c r="A287" s="21"/>
      <c r="B287" s="21"/>
      <c r="C287" s="23"/>
      <c r="D287" s="21"/>
      <c r="E287" s="21"/>
      <c r="F287" s="24"/>
    </row>
    <row r="288" customFormat="false" ht="15" hidden="false" customHeight="true" outlineLevel="0" collapsed="false">
      <c r="A288" s="21"/>
      <c r="B288" s="21"/>
      <c r="C288" s="23"/>
      <c r="D288" s="21"/>
      <c r="E288" s="21"/>
      <c r="F288" s="24"/>
    </row>
    <row r="289" customFormat="false" ht="15" hidden="false" customHeight="true" outlineLevel="0" collapsed="false">
      <c r="A289" s="21"/>
      <c r="B289" s="21"/>
      <c r="C289" s="23"/>
      <c r="D289" s="21"/>
      <c r="E289" s="21"/>
      <c r="F289" s="24"/>
    </row>
    <row r="290" customFormat="false" ht="15" hidden="false" customHeight="true" outlineLevel="0" collapsed="false">
      <c r="A290" s="21"/>
      <c r="B290" s="21"/>
      <c r="C290" s="23"/>
      <c r="D290" s="21"/>
      <c r="E290" s="21"/>
      <c r="F290" s="24"/>
    </row>
    <row r="291" customFormat="false" ht="15" hidden="false" customHeight="true" outlineLevel="0" collapsed="false">
      <c r="A291" s="21"/>
      <c r="B291" s="21"/>
      <c r="C291" s="23"/>
      <c r="D291" s="21"/>
      <c r="E291" s="21"/>
      <c r="F291" s="24"/>
    </row>
    <row r="292" customFormat="false" ht="15" hidden="false" customHeight="true" outlineLevel="0" collapsed="false">
      <c r="A292" s="21"/>
      <c r="B292" s="21"/>
      <c r="C292" s="23"/>
      <c r="D292" s="21"/>
      <c r="E292" s="21"/>
      <c r="F292" s="24"/>
    </row>
    <row r="293" customFormat="false" ht="15" hidden="false" customHeight="true" outlineLevel="0" collapsed="false">
      <c r="A293" s="21"/>
      <c r="B293" s="21"/>
      <c r="C293" s="23"/>
      <c r="D293" s="21"/>
      <c r="E293" s="21"/>
      <c r="F293" s="24"/>
    </row>
    <row r="294" customFormat="false" ht="15" hidden="false" customHeight="true" outlineLevel="0" collapsed="false">
      <c r="A294" s="21"/>
      <c r="B294" s="21"/>
      <c r="C294" s="23"/>
      <c r="D294" s="21"/>
      <c r="E294" s="21"/>
      <c r="F294" s="24"/>
    </row>
    <row r="295" customFormat="false" ht="15" hidden="false" customHeight="true" outlineLevel="0" collapsed="false">
      <c r="A295" s="21"/>
      <c r="B295" s="21"/>
      <c r="C295" s="23"/>
      <c r="D295" s="21"/>
      <c r="E295" s="21"/>
      <c r="F295" s="24"/>
    </row>
    <row r="296" customFormat="false" ht="15" hidden="false" customHeight="true" outlineLevel="0" collapsed="false">
      <c r="A296" s="21"/>
      <c r="B296" s="21"/>
      <c r="C296" s="23"/>
      <c r="D296" s="21"/>
      <c r="E296" s="21"/>
      <c r="F296" s="24"/>
    </row>
    <row r="297" customFormat="false" ht="15" hidden="false" customHeight="true" outlineLevel="0" collapsed="false">
      <c r="A297" s="21"/>
      <c r="B297" s="21"/>
      <c r="C297" s="23"/>
      <c r="D297" s="21"/>
      <c r="E297" s="21"/>
      <c r="F297" s="24"/>
    </row>
    <row r="298" customFormat="false" ht="15" hidden="false" customHeight="true" outlineLevel="0" collapsed="false">
      <c r="A298" s="21"/>
      <c r="B298" s="21"/>
      <c r="C298" s="23"/>
      <c r="D298" s="21"/>
      <c r="E298" s="21"/>
      <c r="F298" s="24"/>
    </row>
    <row r="299" customFormat="false" ht="15" hidden="false" customHeight="true" outlineLevel="0" collapsed="false">
      <c r="A299" s="21"/>
      <c r="B299" s="21"/>
      <c r="C299" s="23"/>
      <c r="D299" s="21"/>
      <c r="E299" s="21"/>
      <c r="F29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22"/>
    <col collapsed="false" customWidth="true" hidden="false" outlineLevel="0" max="9" min="9" style="0" width="14"/>
    <col collapsed="false" customWidth="true" hidden="false" outlineLevel="0" max="10" min="10" style="0" width="26"/>
  </cols>
  <sheetData>
    <row r="1" customFormat="false" ht="17.15" hidden="false" customHeight="false" outlineLevel="0" collapsed="false">
      <c r="A1" s="25" t="s">
        <v>285</v>
      </c>
    </row>
    <row r="2" customFormat="false" ht="48" hidden="false" customHeight="true" outlineLevel="0" collapsed="false">
      <c r="A2" s="26" t="s">
        <v>286</v>
      </c>
      <c r="B2" s="26"/>
      <c r="C2" s="26"/>
      <c r="D2" s="26"/>
      <c r="E2" s="26"/>
      <c r="F2" s="26"/>
      <c r="G2" s="26"/>
      <c r="H2" s="26"/>
      <c r="I2" s="26"/>
      <c r="J2" s="26"/>
    </row>
    <row r="4" customFormat="false" ht="33.75" hidden="false" customHeight="true" outlineLevel="0" collapsed="false">
      <c r="A4" s="27" t="s">
        <v>287</v>
      </c>
      <c r="B4" s="27" t="s">
        <v>288</v>
      </c>
      <c r="C4" s="27" t="s">
        <v>289</v>
      </c>
      <c r="D4" s="27" t="s">
        <v>290</v>
      </c>
      <c r="E4" s="27" t="s">
        <v>291</v>
      </c>
      <c r="F4" s="27" t="s">
        <v>292</v>
      </c>
      <c r="G4" s="27" t="s">
        <v>293</v>
      </c>
      <c r="H4" s="27" t="s">
        <v>294</v>
      </c>
      <c r="I4" s="27" t="s">
        <v>295</v>
      </c>
      <c r="J4" s="27" t="s">
        <v>296</v>
      </c>
    </row>
    <row r="5" customFormat="false" ht="15" hidden="false" customHeight="false" outlineLevel="0" collapsed="false">
      <c r="A5" s="28" t="s">
        <v>281</v>
      </c>
      <c r="B5" s="29" t="s">
        <v>57</v>
      </c>
      <c r="C5" s="30" t="n">
        <v>35</v>
      </c>
      <c r="D5" s="31" t="n">
        <f aca="false">INDEX(المكونات!$C$2:$C$500,MATCH($A5,المكونات!$A$2:$A$500,0))</f>
        <v>8</v>
      </c>
      <c r="E5" s="31" t="n">
        <f aca="false">D5-C5</f>
        <v>-27</v>
      </c>
      <c r="F5" s="32" t="n">
        <f aca="false">IF(C5=0,"",D5/C5-1)</f>
        <v>-0.771428571428572</v>
      </c>
      <c r="G5" s="28" t="s">
        <v>297</v>
      </c>
      <c r="H5" s="29" t="n">
        <v>8</v>
      </c>
      <c r="I5" s="29" t="n">
        <v>1</v>
      </c>
      <c r="J5" s="33" t="s">
        <v>298</v>
      </c>
    </row>
    <row r="6" customFormat="false" ht="15" hidden="false" customHeight="false" outlineLevel="0" collapsed="false">
      <c r="A6" s="28" t="s">
        <v>257</v>
      </c>
      <c r="B6" s="29" t="s">
        <v>68</v>
      </c>
      <c r="C6" s="30" t="n">
        <v>0.65</v>
      </c>
      <c r="D6" s="31" t="n">
        <f aca="false">INDEX(المكونات!$C$2:$C$500,MATCH($A6,المكونات!$A$2:$A$500,0))</f>
        <v>0.9995</v>
      </c>
      <c r="E6" s="31" t="n">
        <f aca="false">D6-C6</f>
        <v>0.3495</v>
      </c>
      <c r="F6" s="32" t="n">
        <f aca="false">IF(C6=0,"",D6/C6-1)</f>
        <v>0.537692307692308</v>
      </c>
      <c r="G6" s="28" t="s">
        <v>297</v>
      </c>
      <c r="H6" s="29" t="n">
        <v>199.91</v>
      </c>
      <c r="I6" s="29" t="n">
        <v>200</v>
      </c>
      <c r="J6" s="33" t="s">
        <v>298</v>
      </c>
    </row>
    <row r="7" customFormat="false" ht="15" hidden="false" customHeight="false" outlineLevel="0" collapsed="false">
      <c r="A7" s="28" t="s">
        <v>221</v>
      </c>
      <c r="B7" s="29" t="s">
        <v>57</v>
      </c>
      <c r="C7" s="30" t="n">
        <v>10</v>
      </c>
      <c r="D7" s="31" t="n">
        <f aca="false">INDEX(المكونات!$C$2:$C$500,MATCH($A7,المكونات!$A$2:$A$500,0))</f>
        <v>15</v>
      </c>
      <c r="E7" s="31" t="n">
        <f aca="false">D7-C7</f>
        <v>5</v>
      </c>
      <c r="F7" s="32" t="n">
        <f aca="false">IF(C7=0,"",D7/C7-1)</f>
        <v>0.5</v>
      </c>
      <c r="G7" s="28" t="s">
        <v>297</v>
      </c>
      <c r="H7" s="29" t="n">
        <v>15</v>
      </c>
      <c r="I7" s="29" t="n">
        <v>1</v>
      </c>
      <c r="J7" s="33" t="s">
        <v>298</v>
      </c>
    </row>
    <row r="8" customFormat="false" ht="15" hidden="false" customHeight="false" outlineLevel="0" collapsed="false">
      <c r="A8" s="28" t="s">
        <v>242</v>
      </c>
      <c r="B8" s="29" t="s">
        <v>115</v>
      </c>
      <c r="C8" s="30" t="n">
        <v>233.33</v>
      </c>
      <c r="D8" s="31" t="n">
        <f aca="false">INDEX(المكونات!$C$2:$C$500,MATCH($A8,المكونات!$A$2:$A$500,0))</f>
        <v>151.2027</v>
      </c>
      <c r="E8" s="31" t="n">
        <f aca="false">D8-C8</f>
        <v>-82.1273</v>
      </c>
      <c r="F8" s="32" t="n">
        <f aca="false">IF(C8=0,"",D8/C8-1)</f>
        <v>-0.351979171131016</v>
      </c>
      <c r="G8" s="28" t="s">
        <v>299</v>
      </c>
      <c r="H8" s="29" t="n">
        <v>151.2027</v>
      </c>
      <c r="I8" s="29" t="n">
        <v>1</v>
      </c>
      <c r="J8" s="33" t="s">
        <v>298</v>
      </c>
    </row>
    <row r="9" customFormat="false" ht="15" hidden="false" customHeight="false" outlineLevel="0" collapsed="false">
      <c r="A9" s="28" t="s">
        <v>98</v>
      </c>
      <c r="B9" s="29" t="s">
        <v>57</v>
      </c>
      <c r="C9" s="30" t="n">
        <v>44</v>
      </c>
      <c r="D9" s="31" t="n">
        <f aca="false">INDEX(المكونات!$C$2:$C$500,MATCH($A9,المكونات!$A$2:$A$500,0))</f>
        <v>29</v>
      </c>
      <c r="E9" s="31" t="n">
        <f aca="false">D9-C9</f>
        <v>-15</v>
      </c>
      <c r="F9" s="32" t="n">
        <f aca="false">IF(C9=0,"",D9/C9-1)</f>
        <v>-0.340909090909091</v>
      </c>
      <c r="G9" s="28" t="s">
        <v>299</v>
      </c>
      <c r="H9" s="29" t="n">
        <v>29</v>
      </c>
      <c r="I9" s="29" t="n">
        <v>1</v>
      </c>
      <c r="J9" s="33" t="s">
        <v>298</v>
      </c>
    </row>
    <row r="10" customFormat="false" ht="15" hidden="false" customHeight="false" outlineLevel="0" collapsed="false">
      <c r="A10" s="28" t="s">
        <v>254</v>
      </c>
      <c r="B10" s="29" t="s">
        <v>255</v>
      </c>
      <c r="C10" s="30" t="n">
        <v>0.28</v>
      </c>
      <c r="D10" s="31" t="n">
        <f aca="false">INDEX(المكونات!$C$2:$C$500,MATCH($A10,المكونات!$A$2:$A$500,0))</f>
        <v>0.3665</v>
      </c>
      <c r="E10" s="31" t="n">
        <f aca="false">D10-C10</f>
        <v>0.0865</v>
      </c>
      <c r="F10" s="32" t="n">
        <f aca="false">IF(C10=0,"",D10/C10-1)</f>
        <v>0.308928571428571</v>
      </c>
      <c r="G10" s="28" t="s">
        <v>297</v>
      </c>
      <c r="H10" s="29" t="n">
        <v>120</v>
      </c>
      <c r="I10" s="29" t="n">
        <v>125</v>
      </c>
      <c r="J10" s="33" t="s">
        <v>298</v>
      </c>
    </row>
    <row r="11" customFormat="false" ht="15" hidden="false" customHeight="false" outlineLevel="0" collapsed="false">
      <c r="A11" s="28" t="s">
        <v>124</v>
      </c>
      <c r="B11" s="29" t="s">
        <v>115</v>
      </c>
      <c r="C11" s="30" t="n">
        <v>14</v>
      </c>
      <c r="D11" s="31" t="n">
        <f aca="false">INDEX(المكونات!$C$2:$C$500,MATCH($A11,المكونات!$A$2:$A$500,0))</f>
        <v>18</v>
      </c>
      <c r="E11" s="31" t="n">
        <f aca="false">D11-C11</f>
        <v>4</v>
      </c>
      <c r="F11" s="32" t="n">
        <f aca="false">IF(C11=0,"",D11/C11-1)</f>
        <v>0.285714285714286</v>
      </c>
      <c r="G11" s="28" t="s">
        <v>299</v>
      </c>
      <c r="H11" s="29" t="n">
        <v>18</v>
      </c>
      <c r="I11" s="29" t="n">
        <v>1</v>
      </c>
      <c r="J11" s="33" t="s">
        <v>298</v>
      </c>
    </row>
    <row r="12" customFormat="false" ht="15" hidden="false" customHeight="false" outlineLevel="0" collapsed="false">
      <c r="A12" s="28" t="s">
        <v>162</v>
      </c>
      <c r="B12" s="29" t="s">
        <v>115</v>
      </c>
      <c r="C12" s="30" t="n">
        <v>125</v>
      </c>
      <c r="D12" s="31" t="n">
        <f aca="false">INDEX(المكونات!$C$2:$C$500,MATCH($A12,المكونات!$A$2:$A$500,0))</f>
        <v>95</v>
      </c>
      <c r="E12" s="31" t="n">
        <f aca="false">D12-C12</f>
        <v>-30</v>
      </c>
      <c r="F12" s="32" t="n">
        <f aca="false">IF(C12=0,"",D12/C12-1)</f>
        <v>-0.24</v>
      </c>
      <c r="G12" s="28" t="s">
        <v>299</v>
      </c>
      <c r="H12" s="29" t="n">
        <v>95</v>
      </c>
      <c r="I12" s="29" t="n">
        <v>1</v>
      </c>
      <c r="J12" s="33" t="s">
        <v>298</v>
      </c>
    </row>
    <row r="13" customFormat="false" ht="15" hidden="false" customHeight="false" outlineLevel="0" collapsed="false">
      <c r="A13" s="28" t="s">
        <v>126</v>
      </c>
      <c r="B13" s="29" t="s">
        <v>127</v>
      </c>
      <c r="C13" s="30" t="n">
        <v>2.95</v>
      </c>
      <c r="D13" s="31" t="n">
        <f aca="false">INDEX(المكونات!$C$2:$C$500,MATCH($A13,المكونات!$A$2:$A$500,0))</f>
        <v>3.566</v>
      </c>
      <c r="E13" s="31" t="n">
        <f aca="false">D13-C13</f>
        <v>0.616</v>
      </c>
      <c r="F13" s="32" t="n">
        <f aca="false">IF(C13=0,"",D13/C13-1)</f>
        <v>0.208813559322034</v>
      </c>
      <c r="G13" s="28" t="s">
        <v>297</v>
      </c>
      <c r="H13" s="29" t="n">
        <v>730</v>
      </c>
      <c r="I13" s="29" t="n">
        <v>200</v>
      </c>
      <c r="J13" s="33" t="s">
        <v>298</v>
      </c>
    </row>
    <row r="14" customFormat="false" ht="15" hidden="false" customHeight="false" outlineLevel="0" collapsed="false">
      <c r="A14" s="28" t="s">
        <v>180</v>
      </c>
      <c r="B14" s="29" t="s">
        <v>115</v>
      </c>
      <c r="C14" s="30" t="n">
        <v>110</v>
      </c>
      <c r="D14" s="31" t="n">
        <f aca="false">INDEX(المكونات!$C$2:$C$500,MATCH($A14,المكونات!$A$2:$A$500,0))</f>
        <v>130</v>
      </c>
      <c r="E14" s="31" t="n">
        <f aca="false">D14-C14</f>
        <v>20</v>
      </c>
      <c r="F14" s="32" t="n">
        <f aca="false">IF(C14=0,"",D14/C14-1)</f>
        <v>0.181818181818182</v>
      </c>
      <c r="G14" s="28" t="s">
        <v>299</v>
      </c>
      <c r="H14" s="29" t="n">
        <v>130</v>
      </c>
      <c r="I14" s="29" t="n">
        <v>1</v>
      </c>
      <c r="J14" s="28"/>
    </row>
    <row r="15" customFormat="false" ht="15" hidden="false" customHeight="false" outlineLevel="0" collapsed="false">
      <c r="A15" s="28" t="s">
        <v>176</v>
      </c>
      <c r="B15" s="29" t="s">
        <v>115</v>
      </c>
      <c r="C15" s="30" t="n">
        <v>95</v>
      </c>
      <c r="D15" s="31" t="n">
        <f aca="false">INDEX(المكونات!$C$2:$C$500,MATCH($A15,المكونات!$A$2:$A$500,0))</f>
        <v>110</v>
      </c>
      <c r="E15" s="31" t="n">
        <f aca="false">D15-C15</f>
        <v>15</v>
      </c>
      <c r="F15" s="32" t="n">
        <f aca="false">IF(C15=0,"",D15/C15-1)</f>
        <v>0.157894736842105</v>
      </c>
      <c r="G15" s="28" t="s">
        <v>299</v>
      </c>
      <c r="H15" s="29" t="n">
        <v>110</v>
      </c>
      <c r="I15" s="29" t="n">
        <v>1</v>
      </c>
      <c r="J15" s="28"/>
    </row>
    <row r="16" customFormat="false" ht="15" hidden="false" customHeight="false" outlineLevel="0" collapsed="false">
      <c r="A16" s="28" t="s">
        <v>198</v>
      </c>
      <c r="B16" s="29" t="s">
        <v>115</v>
      </c>
      <c r="C16" s="30" t="n">
        <v>19</v>
      </c>
      <c r="D16" s="31" t="n">
        <f aca="false">INDEX(المكونات!$C$2:$C$500,MATCH($A16,المكونات!$A$2:$A$500,0))</f>
        <v>22</v>
      </c>
      <c r="E16" s="31" t="n">
        <f aca="false">D16-C16</f>
        <v>3</v>
      </c>
      <c r="F16" s="32" t="n">
        <f aca="false">IF(C16=0,"",D16/C16-1)</f>
        <v>0.157894736842105</v>
      </c>
      <c r="G16" s="28" t="s">
        <v>299</v>
      </c>
      <c r="H16" s="29" t="n">
        <v>22</v>
      </c>
      <c r="I16" s="29" t="n">
        <v>1</v>
      </c>
      <c r="J16" s="28"/>
    </row>
    <row r="17" customFormat="false" ht="15" hidden="false" customHeight="false" outlineLevel="0" collapsed="false">
      <c r="A17" s="28" t="s">
        <v>217</v>
      </c>
      <c r="B17" s="29" t="s">
        <v>115</v>
      </c>
      <c r="C17" s="30" t="n">
        <v>130</v>
      </c>
      <c r="D17" s="31" t="n">
        <f aca="false">INDEX(المكونات!$C$2:$C$500,MATCH($A17,المكونات!$A$2:$A$500,0))</f>
        <v>150</v>
      </c>
      <c r="E17" s="31" t="n">
        <f aca="false">D17-C17</f>
        <v>20</v>
      </c>
      <c r="F17" s="32" t="n">
        <f aca="false">IF(C17=0,"",D17/C17-1)</f>
        <v>0.153846153846154</v>
      </c>
      <c r="G17" s="28" t="s">
        <v>297</v>
      </c>
      <c r="H17" s="29" t="n">
        <v>150</v>
      </c>
      <c r="I17" s="29" t="n">
        <v>1</v>
      </c>
      <c r="J17" s="28"/>
    </row>
    <row r="18" customFormat="false" ht="15" hidden="false" customHeight="false" outlineLevel="0" collapsed="false">
      <c r="A18" s="28" t="s">
        <v>59</v>
      </c>
      <c r="B18" s="29" t="s">
        <v>57</v>
      </c>
      <c r="C18" s="30" t="n">
        <v>0.7</v>
      </c>
      <c r="D18" s="31" t="n">
        <f aca="false">INDEX(المكونات!$C$2:$C$500,MATCH($A18,المكونات!$A$2:$A$500,0))</f>
        <v>0.8</v>
      </c>
      <c r="E18" s="31" t="n">
        <f aca="false">D18-C18</f>
        <v>0.1</v>
      </c>
      <c r="F18" s="32" t="n">
        <f aca="false">IF(C18=0,"",D18/C18-1)</f>
        <v>0.142857142857143</v>
      </c>
      <c r="G18" s="28" t="s">
        <v>299</v>
      </c>
      <c r="H18" s="29" t="n">
        <v>0.8</v>
      </c>
      <c r="I18" s="29" t="n">
        <v>1</v>
      </c>
      <c r="J18" s="28"/>
    </row>
    <row r="19" customFormat="false" ht="15" hidden="false" customHeight="false" outlineLevel="0" collapsed="false">
      <c r="A19" s="28" t="s">
        <v>138</v>
      </c>
      <c r="B19" s="29" t="s">
        <v>139</v>
      </c>
      <c r="C19" s="30" t="n">
        <v>35</v>
      </c>
      <c r="D19" s="31" t="n">
        <f aca="false">INDEX(المكونات!$C$2:$C$500,MATCH($A19,المكونات!$A$2:$A$500,0))</f>
        <v>30</v>
      </c>
      <c r="E19" s="31" t="n">
        <f aca="false">D19-C19</f>
        <v>-5</v>
      </c>
      <c r="F19" s="32" t="n">
        <f aca="false">IF(C19=0,"",D19/C19-1)</f>
        <v>-0.142857142857143</v>
      </c>
      <c r="G19" s="28" t="s">
        <v>299</v>
      </c>
      <c r="H19" s="29" t="n">
        <v>30</v>
      </c>
      <c r="I19" s="29" t="n">
        <v>1</v>
      </c>
      <c r="J19" s="28"/>
    </row>
    <row r="20" customFormat="false" ht="15" hidden="false" customHeight="false" outlineLevel="0" collapsed="false">
      <c r="A20" s="28" t="s">
        <v>100</v>
      </c>
      <c r="B20" s="29" t="s">
        <v>57</v>
      </c>
      <c r="C20" s="30" t="n">
        <v>22</v>
      </c>
      <c r="D20" s="31" t="n">
        <f aca="false">INDEX(المكونات!$C$2:$C$500,MATCH($A20,المكونات!$A$2:$A$500,0))</f>
        <v>25</v>
      </c>
      <c r="E20" s="31" t="n">
        <f aca="false">D20-C20</f>
        <v>3</v>
      </c>
      <c r="F20" s="32" t="n">
        <f aca="false">IF(C20=0,"",D20/C20-1)</f>
        <v>0.136363636363636</v>
      </c>
      <c r="G20" s="28" t="s">
        <v>297</v>
      </c>
      <c r="H20" s="29" t="n">
        <v>25</v>
      </c>
      <c r="I20" s="29" t="n">
        <v>1</v>
      </c>
      <c r="J20" s="28"/>
    </row>
    <row r="21" customFormat="false" ht="15" hidden="false" customHeight="false" outlineLevel="0" collapsed="false">
      <c r="A21" s="28" t="s">
        <v>70</v>
      </c>
      <c r="B21" s="29" t="s">
        <v>68</v>
      </c>
      <c r="C21" s="30" t="n">
        <v>1.6</v>
      </c>
      <c r="D21" s="31" t="n">
        <f aca="false">INDEX(المكونات!$C$2:$C$500,MATCH($A21,المكونات!$A$2:$A$500,0))</f>
        <v>1.4</v>
      </c>
      <c r="E21" s="31" t="n">
        <f aca="false">D21-C21</f>
        <v>-0.2</v>
      </c>
      <c r="F21" s="32" t="n">
        <f aca="false">IF(C21=0,"",D21/C21-1)</f>
        <v>-0.125</v>
      </c>
      <c r="G21" s="28" t="s">
        <v>299</v>
      </c>
      <c r="H21" s="29" t="n">
        <v>70</v>
      </c>
      <c r="I21" s="29" t="n">
        <v>50</v>
      </c>
      <c r="J21" s="28"/>
    </row>
    <row r="22" customFormat="false" ht="15" hidden="false" customHeight="false" outlineLevel="0" collapsed="false">
      <c r="A22" s="28" t="s">
        <v>145</v>
      </c>
      <c r="B22" s="29" t="s">
        <v>146</v>
      </c>
      <c r="C22" s="30" t="n">
        <v>0.16</v>
      </c>
      <c r="D22" s="31" t="n">
        <f aca="false">INDEX(المكونات!$C$2:$C$500,MATCH($A22,المكونات!$A$2:$A$500,0))</f>
        <v>0.18</v>
      </c>
      <c r="E22" s="31" t="n">
        <f aca="false">D22-C22</f>
        <v>0.02</v>
      </c>
      <c r="F22" s="32" t="n">
        <f aca="false">IF(C22=0,"",D22/C22-1)</f>
        <v>0.125</v>
      </c>
      <c r="G22" s="28" t="s">
        <v>299</v>
      </c>
      <c r="H22" s="29" t="n">
        <v>9</v>
      </c>
      <c r="I22" s="29" t="n">
        <v>50</v>
      </c>
      <c r="J22" s="28"/>
    </row>
    <row r="23" customFormat="false" ht="15" hidden="false" customHeight="false" outlineLevel="0" collapsed="false">
      <c r="A23" s="28" t="s">
        <v>152</v>
      </c>
      <c r="B23" s="29" t="s">
        <v>115</v>
      </c>
      <c r="C23" s="30" t="n">
        <v>18</v>
      </c>
      <c r="D23" s="31" t="n">
        <f aca="false">INDEX(المكونات!$C$2:$C$500,MATCH($A23,المكونات!$A$2:$A$500,0))</f>
        <v>20</v>
      </c>
      <c r="E23" s="31" t="n">
        <f aca="false">D23-C23</f>
        <v>2</v>
      </c>
      <c r="F23" s="32" t="n">
        <f aca="false">IF(C23=0,"",D23/C23-1)</f>
        <v>0.111111111111111</v>
      </c>
      <c r="G23" s="28" t="s">
        <v>299</v>
      </c>
      <c r="H23" s="29" t="n">
        <v>20</v>
      </c>
      <c r="I23" s="29" t="n">
        <v>1</v>
      </c>
      <c r="J23" s="28"/>
    </row>
    <row r="24" customFormat="false" ht="15" hidden="false" customHeight="false" outlineLevel="0" collapsed="false">
      <c r="A24" s="28" t="s">
        <v>142</v>
      </c>
      <c r="B24" s="29" t="s">
        <v>143</v>
      </c>
      <c r="C24" s="30" t="n">
        <v>165</v>
      </c>
      <c r="D24" s="31" t="n">
        <f aca="false">INDEX(المكونات!$C$2:$C$500,MATCH($A24,المكونات!$A$2:$A$500,0))</f>
        <v>182.3077</v>
      </c>
      <c r="E24" s="31" t="n">
        <f aca="false">D24-C24</f>
        <v>17.3077</v>
      </c>
      <c r="F24" s="32" t="n">
        <f aca="false">IF(C24=0,"",D24/C24-1)</f>
        <v>0.104895151515152</v>
      </c>
      <c r="G24" s="28" t="s">
        <v>299</v>
      </c>
      <c r="H24" s="29" t="n">
        <v>182.3077</v>
      </c>
      <c r="I24" s="29" t="n">
        <v>1</v>
      </c>
      <c r="J24" s="28"/>
    </row>
    <row r="25" customFormat="false" ht="15" hidden="false" customHeight="false" outlineLevel="0" collapsed="false">
      <c r="A25" s="28" t="s">
        <v>238</v>
      </c>
      <c r="B25" s="29" t="s">
        <v>57</v>
      </c>
      <c r="C25" s="30" t="n">
        <v>5</v>
      </c>
      <c r="D25" s="31" t="n">
        <f aca="false">INDEX(المكونات!$C$2:$C$500,MATCH($A25,المكونات!$A$2:$A$500,0))</f>
        <v>5.5</v>
      </c>
      <c r="E25" s="31" t="n">
        <f aca="false">D25-C25</f>
        <v>0.5</v>
      </c>
      <c r="F25" s="32" t="n">
        <f aca="false">IF(C25=0,"",D25/C25-1)</f>
        <v>0.1</v>
      </c>
      <c r="G25" s="28" t="s">
        <v>299</v>
      </c>
      <c r="H25" s="29" t="n">
        <v>5.5</v>
      </c>
      <c r="I25" s="29" t="n">
        <v>1</v>
      </c>
      <c r="J25" s="28"/>
    </row>
    <row r="26" customFormat="false" ht="15" hidden="false" customHeight="false" outlineLevel="0" collapsed="false">
      <c r="A26" s="28" t="s">
        <v>78</v>
      </c>
      <c r="B26" s="29" t="s">
        <v>57</v>
      </c>
      <c r="C26" s="30" t="n">
        <v>43</v>
      </c>
      <c r="D26" s="31" t="n">
        <f aca="false">INDEX(المكونات!$C$2:$C$500,MATCH($A26,المكونات!$A$2:$A$500,0))</f>
        <v>46.8889</v>
      </c>
      <c r="E26" s="31" t="n">
        <f aca="false">D26-C26</f>
        <v>3.8889</v>
      </c>
      <c r="F26" s="32" t="n">
        <f aca="false">IF(C26=0,"",D26/C26-1)</f>
        <v>0.090439534883721</v>
      </c>
      <c r="G26" s="28" t="s">
        <v>299</v>
      </c>
      <c r="H26" s="29" t="n">
        <v>46.8889</v>
      </c>
      <c r="I26" s="29" t="n">
        <v>1</v>
      </c>
      <c r="J26" s="28"/>
    </row>
    <row r="27" customFormat="false" ht="15" hidden="false" customHeight="false" outlineLevel="0" collapsed="false">
      <c r="A27" s="28" t="s">
        <v>184</v>
      </c>
      <c r="B27" s="29" t="s">
        <v>139</v>
      </c>
      <c r="C27" s="30" t="n">
        <v>13.18</v>
      </c>
      <c r="D27" s="31" t="n">
        <f aca="false">INDEX(المكونات!$C$2:$C$500,MATCH($A27,المكونات!$A$2:$A$500,0))</f>
        <v>12</v>
      </c>
      <c r="E27" s="31" t="n">
        <f aca="false">D27-C27</f>
        <v>-1.18</v>
      </c>
      <c r="F27" s="32" t="n">
        <f aca="false">IF(C27=0,"",D27/C27-1)</f>
        <v>-0.0895295902883156</v>
      </c>
      <c r="G27" s="28" t="s">
        <v>299</v>
      </c>
      <c r="H27" s="29" t="n">
        <v>12</v>
      </c>
      <c r="I27" s="29" t="n">
        <v>1</v>
      </c>
      <c r="J27" s="28"/>
    </row>
    <row r="28" customFormat="false" ht="15" hidden="false" customHeight="false" outlineLevel="0" collapsed="false">
      <c r="A28" s="28" t="s">
        <v>108</v>
      </c>
      <c r="B28" s="29" t="s">
        <v>57</v>
      </c>
      <c r="C28" s="30" t="n">
        <v>29</v>
      </c>
      <c r="D28" s="31" t="n">
        <f aca="false">INDEX(المكونات!$C$2:$C$500,MATCH($A28,المكونات!$A$2:$A$500,0))</f>
        <v>26.4194</v>
      </c>
      <c r="E28" s="31" t="n">
        <f aca="false">D28-C28</f>
        <v>-2.5806</v>
      </c>
      <c r="F28" s="32" t="n">
        <f aca="false">IF(C28=0,"",D28/C28-1)</f>
        <v>-0.0889862068965518</v>
      </c>
      <c r="G28" s="28" t="s">
        <v>299</v>
      </c>
      <c r="H28" s="29" t="n">
        <v>26.4194</v>
      </c>
      <c r="I28" s="29" t="n">
        <v>1</v>
      </c>
      <c r="J28" s="28"/>
    </row>
    <row r="29" customFormat="false" ht="15" hidden="false" customHeight="false" outlineLevel="0" collapsed="false">
      <c r="A29" s="28" t="s">
        <v>67</v>
      </c>
      <c r="B29" s="29" t="s">
        <v>68</v>
      </c>
      <c r="C29" s="30" t="n">
        <v>1.523</v>
      </c>
      <c r="D29" s="31" t="n">
        <f aca="false">INDEX(المكونات!$C$2:$C$500,MATCH($A29,المكونات!$A$2:$A$500,0))</f>
        <v>1.4</v>
      </c>
      <c r="E29" s="31" t="n">
        <f aca="false">D29-C29</f>
        <v>-0.123</v>
      </c>
      <c r="F29" s="32" t="n">
        <f aca="false">IF(C29=0,"",D29/C29-1)</f>
        <v>-0.0807616546290216</v>
      </c>
      <c r="G29" s="28" t="s">
        <v>299</v>
      </c>
      <c r="H29" s="29" t="n">
        <v>70</v>
      </c>
      <c r="I29" s="29" t="n">
        <v>50</v>
      </c>
      <c r="J29" s="28"/>
    </row>
    <row r="30" customFormat="false" ht="15" hidden="false" customHeight="false" outlineLevel="0" collapsed="false">
      <c r="A30" s="28" t="s">
        <v>202</v>
      </c>
      <c r="B30" s="29" t="s">
        <v>115</v>
      </c>
      <c r="C30" s="30" t="n">
        <v>130</v>
      </c>
      <c r="D30" s="31" t="n">
        <f aca="false">INDEX(المكونات!$C$2:$C$500,MATCH($A30,المكونات!$A$2:$A$500,0))</f>
        <v>140</v>
      </c>
      <c r="E30" s="31" t="n">
        <f aca="false">D30-C30</f>
        <v>10</v>
      </c>
      <c r="F30" s="32" t="n">
        <f aca="false">IF(C30=0,"",D30/C30-1)</f>
        <v>0.0769230769230769</v>
      </c>
      <c r="G30" s="28" t="s">
        <v>299</v>
      </c>
      <c r="H30" s="29" t="n">
        <v>140</v>
      </c>
      <c r="I30" s="29" t="n">
        <v>1</v>
      </c>
      <c r="J30" s="28"/>
    </row>
    <row r="31" customFormat="false" ht="15" hidden="false" customHeight="false" outlineLevel="0" collapsed="false">
      <c r="A31" s="28" t="s">
        <v>65</v>
      </c>
      <c r="B31" s="29" t="s">
        <v>57</v>
      </c>
      <c r="C31" s="30" t="n">
        <v>74.29</v>
      </c>
      <c r="D31" s="31" t="n">
        <f aca="false">INDEX(المكونات!$C$2:$C$500,MATCH($A31,المكونات!$A$2:$A$500,0))</f>
        <v>80</v>
      </c>
      <c r="E31" s="31" t="n">
        <f aca="false">D31-C31</f>
        <v>5.70999999999999</v>
      </c>
      <c r="F31" s="32" t="n">
        <f aca="false">IF(C31=0,"",D31/C31-1)</f>
        <v>0.0768609503297886</v>
      </c>
      <c r="G31" s="28" t="s">
        <v>299</v>
      </c>
      <c r="H31" s="29" t="n">
        <v>80</v>
      </c>
      <c r="I31" s="29" t="n">
        <v>1</v>
      </c>
      <c r="J31" s="28"/>
    </row>
    <row r="32" customFormat="false" ht="15" hidden="false" customHeight="false" outlineLevel="0" collapsed="false">
      <c r="A32" s="28" t="s">
        <v>148</v>
      </c>
      <c r="B32" s="29" t="s">
        <v>115</v>
      </c>
      <c r="C32" s="30" t="n">
        <v>186.67</v>
      </c>
      <c r="D32" s="31" t="n">
        <f aca="false">INDEX(المكونات!$C$2:$C$500,MATCH($A32,المكونات!$A$2:$A$500,0))</f>
        <v>200</v>
      </c>
      <c r="E32" s="31" t="n">
        <f aca="false">D32-C32</f>
        <v>13.33</v>
      </c>
      <c r="F32" s="32" t="n">
        <f aca="false">IF(C32=0,"",D32/C32-1)</f>
        <v>0.0714094391171587</v>
      </c>
      <c r="G32" s="28" t="s">
        <v>299</v>
      </c>
      <c r="H32" s="29" t="n">
        <v>200</v>
      </c>
      <c r="I32" s="29" t="n">
        <v>1</v>
      </c>
      <c r="J32" s="28"/>
    </row>
    <row r="33" customFormat="false" ht="15" hidden="false" customHeight="false" outlineLevel="0" collapsed="false">
      <c r="A33" s="28" t="s">
        <v>96</v>
      </c>
      <c r="B33" s="29" t="s">
        <v>57</v>
      </c>
      <c r="C33" s="30" t="n">
        <v>31.9</v>
      </c>
      <c r="D33" s="31" t="n">
        <f aca="false">INDEX(المكونات!$C$2:$C$500,MATCH($A33,المكونات!$A$2:$A$500,0))</f>
        <v>30</v>
      </c>
      <c r="E33" s="31" t="n">
        <f aca="false">D33-C33</f>
        <v>-1.9</v>
      </c>
      <c r="F33" s="32" t="n">
        <f aca="false">IF(C33=0,"",D33/C33-1)</f>
        <v>-0.0595611285266457</v>
      </c>
      <c r="G33" s="28" t="s">
        <v>299</v>
      </c>
      <c r="H33" s="29" t="n">
        <v>30</v>
      </c>
      <c r="I33" s="29" t="n">
        <v>1</v>
      </c>
      <c r="J33" s="28"/>
    </row>
    <row r="34" customFormat="false" ht="15" hidden="false" customHeight="false" outlineLevel="0" collapsed="false">
      <c r="A34" s="28" t="s">
        <v>90</v>
      </c>
      <c r="B34" s="29" t="s">
        <v>57</v>
      </c>
      <c r="C34" s="30" t="n">
        <v>25.82</v>
      </c>
      <c r="D34" s="31" t="n">
        <f aca="false">INDEX(المكونات!$C$2:$C$500,MATCH($A34,المكونات!$A$2:$A$500,0))</f>
        <v>27.1442</v>
      </c>
      <c r="E34" s="31" t="n">
        <f aca="false">D34-C34</f>
        <v>1.3242</v>
      </c>
      <c r="F34" s="32" t="n">
        <f aca="false">IF(C34=0,"",D34/C34-1)</f>
        <v>0.0512858249419055</v>
      </c>
      <c r="G34" s="28" t="s">
        <v>299</v>
      </c>
      <c r="H34" s="29" t="n">
        <v>27.1442</v>
      </c>
      <c r="I34" s="29" t="n">
        <v>1</v>
      </c>
      <c r="J34" s="28"/>
    </row>
    <row r="35" customFormat="false" ht="15" hidden="false" customHeight="false" outlineLevel="0" collapsed="false">
      <c r="A35" s="28" t="s">
        <v>117</v>
      </c>
      <c r="B35" s="29" t="s">
        <v>115</v>
      </c>
      <c r="C35" s="30" t="n">
        <v>110</v>
      </c>
      <c r="D35" s="31" t="n">
        <f aca="false">INDEX(المكونات!$C$2:$C$500,MATCH($A35,المكونات!$A$2:$A$500,0))</f>
        <v>104.58</v>
      </c>
      <c r="E35" s="31" t="n">
        <f aca="false">D35-C35</f>
        <v>-5.42</v>
      </c>
      <c r="F35" s="32" t="n">
        <f aca="false">IF(C35=0,"",D35/C35-1)</f>
        <v>-0.0492727272727272</v>
      </c>
      <c r="G35" s="28" t="s">
        <v>297</v>
      </c>
      <c r="H35" s="29" t="n">
        <v>110</v>
      </c>
      <c r="I35" s="29" t="n">
        <v>1</v>
      </c>
      <c r="J35" s="28"/>
    </row>
    <row r="36" customFormat="false" ht="15" hidden="false" customHeight="false" outlineLevel="0" collapsed="false">
      <c r="A36" s="28" t="s">
        <v>248</v>
      </c>
      <c r="B36" s="29" t="s">
        <v>115</v>
      </c>
      <c r="C36" s="30" t="n">
        <v>8</v>
      </c>
      <c r="D36" s="31" t="n">
        <f aca="false">INDEX(المكونات!$C$2:$C$500,MATCH($A36,المكونات!$A$2:$A$500,0))</f>
        <v>8.37</v>
      </c>
      <c r="E36" s="31" t="n">
        <f aca="false">D36-C36</f>
        <v>0.369999999999999</v>
      </c>
      <c r="F36" s="32" t="n">
        <f aca="false">IF(C36=0,"",D36/C36-1)</f>
        <v>0.0462499999999999</v>
      </c>
      <c r="G36" s="28" t="s">
        <v>297</v>
      </c>
      <c r="H36" s="29" t="n">
        <v>8.37</v>
      </c>
      <c r="I36" s="29" t="n">
        <v>1</v>
      </c>
      <c r="J36" s="28"/>
    </row>
    <row r="37" customFormat="false" ht="15" hidden="false" customHeight="false" outlineLevel="0" collapsed="false">
      <c r="A37" s="28" t="s">
        <v>76</v>
      </c>
      <c r="B37" s="29" t="s">
        <v>57</v>
      </c>
      <c r="C37" s="30" t="n">
        <v>33.5</v>
      </c>
      <c r="D37" s="31" t="n">
        <f aca="false">INDEX(المكونات!$C$2:$C$500,MATCH($A37,المكونات!$A$2:$A$500,0))</f>
        <v>35</v>
      </c>
      <c r="E37" s="31" t="n">
        <f aca="false">D37-C37</f>
        <v>1.5</v>
      </c>
      <c r="F37" s="32" t="n">
        <f aca="false">IF(C37=0,"",D37/C37-1)</f>
        <v>0.044776119402985</v>
      </c>
      <c r="G37" s="28" t="s">
        <v>299</v>
      </c>
      <c r="H37" s="29" t="n">
        <v>35</v>
      </c>
      <c r="I37" s="29" t="n">
        <v>1</v>
      </c>
      <c r="J37" s="28"/>
    </row>
    <row r="38" customFormat="false" ht="15" hidden="false" customHeight="false" outlineLevel="0" collapsed="false">
      <c r="A38" s="28" t="s">
        <v>94</v>
      </c>
      <c r="B38" s="29" t="s">
        <v>57</v>
      </c>
      <c r="C38" s="30" t="n">
        <v>50.54</v>
      </c>
      <c r="D38" s="31" t="n">
        <f aca="false">INDEX(المكونات!$C$2:$C$500,MATCH($A38,المكونات!$A$2:$A$500,0))</f>
        <v>48.2857</v>
      </c>
      <c r="E38" s="31" t="n">
        <f aca="false">D38-C38</f>
        <v>-2.2543</v>
      </c>
      <c r="F38" s="32" t="n">
        <f aca="false">IF(C38=0,"",D38/C38-1)</f>
        <v>-0.044604273842501</v>
      </c>
      <c r="G38" s="28" t="s">
        <v>299</v>
      </c>
      <c r="H38" s="29" t="n">
        <v>48.2857</v>
      </c>
      <c r="I38" s="29" t="n">
        <v>1</v>
      </c>
      <c r="J38" s="28"/>
    </row>
    <row r="39" customFormat="false" ht="15" hidden="false" customHeight="false" outlineLevel="0" collapsed="false">
      <c r="A39" s="28" t="s">
        <v>74</v>
      </c>
      <c r="B39" s="29" t="s">
        <v>57</v>
      </c>
      <c r="C39" s="30" t="n">
        <v>18.76</v>
      </c>
      <c r="D39" s="31" t="n">
        <f aca="false">INDEX(المكونات!$C$2:$C$500,MATCH($A39,المكونات!$A$2:$A$500,0))</f>
        <v>18</v>
      </c>
      <c r="E39" s="31" t="n">
        <f aca="false">D39-C39</f>
        <v>-0.760000000000002</v>
      </c>
      <c r="F39" s="32" t="n">
        <f aca="false">IF(C39=0,"",D39/C39-1)</f>
        <v>-0.0405117270788914</v>
      </c>
      <c r="G39" s="28" t="s">
        <v>299</v>
      </c>
      <c r="H39" s="29" t="n">
        <v>18</v>
      </c>
      <c r="I39" s="29" t="n">
        <v>1</v>
      </c>
      <c r="J39" s="28"/>
    </row>
    <row r="40" customFormat="false" ht="15" hidden="false" customHeight="false" outlineLevel="0" collapsed="false">
      <c r="A40" s="28" t="s">
        <v>136</v>
      </c>
      <c r="B40" s="29" t="s">
        <v>57</v>
      </c>
      <c r="C40" s="30" t="n">
        <v>15</v>
      </c>
      <c r="D40" s="31" t="n">
        <f aca="false">INDEX(المكونات!$C$2:$C$500,MATCH($A40,المكونات!$A$2:$A$500,0))</f>
        <v>15.5556</v>
      </c>
      <c r="E40" s="31" t="n">
        <f aca="false">D40-C40</f>
        <v>0.5556</v>
      </c>
      <c r="F40" s="32" t="n">
        <f aca="false">IF(C40=0,"",D40/C40-1)</f>
        <v>0.03704</v>
      </c>
      <c r="G40" s="28" t="s">
        <v>299</v>
      </c>
      <c r="H40" s="29" t="n">
        <v>15.5556</v>
      </c>
      <c r="I40" s="29" t="n">
        <v>1</v>
      </c>
      <c r="J40" s="28"/>
    </row>
    <row r="41" customFormat="false" ht="15" hidden="false" customHeight="false" outlineLevel="0" collapsed="false">
      <c r="A41" s="28" t="s">
        <v>194</v>
      </c>
      <c r="B41" s="29" t="s">
        <v>115</v>
      </c>
      <c r="C41" s="30" t="n">
        <v>135</v>
      </c>
      <c r="D41" s="31" t="n">
        <f aca="false">INDEX(المكونات!$C$2:$C$500,MATCH($A41,المكونات!$A$2:$A$500,0))</f>
        <v>140</v>
      </c>
      <c r="E41" s="31" t="n">
        <f aca="false">D41-C41</f>
        <v>5</v>
      </c>
      <c r="F41" s="32" t="n">
        <f aca="false">IF(C41=0,"",D41/C41-1)</f>
        <v>0.037037037037037</v>
      </c>
      <c r="G41" s="28" t="s">
        <v>299</v>
      </c>
      <c r="H41" s="29" t="n">
        <v>140</v>
      </c>
      <c r="I41" s="29" t="n">
        <v>1</v>
      </c>
      <c r="J41" s="28"/>
    </row>
    <row r="42" customFormat="false" ht="15" hidden="false" customHeight="false" outlineLevel="0" collapsed="false">
      <c r="A42" s="28" t="s">
        <v>92</v>
      </c>
      <c r="B42" s="29" t="s">
        <v>57</v>
      </c>
      <c r="C42" s="30" t="n">
        <v>35</v>
      </c>
      <c r="D42" s="31" t="n">
        <f aca="false">INDEX(المكونات!$C$2:$C$500,MATCH($A42,المكونات!$A$2:$A$500,0))</f>
        <v>33.7609</v>
      </c>
      <c r="E42" s="31" t="n">
        <f aca="false">D42-C42</f>
        <v>-1.2391</v>
      </c>
      <c r="F42" s="32" t="n">
        <f aca="false">IF(C42=0,"",D42/C42-1)</f>
        <v>-0.0354028571428572</v>
      </c>
      <c r="G42" s="28" t="s">
        <v>299</v>
      </c>
      <c r="H42" s="29" t="n">
        <v>33.7609</v>
      </c>
      <c r="I42" s="29" t="n">
        <v>1</v>
      </c>
      <c r="J42" s="28"/>
    </row>
    <row r="43" customFormat="false" ht="15" hidden="false" customHeight="false" outlineLevel="0" collapsed="false">
      <c r="A43" s="28" t="s">
        <v>88</v>
      </c>
      <c r="B43" s="29" t="s">
        <v>57</v>
      </c>
      <c r="C43" s="30" t="n">
        <v>46.49</v>
      </c>
      <c r="D43" s="31" t="n">
        <f aca="false">INDEX(المكونات!$C$2:$C$500,MATCH($A43,المكونات!$A$2:$A$500,0))</f>
        <v>45</v>
      </c>
      <c r="E43" s="31" t="n">
        <f aca="false">D43-C43</f>
        <v>-1.49</v>
      </c>
      <c r="F43" s="32" t="n">
        <f aca="false">IF(C43=0,"",D43/C43-1)</f>
        <v>-0.0320499032049904</v>
      </c>
      <c r="G43" s="28" t="s">
        <v>299</v>
      </c>
      <c r="H43" s="29" t="n">
        <v>45</v>
      </c>
      <c r="I43" s="29" t="n">
        <v>1</v>
      </c>
      <c r="J43" s="28"/>
    </row>
    <row r="44" customFormat="false" ht="15" hidden="false" customHeight="false" outlineLevel="0" collapsed="false">
      <c r="A44" s="28" t="s">
        <v>186</v>
      </c>
      <c r="B44" s="29" t="s">
        <v>115</v>
      </c>
      <c r="C44" s="30" t="n">
        <v>32.97</v>
      </c>
      <c r="D44" s="31" t="n">
        <f aca="false">INDEX(المكونات!$C$2:$C$500,MATCH($A44,المكونات!$A$2:$A$500,0))</f>
        <v>32</v>
      </c>
      <c r="E44" s="31" t="n">
        <f aca="false">D44-C44</f>
        <v>-0.969999999999999</v>
      </c>
      <c r="F44" s="32" t="n">
        <f aca="false">IF(C44=0,"",D44/C44-1)</f>
        <v>-0.0294206854716409</v>
      </c>
      <c r="G44" s="28" t="s">
        <v>299</v>
      </c>
      <c r="H44" s="29" t="n">
        <v>32</v>
      </c>
      <c r="I44" s="29" t="n">
        <v>1</v>
      </c>
      <c r="J44" s="28"/>
    </row>
    <row r="45" customFormat="false" ht="15" hidden="false" customHeight="false" outlineLevel="0" collapsed="false">
      <c r="A45" s="28" t="s">
        <v>80</v>
      </c>
      <c r="B45" s="29" t="s">
        <v>57</v>
      </c>
      <c r="C45" s="30" t="n">
        <v>5.5</v>
      </c>
      <c r="D45" s="31" t="n">
        <f aca="false">INDEX(المكونات!$C$2:$C$500,MATCH($A45,المكونات!$A$2:$A$500,0))</f>
        <v>5.65</v>
      </c>
      <c r="E45" s="31" t="n">
        <f aca="false">D45-C45</f>
        <v>0.15</v>
      </c>
      <c r="F45" s="32" t="n">
        <f aca="false">IF(C45=0,"",D45/C45-1)</f>
        <v>0.0272727272727273</v>
      </c>
      <c r="G45" s="28" t="s">
        <v>299</v>
      </c>
      <c r="H45" s="29" t="n">
        <v>5.65</v>
      </c>
      <c r="I45" s="29" t="n">
        <v>1</v>
      </c>
      <c r="J45" s="28"/>
    </row>
    <row r="46" customFormat="false" ht="15" hidden="false" customHeight="false" outlineLevel="0" collapsed="false">
      <c r="A46" s="28" t="s">
        <v>167</v>
      </c>
      <c r="B46" s="29" t="s">
        <v>115</v>
      </c>
      <c r="C46" s="30" t="n">
        <v>370</v>
      </c>
      <c r="D46" s="31" t="n">
        <f aca="false">INDEX(المكونات!$C$2:$C$500,MATCH($A46,المكونات!$A$2:$A$500,0))</f>
        <v>380</v>
      </c>
      <c r="E46" s="31" t="n">
        <f aca="false">D46-C46</f>
        <v>10</v>
      </c>
      <c r="F46" s="32" t="n">
        <f aca="false">IF(C46=0,"",D46/C46-1)</f>
        <v>0.027027027027027</v>
      </c>
      <c r="G46" s="28" t="s">
        <v>299</v>
      </c>
      <c r="H46" s="29" t="n">
        <v>380</v>
      </c>
      <c r="I46" s="29" t="n">
        <v>1</v>
      </c>
      <c r="J46" s="28"/>
    </row>
    <row r="47" customFormat="false" ht="15" hidden="false" customHeight="false" outlineLevel="0" collapsed="false">
      <c r="A47" s="28" t="s">
        <v>252</v>
      </c>
      <c r="B47" s="29" t="s">
        <v>115</v>
      </c>
      <c r="C47" s="30" t="n">
        <v>595</v>
      </c>
      <c r="D47" s="31" t="n">
        <f aca="false">INDEX(المكونات!$C$2:$C$500,MATCH($A47,المكونات!$A$2:$A$500,0))</f>
        <v>610</v>
      </c>
      <c r="E47" s="31" t="n">
        <f aca="false">D47-C47</f>
        <v>15</v>
      </c>
      <c r="F47" s="32" t="n">
        <f aca="false">IF(C47=0,"",D47/C47-1)</f>
        <v>0.0252100840336134</v>
      </c>
      <c r="G47" s="28" t="s">
        <v>299</v>
      </c>
      <c r="H47" s="29" t="n">
        <v>610</v>
      </c>
      <c r="I47" s="29" t="n">
        <v>1</v>
      </c>
      <c r="J47" s="28"/>
    </row>
    <row r="48" customFormat="false" ht="15" hidden="false" customHeight="false" outlineLevel="0" collapsed="false">
      <c r="A48" s="28" t="s">
        <v>206</v>
      </c>
      <c r="B48" s="29" t="s">
        <v>57</v>
      </c>
      <c r="C48" s="30" t="n">
        <v>4.4</v>
      </c>
      <c r="D48" s="31" t="n">
        <f aca="false">INDEX(المكونات!$C$2:$C$500,MATCH($A48,المكونات!$A$2:$A$500,0))</f>
        <v>4.5</v>
      </c>
      <c r="E48" s="31" t="n">
        <f aca="false">D48-C48</f>
        <v>0.0999999999999996</v>
      </c>
      <c r="F48" s="32" t="n">
        <f aca="false">IF(C48=0,"",D48/C48-1)</f>
        <v>0.0227272727272727</v>
      </c>
      <c r="G48" s="28" t="s">
        <v>297</v>
      </c>
      <c r="H48" s="29" t="n">
        <v>4.5</v>
      </c>
      <c r="I48" s="29" t="n">
        <v>1</v>
      </c>
      <c r="J48" s="28"/>
    </row>
    <row r="49" customFormat="false" ht="15" hidden="false" customHeight="false" outlineLevel="0" collapsed="false">
      <c r="A49" s="28" t="s">
        <v>228</v>
      </c>
      <c r="B49" s="29" t="s">
        <v>57</v>
      </c>
      <c r="C49" s="30" t="n">
        <v>0.49</v>
      </c>
      <c r="D49" s="31" t="n">
        <f aca="false">INDEX(المكونات!$C$2:$C$500,MATCH($A49,المكونات!$A$2:$A$500,0))</f>
        <v>0.5</v>
      </c>
      <c r="E49" s="31" t="n">
        <f aca="false">D49-C49</f>
        <v>0.01</v>
      </c>
      <c r="F49" s="32" t="n">
        <f aca="false">IF(C49=0,"",D49/C49-1)</f>
        <v>0.0204081632653061</v>
      </c>
      <c r="G49" s="28" t="s">
        <v>299</v>
      </c>
      <c r="H49" s="29" t="n">
        <v>0.5</v>
      </c>
      <c r="I49" s="29" t="n">
        <v>1</v>
      </c>
      <c r="J49" s="28"/>
    </row>
    <row r="50" customFormat="false" ht="15" hidden="false" customHeight="false" outlineLevel="0" collapsed="false">
      <c r="A50" s="28" t="s">
        <v>188</v>
      </c>
      <c r="B50" s="29" t="s">
        <v>115</v>
      </c>
      <c r="C50" s="30" t="n">
        <v>68.75</v>
      </c>
      <c r="D50" s="31" t="n">
        <f aca="false">INDEX(المكونات!$C$2:$C$500,MATCH($A50,المكونات!$A$2:$A$500,0))</f>
        <v>70</v>
      </c>
      <c r="E50" s="31" t="n">
        <f aca="false">D50-C50</f>
        <v>1.25</v>
      </c>
      <c r="F50" s="32" t="n">
        <f aca="false">IF(C50=0,"",D50/C50-1)</f>
        <v>0.0181818181818181</v>
      </c>
      <c r="G50" s="28" t="s">
        <v>299</v>
      </c>
      <c r="H50" s="29" t="n">
        <v>70</v>
      </c>
      <c r="I50" s="29" t="n">
        <v>1</v>
      </c>
      <c r="J50" s="28"/>
    </row>
    <row r="51" customFormat="false" ht="15" hidden="false" customHeight="false" outlineLevel="0" collapsed="false">
      <c r="A51" s="28" t="s">
        <v>263</v>
      </c>
      <c r="B51" s="29" t="s">
        <v>57</v>
      </c>
      <c r="C51" s="30" t="n">
        <v>4.4</v>
      </c>
      <c r="D51" s="31" t="n">
        <f aca="false">INDEX(المكونات!$C$2:$C$500,MATCH($A51,المكونات!$A$2:$A$500,0))</f>
        <v>4.47</v>
      </c>
      <c r="E51" s="31" t="n">
        <f aca="false">D51-C51</f>
        <v>0.0699999999999994</v>
      </c>
      <c r="F51" s="32" t="n">
        <f aca="false">IF(C51=0,"",D51/C51-1)</f>
        <v>0.0159090909090909</v>
      </c>
      <c r="G51" s="28" t="s">
        <v>297</v>
      </c>
      <c r="H51" s="29" t="n">
        <v>4.47</v>
      </c>
      <c r="I51" s="29" t="n">
        <v>1</v>
      </c>
      <c r="J51" s="28"/>
    </row>
    <row r="52" customFormat="false" ht="15" hidden="false" customHeight="false" outlineLevel="0" collapsed="false">
      <c r="A52" s="28" t="s">
        <v>156</v>
      </c>
      <c r="B52" s="29" t="s">
        <v>115</v>
      </c>
      <c r="C52" s="30" t="n">
        <v>216.67</v>
      </c>
      <c r="D52" s="31" t="n">
        <f aca="false">INDEX(المكونات!$C$2:$C$500,MATCH($A52,المكونات!$A$2:$A$500,0))</f>
        <v>220</v>
      </c>
      <c r="E52" s="31" t="n">
        <f aca="false">D52-C52</f>
        <v>3.33000000000001</v>
      </c>
      <c r="F52" s="32" t="n">
        <f aca="false">IF(C52=0,"",D52/C52-1)</f>
        <v>0.0153689943231643</v>
      </c>
      <c r="G52" s="28" t="s">
        <v>299</v>
      </c>
      <c r="H52" s="29" t="n">
        <v>220</v>
      </c>
      <c r="I52" s="29" t="n">
        <v>1</v>
      </c>
      <c r="J52" s="28"/>
    </row>
    <row r="53" customFormat="false" ht="15" hidden="false" customHeight="false" outlineLevel="0" collapsed="false">
      <c r="A53" s="28" t="s">
        <v>233</v>
      </c>
      <c r="B53" s="29" t="s">
        <v>139</v>
      </c>
      <c r="C53" s="30" t="n">
        <v>20</v>
      </c>
      <c r="D53" s="31" t="n">
        <f aca="false">INDEX(المكونات!$C$2:$C$500,MATCH($A53,المكونات!$A$2:$A$500,0))</f>
        <v>20.2727</v>
      </c>
      <c r="E53" s="31" t="n">
        <f aca="false">D53-C53</f>
        <v>0.2727</v>
      </c>
      <c r="F53" s="32" t="n">
        <f aca="false">IF(C53=0,"",D53/C53-1)</f>
        <v>0.0136350000000001</v>
      </c>
      <c r="G53" s="28" t="s">
        <v>299</v>
      </c>
      <c r="H53" s="29" t="n">
        <v>20.2727</v>
      </c>
      <c r="I53" s="29" t="n">
        <v>1</v>
      </c>
      <c r="J53" s="28"/>
    </row>
    <row r="54" customFormat="false" ht="15" hidden="false" customHeight="false" outlineLevel="0" collapsed="false">
      <c r="A54" s="28" t="s">
        <v>279</v>
      </c>
      <c r="B54" s="29" t="s">
        <v>57</v>
      </c>
      <c r="C54" s="30" t="n">
        <v>4.4</v>
      </c>
      <c r="D54" s="31" t="n">
        <f aca="false">INDEX(المكونات!$C$2:$C$500,MATCH($A54,المكونات!$A$2:$A$500,0))</f>
        <v>4.44</v>
      </c>
      <c r="E54" s="31" t="n">
        <f aca="false">D54-C54</f>
        <v>0.04</v>
      </c>
      <c r="F54" s="32" t="n">
        <f aca="false">IF(C54=0,"",D54/C54-1)</f>
        <v>0.00909090909090904</v>
      </c>
      <c r="G54" s="28" t="s">
        <v>297</v>
      </c>
      <c r="H54" s="29" t="n">
        <v>4.44</v>
      </c>
      <c r="I54" s="29" t="n">
        <v>1</v>
      </c>
      <c r="J54" s="28"/>
    </row>
    <row r="55" customFormat="false" ht="15" hidden="false" customHeight="false" outlineLevel="0" collapsed="false">
      <c r="A55" s="28" t="s">
        <v>164</v>
      </c>
      <c r="B55" s="29" t="s">
        <v>115</v>
      </c>
      <c r="C55" s="30" t="n">
        <v>30</v>
      </c>
      <c r="D55" s="31" t="n">
        <f aca="false">INDEX(المكونات!$C$2:$C$500,MATCH($A55,المكونات!$A$2:$A$500,0))</f>
        <v>30.2614</v>
      </c>
      <c r="E55" s="31" t="n">
        <f aca="false">D55-C55</f>
        <v>0.261399999999998</v>
      </c>
      <c r="F55" s="32" t="n">
        <f aca="false">IF(C55=0,"",D55/C55-1)</f>
        <v>0.00871333333333335</v>
      </c>
      <c r="G55" s="28" t="s">
        <v>299</v>
      </c>
      <c r="H55" s="29" t="n">
        <v>30.2614</v>
      </c>
      <c r="I55" s="29" t="n">
        <v>1</v>
      </c>
      <c r="J55" s="28"/>
    </row>
    <row r="56" customFormat="false" ht="15" hidden="false" customHeight="false" outlineLevel="0" collapsed="false">
      <c r="A56" s="28" t="s">
        <v>84</v>
      </c>
      <c r="B56" s="29" t="s">
        <v>57</v>
      </c>
      <c r="C56" s="30" t="n">
        <v>95.62</v>
      </c>
      <c r="D56" s="31" t="n">
        <f aca="false">INDEX(المكونات!$C$2:$C$500,MATCH($A56,المكونات!$A$2:$A$500,0))</f>
        <v>95</v>
      </c>
      <c r="E56" s="31" t="n">
        <f aca="false">D56-C56</f>
        <v>-0.620000000000005</v>
      </c>
      <c r="F56" s="32" t="n">
        <f aca="false">IF(C56=0,"",D56/C56-1)</f>
        <v>-0.00648399916335496</v>
      </c>
      <c r="G56" s="28" t="s">
        <v>299</v>
      </c>
      <c r="H56" s="29" t="n">
        <v>95</v>
      </c>
      <c r="I56" s="29" t="n">
        <v>1</v>
      </c>
      <c r="J56" s="28"/>
    </row>
    <row r="57" customFormat="false" ht="15" hidden="false" customHeight="false" outlineLevel="0" collapsed="false">
      <c r="A57" s="28" t="s">
        <v>160</v>
      </c>
      <c r="B57" s="29" t="s">
        <v>139</v>
      </c>
      <c r="C57" s="30" t="n">
        <v>75.48</v>
      </c>
      <c r="D57" s="31" t="n">
        <f aca="false">INDEX(المكونات!$C$2:$C$500,MATCH($A57,المكونات!$A$2:$A$500,0))</f>
        <v>75</v>
      </c>
      <c r="E57" s="31" t="n">
        <f aca="false">D57-C57</f>
        <v>-0.480000000000004</v>
      </c>
      <c r="F57" s="32" t="n">
        <f aca="false">IF(C57=0,"",D57/C57-1)</f>
        <v>-0.00635930047694755</v>
      </c>
      <c r="G57" s="28" t="s">
        <v>299</v>
      </c>
      <c r="H57" s="29" t="n">
        <v>75</v>
      </c>
      <c r="I57" s="29" t="n">
        <v>1</v>
      </c>
      <c r="J57" s="28"/>
    </row>
    <row r="58" customFormat="false" ht="15" hidden="false" customHeight="false" outlineLevel="0" collapsed="false">
      <c r="A58" s="28" t="s">
        <v>134</v>
      </c>
      <c r="B58" s="29" t="s">
        <v>57</v>
      </c>
      <c r="C58" s="30" t="n">
        <v>6.06</v>
      </c>
      <c r="D58" s="31" t="n">
        <f aca="false">INDEX(المكونات!$C$2:$C$500,MATCH($A58,المكونات!$A$2:$A$500,0))</f>
        <v>6.09</v>
      </c>
      <c r="E58" s="31" t="n">
        <f aca="false">D58-C58</f>
        <v>0.0300000000000003</v>
      </c>
      <c r="F58" s="32" t="n">
        <f aca="false">IF(C58=0,"",D58/C58-1)</f>
        <v>0.00495049504950496</v>
      </c>
      <c r="G58" s="28" t="s">
        <v>297</v>
      </c>
      <c r="H58" s="29" t="n">
        <v>6.09</v>
      </c>
      <c r="I58" s="29" t="n">
        <v>1</v>
      </c>
      <c r="J58" s="28"/>
    </row>
    <row r="59" customFormat="false" ht="15" hidden="false" customHeight="false" outlineLevel="0" collapsed="false">
      <c r="A59" s="28" t="s">
        <v>196</v>
      </c>
      <c r="B59" s="29" t="s">
        <v>115</v>
      </c>
      <c r="C59" s="30" t="n">
        <v>20.91</v>
      </c>
      <c r="D59" s="31" t="n">
        <f aca="false">INDEX(المكونات!$C$2:$C$500,MATCH($A59,المكونات!$A$2:$A$500,0))</f>
        <v>21</v>
      </c>
      <c r="E59" s="31" t="n">
        <f aca="false">D59-C59</f>
        <v>0.0899999999999999</v>
      </c>
      <c r="F59" s="32" t="n">
        <f aca="false">IF(C59=0,"",D59/C59-1)</f>
        <v>0.00430416068866579</v>
      </c>
      <c r="G59" s="28" t="s">
        <v>299</v>
      </c>
      <c r="H59" s="29" t="n">
        <v>21</v>
      </c>
      <c r="I59" s="29" t="n">
        <v>1</v>
      </c>
      <c r="J59" s="28"/>
    </row>
    <row r="60" customFormat="false" ht="15" hidden="false" customHeight="false" outlineLevel="0" collapsed="false">
      <c r="A60" s="28" t="s">
        <v>169</v>
      </c>
      <c r="B60" s="29" t="s">
        <v>170</v>
      </c>
      <c r="C60" s="30" t="n">
        <v>2.5284</v>
      </c>
      <c r="D60" s="31" t="n">
        <f aca="false">INDEX(المكونات!$C$2:$C$500,MATCH($A60,المكونات!$A$2:$A$500,0))</f>
        <v>2.5189</v>
      </c>
      <c r="E60" s="31" t="n">
        <f aca="false">D60-C60</f>
        <v>-0.00950000000000006</v>
      </c>
      <c r="F60" s="32" t="n">
        <f aca="false">IF(C60=0,"",D60/C60-1)</f>
        <v>-0.0037573168802405</v>
      </c>
      <c r="G60" s="28" t="s">
        <v>297</v>
      </c>
      <c r="H60" s="29" t="n">
        <v>530</v>
      </c>
      <c r="I60" s="29" t="n">
        <v>200</v>
      </c>
      <c r="J60" s="28"/>
    </row>
    <row r="61" customFormat="false" ht="15" hidden="false" customHeight="false" outlineLevel="0" collapsed="false">
      <c r="A61" s="28" t="s">
        <v>273</v>
      </c>
      <c r="B61" s="29" t="s">
        <v>115</v>
      </c>
      <c r="C61" s="30" t="n">
        <v>220</v>
      </c>
      <c r="D61" s="31" t="n">
        <f aca="false">INDEX(المكونات!$C$2:$C$500,MATCH($A61,المكونات!$A$2:$A$500,0))</f>
        <v>219.23</v>
      </c>
      <c r="E61" s="31" t="n">
        <f aca="false">D61-C61</f>
        <v>-0.77000000000001</v>
      </c>
      <c r="F61" s="32" t="n">
        <f aca="false">IF(C61=0,"",D61/C61-1)</f>
        <v>-0.00350000000000006</v>
      </c>
      <c r="G61" s="28" t="s">
        <v>297</v>
      </c>
      <c r="H61" s="29" t="n">
        <v>219.23</v>
      </c>
      <c r="I61" s="29" t="n">
        <v>1</v>
      </c>
      <c r="J61" s="28"/>
    </row>
    <row r="62" customFormat="false" ht="15" hidden="false" customHeight="false" outlineLevel="0" collapsed="false">
      <c r="A62" s="28" t="s">
        <v>104</v>
      </c>
      <c r="B62" s="29" t="s">
        <v>57</v>
      </c>
      <c r="C62" s="30" t="n">
        <v>22.94</v>
      </c>
      <c r="D62" s="31" t="n">
        <f aca="false">INDEX(المكونات!$C$2:$C$500,MATCH($A62,المكونات!$A$2:$A$500,0))</f>
        <v>23</v>
      </c>
      <c r="E62" s="31" t="n">
        <f aca="false">D62-C62</f>
        <v>0.0599999999999987</v>
      </c>
      <c r="F62" s="32" t="n">
        <f aca="false">IF(C62=0,"",D62/C62-1)</f>
        <v>0.0026155187445509</v>
      </c>
      <c r="G62" s="28" t="s">
        <v>299</v>
      </c>
      <c r="H62" s="29" t="n">
        <v>23</v>
      </c>
      <c r="I62" s="29" t="n">
        <v>1</v>
      </c>
      <c r="J62" s="28"/>
    </row>
    <row r="63" customFormat="false" ht="15" hidden="false" customHeight="false" outlineLevel="0" collapsed="false">
      <c r="A63" s="28" t="s">
        <v>174</v>
      </c>
      <c r="B63" s="29" t="s">
        <v>57</v>
      </c>
      <c r="C63" s="30" t="n">
        <v>0.675</v>
      </c>
      <c r="D63" s="31" t="n">
        <f aca="false">INDEX(المكونات!$C$2:$C$500,MATCH($A63,المكونات!$A$2:$A$500,0))</f>
        <v>0.6744</v>
      </c>
      <c r="E63" s="31" t="n">
        <f aca="false">D63-C63</f>
        <v>-0.000600000000000045</v>
      </c>
      <c r="F63" s="32" t="n">
        <f aca="false">IF(C63=0,"",D63/C63-1)</f>
        <v>-0.000888888888888939</v>
      </c>
      <c r="G63" s="28" t="s">
        <v>297</v>
      </c>
      <c r="H63" s="29" t="n">
        <v>135</v>
      </c>
      <c r="I63" s="29" t="n">
        <v>200</v>
      </c>
      <c r="J63" s="28"/>
    </row>
    <row r="64" customFormat="false" ht="15" hidden="false" customHeight="false" outlineLevel="0" collapsed="false">
      <c r="A64" s="28" t="s">
        <v>215</v>
      </c>
      <c r="B64" s="29" t="s">
        <v>57</v>
      </c>
      <c r="C64" s="30" t="n">
        <v>42</v>
      </c>
      <c r="D64" s="31" t="n">
        <f aca="false">INDEX(المكونات!$C$2:$C$500,MATCH($A64,المكونات!$A$2:$A$500,0))</f>
        <v>42.03</v>
      </c>
      <c r="E64" s="31" t="n">
        <f aca="false">D64-C64</f>
        <v>0.0300000000000011</v>
      </c>
      <c r="F64" s="32" t="n">
        <f aca="false">IF(C64=0,"",D64/C64-1)</f>
        <v>0.000714285714285667</v>
      </c>
      <c r="G64" s="28" t="s">
        <v>297</v>
      </c>
      <c r="H64" s="29" t="n">
        <v>42.03</v>
      </c>
      <c r="I64" s="29" t="n">
        <v>1</v>
      </c>
      <c r="J64" s="28"/>
    </row>
    <row r="65" customFormat="false" ht="15" hidden="false" customHeight="false" outlineLevel="0" collapsed="false">
      <c r="A65" s="28" t="s">
        <v>271</v>
      </c>
      <c r="B65" s="29" t="s">
        <v>115</v>
      </c>
      <c r="C65" s="30" t="n">
        <v>220</v>
      </c>
      <c r="D65" s="31" t="n">
        <f aca="false">INDEX(المكونات!$C$2:$C$500,MATCH($A65,المكونات!$A$2:$A$500,0))</f>
        <v>220.02</v>
      </c>
      <c r="E65" s="31" t="n">
        <f aca="false">D65-C65</f>
        <v>0.0200000000000102</v>
      </c>
      <c r="F65" s="32" t="n">
        <f aca="false">IF(C65=0,"",D65/C65-1)</f>
        <v>9.09090909091415E-005</v>
      </c>
      <c r="G65" s="28" t="s">
        <v>297</v>
      </c>
      <c r="H65" s="29" t="n">
        <v>220.02</v>
      </c>
      <c r="I65" s="29" t="n">
        <v>1</v>
      </c>
      <c r="J65" s="28"/>
    </row>
    <row r="66" customFormat="false" ht="15" hidden="false" customHeight="false" outlineLevel="0" collapsed="false">
      <c r="A66" s="28" t="s">
        <v>56</v>
      </c>
      <c r="B66" s="29" t="s">
        <v>57</v>
      </c>
      <c r="C66" s="30" t="n">
        <v>3.3</v>
      </c>
      <c r="D66" s="31" t="n">
        <f aca="false">INDEX(المكونات!$C$2:$C$500,MATCH($A66,المكونات!$A$2:$A$500,0))</f>
        <v>3.3</v>
      </c>
      <c r="E66" s="31" t="n">
        <f aca="false">D66-C66</f>
        <v>0</v>
      </c>
      <c r="F66" s="32" t="n">
        <f aca="false">IF(C66=0,"",D66/C66-1)</f>
        <v>0</v>
      </c>
      <c r="G66" s="28" t="s">
        <v>297</v>
      </c>
      <c r="H66" s="29" t="n">
        <v>3.3</v>
      </c>
      <c r="I66" s="29" t="n">
        <v>1</v>
      </c>
      <c r="J66" s="28"/>
    </row>
    <row r="67" customFormat="false" ht="15" hidden="false" customHeight="false" outlineLevel="0" collapsed="false">
      <c r="A67" s="28" t="s">
        <v>61</v>
      </c>
      <c r="B67" s="29" t="s">
        <v>57</v>
      </c>
      <c r="C67" s="30" t="n">
        <v>0.5</v>
      </c>
      <c r="D67" s="31" t="n">
        <f aca="false">INDEX(المكونات!$C$2:$C$500,MATCH($A67,المكونات!$A$2:$A$500,0))</f>
        <v>0.5</v>
      </c>
      <c r="E67" s="31" t="n">
        <f aca="false">D67-C67</f>
        <v>0</v>
      </c>
      <c r="F67" s="32" t="n">
        <f aca="false">IF(C67=0,"",D67/C67-1)</f>
        <v>0</v>
      </c>
      <c r="G67" s="28" t="s">
        <v>297</v>
      </c>
      <c r="H67" s="29" t="n">
        <v>0.5</v>
      </c>
      <c r="I67" s="29" t="n">
        <v>1</v>
      </c>
      <c r="J67" s="28"/>
    </row>
    <row r="68" customFormat="false" ht="15" hidden="false" customHeight="false" outlineLevel="0" collapsed="false">
      <c r="A68" s="28" t="s">
        <v>63</v>
      </c>
      <c r="B68" s="29" t="s">
        <v>57</v>
      </c>
      <c r="C68" s="30" t="n">
        <v>120</v>
      </c>
      <c r="D68" s="31" t="n">
        <f aca="false">INDEX(المكونات!$C$2:$C$500,MATCH($A68,المكونات!$A$2:$A$500,0))</f>
        <v>120</v>
      </c>
      <c r="E68" s="31" t="n">
        <f aca="false">D68-C68</f>
        <v>0</v>
      </c>
      <c r="F68" s="32" t="n">
        <f aca="false">IF(C68=0,"",D68/C68-1)</f>
        <v>0</v>
      </c>
      <c r="G68" s="28" t="s">
        <v>297</v>
      </c>
      <c r="H68" s="29" t="n">
        <v>120</v>
      </c>
      <c r="I68" s="29" t="n">
        <v>1</v>
      </c>
      <c r="J68" s="28"/>
    </row>
    <row r="69" customFormat="false" ht="15" hidden="false" customHeight="false" outlineLevel="0" collapsed="false">
      <c r="A69" s="28" t="s">
        <v>72</v>
      </c>
      <c r="B69" s="29" t="s">
        <v>57</v>
      </c>
      <c r="C69" s="30" t="n">
        <v>60</v>
      </c>
      <c r="D69" s="31" t="n">
        <f aca="false">INDEX(المكونات!$C$2:$C$500,MATCH($A69,المكونات!$A$2:$A$500,0))</f>
        <v>60</v>
      </c>
      <c r="E69" s="31" t="n">
        <f aca="false">D69-C69</f>
        <v>0</v>
      </c>
      <c r="F69" s="32" t="n">
        <f aca="false">IF(C69=0,"",D69/C69-1)</f>
        <v>0</v>
      </c>
      <c r="G69" s="28" t="s">
        <v>299</v>
      </c>
      <c r="H69" s="29" t="n">
        <v>60</v>
      </c>
      <c r="I69" s="29" t="n">
        <v>1</v>
      </c>
      <c r="J69" s="28"/>
    </row>
    <row r="70" customFormat="false" ht="15" hidden="false" customHeight="false" outlineLevel="0" collapsed="false">
      <c r="A70" s="28" t="s">
        <v>82</v>
      </c>
      <c r="B70" s="29" t="s">
        <v>57</v>
      </c>
      <c r="C70" s="30" t="n">
        <v>9</v>
      </c>
      <c r="D70" s="31" t="n">
        <f aca="false">INDEX(المكونات!$C$2:$C$500,MATCH($A70,المكونات!$A$2:$A$500,0))</f>
        <v>9</v>
      </c>
      <c r="E70" s="31" t="n">
        <f aca="false">D70-C70</f>
        <v>0</v>
      </c>
      <c r="F70" s="32" t="n">
        <f aca="false">IF(C70=0,"",D70/C70-1)</f>
        <v>0</v>
      </c>
      <c r="G70" s="28" t="s">
        <v>299</v>
      </c>
      <c r="H70" s="29" t="n">
        <v>9</v>
      </c>
      <c r="I70" s="29" t="n">
        <v>1</v>
      </c>
      <c r="J70" s="28"/>
    </row>
    <row r="71" customFormat="false" ht="15" hidden="false" customHeight="false" outlineLevel="0" collapsed="false">
      <c r="A71" s="28" t="s">
        <v>86</v>
      </c>
      <c r="B71" s="29" t="s">
        <v>57</v>
      </c>
      <c r="C71" s="30" t="n">
        <v>34</v>
      </c>
      <c r="D71" s="31" t="n">
        <f aca="false">INDEX(المكونات!$C$2:$C$500,MATCH($A71,المكونات!$A$2:$A$500,0))</f>
        <v>34</v>
      </c>
      <c r="E71" s="31" t="n">
        <f aca="false">D71-C71</f>
        <v>0</v>
      </c>
      <c r="F71" s="32" t="n">
        <f aca="false">IF(C71=0,"",D71/C71-1)</f>
        <v>0</v>
      </c>
      <c r="G71" s="28" t="s">
        <v>299</v>
      </c>
      <c r="H71" s="29" t="n">
        <v>34</v>
      </c>
      <c r="I71" s="29" t="n">
        <v>1</v>
      </c>
      <c r="J71" s="28"/>
    </row>
    <row r="72" customFormat="false" ht="15" hidden="false" customHeight="false" outlineLevel="0" collapsed="false">
      <c r="A72" s="28" t="s">
        <v>102</v>
      </c>
      <c r="B72" s="29" t="s">
        <v>57</v>
      </c>
      <c r="C72" s="30" t="n">
        <v>21</v>
      </c>
      <c r="D72" s="31" t="n">
        <f aca="false">INDEX(المكونات!$C$2:$C$500,MATCH($A72,المكونات!$A$2:$A$500,0))</f>
        <v>21</v>
      </c>
      <c r="E72" s="31" t="n">
        <f aca="false">D72-C72</f>
        <v>0</v>
      </c>
      <c r="F72" s="32" t="n">
        <f aca="false">IF(C72=0,"",D72/C72-1)</f>
        <v>0</v>
      </c>
      <c r="G72" s="28" t="s">
        <v>299</v>
      </c>
      <c r="H72" s="29" t="n">
        <v>21</v>
      </c>
      <c r="I72" s="29" t="n">
        <v>1</v>
      </c>
      <c r="J72" s="28"/>
    </row>
    <row r="73" customFormat="false" ht="15" hidden="false" customHeight="false" outlineLevel="0" collapsed="false">
      <c r="A73" s="28" t="s">
        <v>106</v>
      </c>
      <c r="B73" s="29" t="s">
        <v>57</v>
      </c>
      <c r="C73" s="30" t="n">
        <v>20</v>
      </c>
      <c r="D73" s="31" t="n">
        <f aca="false">INDEX(المكونات!$C$2:$C$500,MATCH($A73,المكونات!$A$2:$A$500,0))</f>
        <v>20</v>
      </c>
      <c r="E73" s="31" t="n">
        <f aca="false">D73-C73</f>
        <v>0</v>
      </c>
      <c r="F73" s="32" t="n">
        <f aca="false">IF(C73=0,"",D73/C73-1)</f>
        <v>0</v>
      </c>
      <c r="G73" s="28" t="s">
        <v>299</v>
      </c>
      <c r="H73" s="29" t="n">
        <v>20</v>
      </c>
      <c r="I73" s="29" t="n">
        <v>1</v>
      </c>
      <c r="J73" s="28"/>
    </row>
    <row r="74" customFormat="false" ht="15" hidden="false" customHeight="false" outlineLevel="0" collapsed="false">
      <c r="A74" s="28" t="s">
        <v>110</v>
      </c>
      <c r="B74" s="29" t="s">
        <v>57</v>
      </c>
      <c r="C74" s="30" t="n">
        <v>17.5</v>
      </c>
      <c r="D74" s="31" t="n">
        <f aca="false">INDEX(المكونات!$C$2:$C$500,MATCH($A74,المكونات!$A$2:$A$500,0))</f>
        <v>17.5</v>
      </c>
      <c r="E74" s="31" t="n">
        <f aca="false">D74-C74</f>
        <v>0</v>
      </c>
      <c r="F74" s="32" t="n">
        <f aca="false">IF(C74=0,"",D74/C74-1)</f>
        <v>0</v>
      </c>
      <c r="G74" s="28" t="s">
        <v>299</v>
      </c>
      <c r="H74" s="29" t="n">
        <v>17.5</v>
      </c>
      <c r="I74" s="29" t="n">
        <v>1</v>
      </c>
      <c r="J74" s="28"/>
    </row>
    <row r="75" customFormat="false" ht="15" hidden="false" customHeight="false" outlineLevel="0" collapsed="false">
      <c r="A75" s="28" t="s">
        <v>112</v>
      </c>
      <c r="B75" s="29" t="s">
        <v>57</v>
      </c>
      <c r="C75" s="30" t="n">
        <v>25</v>
      </c>
      <c r="D75" s="31" t="n">
        <f aca="false">INDEX(المكونات!$C$2:$C$500,MATCH($A75,المكونات!$A$2:$A$500,0))</f>
        <v>25</v>
      </c>
      <c r="E75" s="31" t="n">
        <f aca="false">D75-C75</f>
        <v>0</v>
      </c>
      <c r="F75" s="32" t="n">
        <f aca="false">IF(C75=0,"",D75/C75-1)</f>
        <v>0</v>
      </c>
      <c r="G75" s="28" t="s">
        <v>299</v>
      </c>
      <c r="H75" s="29" t="n">
        <v>25</v>
      </c>
      <c r="I75" s="29" t="n">
        <v>1</v>
      </c>
      <c r="J75" s="28"/>
    </row>
    <row r="76" customFormat="false" ht="15" hidden="false" customHeight="false" outlineLevel="0" collapsed="false">
      <c r="A76" s="28" t="s">
        <v>114</v>
      </c>
      <c r="B76" s="29" t="s">
        <v>115</v>
      </c>
      <c r="C76" s="30" t="n">
        <v>100</v>
      </c>
      <c r="D76" s="31" t="n">
        <f aca="false">INDEX(المكونات!$C$2:$C$500,MATCH($A76,المكونات!$A$2:$A$500,0))</f>
        <v>100</v>
      </c>
      <c r="E76" s="31" t="n">
        <f aca="false">D76-C76</f>
        <v>0</v>
      </c>
      <c r="F76" s="32" t="n">
        <f aca="false">IF(C76=0,"",D76/C76-1)</f>
        <v>0</v>
      </c>
      <c r="G76" s="28" t="s">
        <v>297</v>
      </c>
      <c r="H76" s="29" t="n">
        <v>100</v>
      </c>
      <c r="I76" s="29" t="n">
        <v>1</v>
      </c>
      <c r="J76" s="28"/>
    </row>
    <row r="77" customFormat="false" ht="15" hidden="false" customHeight="false" outlineLevel="0" collapsed="false">
      <c r="A77" s="28" t="s">
        <v>119</v>
      </c>
      <c r="B77" s="29" t="s">
        <v>115</v>
      </c>
      <c r="C77" s="30" t="n">
        <v>100</v>
      </c>
      <c r="D77" s="31" t="n">
        <f aca="false">INDEX(المكونات!$C$2:$C$500,MATCH($A77,المكونات!$A$2:$A$500,0))</f>
        <v>100</v>
      </c>
      <c r="E77" s="31" t="n">
        <f aca="false">D77-C77</f>
        <v>0</v>
      </c>
      <c r="F77" s="32" t="n">
        <f aca="false">IF(C77=0,"",D77/C77-1)</f>
        <v>0</v>
      </c>
      <c r="G77" s="28" t="s">
        <v>297</v>
      </c>
      <c r="H77" s="29" t="n">
        <v>100</v>
      </c>
      <c r="I77" s="29" t="n">
        <v>1</v>
      </c>
      <c r="J77" s="28"/>
    </row>
    <row r="78" customFormat="false" ht="15" hidden="false" customHeight="false" outlineLevel="0" collapsed="false">
      <c r="A78" s="28" t="s">
        <v>120</v>
      </c>
      <c r="B78" s="29" t="s">
        <v>115</v>
      </c>
      <c r="C78" s="30" t="n">
        <v>41</v>
      </c>
      <c r="D78" s="31" t="n">
        <f aca="false">INDEX(المكونات!$C$2:$C$500,MATCH($A78,المكونات!$A$2:$A$500,0))</f>
        <v>41</v>
      </c>
      <c r="E78" s="31" t="n">
        <f aca="false">D78-C78</f>
        <v>0</v>
      </c>
      <c r="F78" s="32" t="n">
        <f aca="false">IF(C78=0,"",D78/C78-1)</f>
        <v>0</v>
      </c>
      <c r="G78" s="28" t="s">
        <v>299</v>
      </c>
      <c r="H78" s="29" t="n">
        <v>41</v>
      </c>
      <c r="I78" s="29" t="n">
        <v>1</v>
      </c>
      <c r="J78" s="28"/>
    </row>
    <row r="79" customFormat="false" ht="15" hidden="false" customHeight="false" outlineLevel="0" collapsed="false">
      <c r="A79" s="28" t="s">
        <v>129</v>
      </c>
      <c r="B79" s="29" t="s">
        <v>130</v>
      </c>
      <c r="C79" s="30" t="n">
        <v>30</v>
      </c>
      <c r="D79" s="31" t="n">
        <f aca="false">INDEX(المكونات!$C$2:$C$500,MATCH($A79,المكونات!$A$2:$A$500,0))</f>
        <v>30</v>
      </c>
      <c r="E79" s="31" t="n">
        <f aca="false">D79-C79</f>
        <v>0</v>
      </c>
      <c r="F79" s="32" t="n">
        <f aca="false">IF(C79=0,"",D79/C79-1)</f>
        <v>0</v>
      </c>
      <c r="G79" s="28" t="s">
        <v>299</v>
      </c>
      <c r="H79" s="29" t="n">
        <v>30</v>
      </c>
      <c r="I79" s="29" t="n">
        <v>1</v>
      </c>
      <c r="J79" s="28"/>
    </row>
    <row r="80" customFormat="false" ht="15" hidden="false" customHeight="false" outlineLevel="0" collapsed="false">
      <c r="A80" s="28" t="s">
        <v>132</v>
      </c>
      <c r="B80" s="29" t="s">
        <v>115</v>
      </c>
      <c r="C80" s="30" t="n">
        <v>175</v>
      </c>
      <c r="D80" s="31" t="n">
        <f aca="false">INDEX(المكونات!$C$2:$C$500,MATCH($A80,المكونات!$A$2:$A$500,0))</f>
        <v>175</v>
      </c>
      <c r="E80" s="31" t="n">
        <f aca="false">D80-C80</f>
        <v>0</v>
      </c>
      <c r="F80" s="32" t="n">
        <f aca="false">IF(C80=0,"",D80/C80-1)</f>
        <v>0</v>
      </c>
      <c r="G80" s="28" t="s">
        <v>297</v>
      </c>
      <c r="H80" s="29" t="n">
        <v>175</v>
      </c>
      <c r="I80" s="29" t="n">
        <v>1</v>
      </c>
      <c r="J80" s="28"/>
    </row>
    <row r="81" customFormat="false" ht="15" hidden="false" customHeight="false" outlineLevel="0" collapsed="false">
      <c r="A81" s="28" t="s">
        <v>150</v>
      </c>
      <c r="B81" s="29" t="s">
        <v>143</v>
      </c>
      <c r="C81" s="30" t="n">
        <v>15</v>
      </c>
      <c r="D81" s="31" t="n">
        <f aca="false">INDEX(المكونات!$C$2:$C$500,MATCH($A81,المكونات!$A$2:$A$500,0))</f>
        <v>15</v>
      </c>
      <c r="E81" s="31" t="n">
        <f aca="false">D81-C81</f>
        <v>0</v>
      </c>
      <c r="F81" s="32" t="n">
        <f aca="false">IF(C81=0,"",D81/C81-1)</f>
        <v>0</v>
      </c>
      <c r="G81" s="28" t="s">
        <v>299</v>
      </c>
      <c r="H81" s="29" t="n">
        <v>15</v>
      </c>
      <c r="I81" s="29" t="n">
        <v>1</v>
      </c>
      <c r="J81" s="28"/>
    </row>
    <row r="82" customFormat="false" ht="15" hidden="false" customHeight="false" outlineLevel="0" collapsed="false">
      <c r="A82" s="28" t="s">
        <v>151</v>
      </c>
      <c r="B82" s="29" t="s">
        <v>115</v>
      </c>
      <c r="C82" s="30" t="n">
        <v>30</v>
      </c>
      <c r="D82" s="31" t="n">
        <f aca="false">INDEX(المكونات!$C$2:$C$500,MATCH($A82,المكونات!$A$2:$A$500,0))</f>
        <v>30</v>
      </c>
      <c r="E82" s="31" t="n">
        <f aca="false">D82-C82</f>
        <v>0</v>
      </c>
      <c r="F82" s="32" t="n">
        <f aca="false">IF(C82=0,"",D82/C82-1)</f>
        <v>0</v>
      </c>
      <c r="G82" s="28" t="s">
        <v>299</v>
      </c>
      <c r="H82" s="29" t="n">
        <v>30</v>
      </c>
      <c r="I82" s="29" t="n">
        <v>1</v>
      </c>
      <c r="J82" s="28"/>
    </row>
    <row r="83" customFormat="false" ht="15" hidden="false" customHeight="false" outlineLevel="0" collapsed="false">
      <c r="A83" s="28" t="s">
        <v>154</v>
      </c>
      <c r="B83" s="29" t="s">
        <v>115</v>
      </c>
      <c r="C83" s="30" t="n">
        <v>120</v>
      </c>
      <c r="D83" s="31" t="n">
        <f aca="false">INDEX(المكونات!$C$2:$C$500,MATCH($A83,المكونات!$A$2:$A$500,0))</f>
        <v>120</v>
      </c>
      <c r="E83" s="31" t="n">
        <f aca="false">D83-C83</f>
        <v>0</v>
      </c>
      <c r="F83" s="32" t="n">
        <f aca="false">IF(C83=0,"",D83/C83-1)</f>
        <v>0</v>
      </c>
      <c r="G83" s="28" t="s">
        <v>299</v>
      </c>
      <c r="H83" s="29" t="n">
        <v>120</v>
      </c>
      <c r="I83" s="29" t="n">
        <v>1</v>
      </c>
      <c r="J83" s="28"/>
    </row>
    <row r="84" customFormat="false" ht="15" hidden="false" customHeight="false" outlineLevel="0" collapsed="false">
      <c r="A84" s="28" t="s">
        <v>158</v>
      </c>
      <c r="B84" s="29" t="s">
        <v>139</v>
      </c>
      <c r="C84" s="30" t="n">
        <v>70</v>
      </c>
      <c r="D84" s="31" t="n">
        <f aca="false">INDEX(المكونات!$C$2:$C$500,MATCH($A84,المكونات!$A$2:$A$500,0))</f>
        <v>70</v>
      </c>
      <c r="E84" s="31" t="n">
        <f aca="false">D84-C84</f>
        <v>0</v>
      </c>
      <c r="F84" s="32" t="n">
        <f aca="false">IF(C84=0,"",D84/C84-1)</f>
        <v>0</v>
      </c>
      <c r="G84" s="28" t="s">
        <v>299</v>
      </c>
      <c r="H84" s="29" t="n">
        <v>70</v>
      </c>
      <c r="I84" s="29" t="n">
        <v>1</v>
      </c>
      <c r="J84" s="28"/>
    </row>
    <row r="85" customFormat="false" ht="15" hidden="false" customHeight="false" outlineLevel="0" collapsed="false">
      <c r="A85" s="28" t="s">
        <v>165</v>
      </c>
      <c r="B85" s="29" t="s">
        <v>143</v>
      </c>
      <c r="C85" s="30" t="n">
        <v>7.1</v>
      </c>
      <c r="D85" s="31" t="n">
        <f aca="false">INDEX(المكونات!$C$2:$C$500,MATCH($A85,المكونات!$A$2:$A$500,0))</f>
        <v>7.1</v>
      </c>
      <c r="E85" s="31" t="n">
        <f aca="false">D85-C85</f>
        <v>0</v>
      </c>
      <c r="F85" s="32" t="n">
        <f aca="false">IF(C85=0,"",D85/C85-1)</f>
        <v>0</v>
      </c>
      <c r="G85" s="28" t="s">
        <v>299</v>
      </c>
      <c r="H85" s="29" t="n">
        <v>7.1</v>
      </c>
      <c r="I85" s="29" t="n">
        <v>1</v>
      </c>
      <c r="J85" s="28"/>
    </row>
    <row r="86" customFormat="false" ht="15" hidden="false" customHeight="false" outlineLevel="0" collapsed="false">
      <c r="A86" s="28" t="s">
        <v>172</v>
      </c>
      <c r="B86" s="29" t="s">
        <v>57</v>
      </c>
      <c r="C86" s="30" t="n">
        <v>0.55</v>
      </c>
      <c r="D86" s="31" t="n">
        <f aca="false">INDEX(المكونات!$C$2:$C$500,MATCH($A86,المكونات!$A$2:$A$500,0))</f>
        <v>0.55</v>
      </c>
      <c r="E86" s="31" t="n">
        <f aca="false">D86-C86</f>
        <v>0</v>
      </c>
      <c r="F86" s="32" t="n">
        <f aca="false">IF(C86=0,"",D86/C86-1)</f>
        <v>0</v>
      </c>
      <c r="G86" s="28" t="s">
        <v>297</v>
      </c>
      <c r="H86" s="29" t="n">
        <v>110</v>
      </c>
      <c r="I86" s="29" t="n">
        <v>200</v>
      </c>
      <c r="J86" s="28"/>
    </row>
    <row r="87" customFormat="false" ht="15" hidden="false" customHeight="false" outlineLevel="0" collapsed="false">
      <c r="A87" s="28" t="s">
        <v>178</v>
      </c>
      <c r="B87" s="29" t="s">
        <v>57</v>
      </c>
      <c r="C87" s="30" t="n">
        <v>0.3</v>
      </c>
      <c r="D87" s="31" t="n">
        <f aca="false">INDEX(المكونات!$C$2:$C$500,MATCH($A87,المكونات!$A$2:$A$500,0))</f>
        <v>0.3</v>
      </c>
      <c r="E87" s="31" t="n">
        <f aca="false">D87-C87</f>
        <v>0</v>
      </c>
      <c r="F87" s="32" t="n">
        <f aca="false">IF(C87=0,"",D87/C87-1)</f>
        <v>0</v>
      </c>
      <c r="G87" s="28" t="s">
        <v>299</v>
      </c>
      <c r="H87" s="29" t="n">
        <v>0.3</v>
      </c>
      <c r="I87" s="29" t="n">
        <v>1</v>
      </c>
      <c r="J87" s="28"/>
    </row>
    <row r="88" customFormat="false" ht="15" hidden="false" customHeight="false" outlineLevel="0" collapsed="false">
      <c r="A88" s="28" t="s">
        <v>182</v>
      </c>
      <c r="B88" s="29" t="s">
        <v>115</v>
      </c>
      <c r="C88" s="30" t="n">
        <v>100</v>
      </c>
      <c r="D88" s="31" t="n">
        <f aca="false">INDEX(المكونات!$C$2:$C$500,MATCH($A88,المكونات!$A$2:$A$500,0))</f>
        <v>100</v>
      </c>
      <c r="E88" s="31" t="n">
        <f aca="false">D88-C88</f>
        <v>0</v>
      </c>
      <c r="F88" s="32" t="n">
        <f aca="false">IF(C88=0,"",D88/C88-1)</f>
        <v>0</v>
      </c>
      <c r="G88" s="28" t="s">
        <v>299</v>
      </c>
      <c r="H88" s="29" t="n">
        <v>100</v>
      </c>
      <c r="I88" s="29" t="n">
        <v>1</v>
      </c>
      <c r="J88" s="28"/>
    </row>
    <row r="89" customFormat="false" ht="15" hidden="false" customHeight="false" outlineLevel="0" collapsed="false">
      <c r="A89" s="28" t="s">
        <v>190</v>
      </c>
      <c r="B89" s="29" t="s">
        <v>115</v>
      </c>
      <c r="C89" s="30" t="n">
        <v>140</v>
      </c>
      <c r="D89" s="31" t="n">
        <f aca="false">INDEX(المكونات!$C$2:$C$500,MATCH($A89,المكونات!$A$2:$A$500,0))</f>
        <v>140</v>
      </c>
      <c r="E89" s="31" t="n">
        <f aca="false">D89-C89</f>
        <v>0</v>
      </c>
      <c r="F89" s="32" t="n">
        <f aca="false">IF(C89=0,"",D89/C89-1)</f>
        <v>0</v>
      </c>
      <c r="G89" s="28" t="s">
        <v>299</v>
      </c>
      <c r="H89" s="29" t="n">
        <v>140</v>
      </c>
      <c r="I89" s="29" t="n">
        <v>1</v>
      </c>
      <c r="J89" s="28"/>
    </row>
    <row r="90" customFormat="false" ht="15" hidden="false" customHeight="false" outlineLevel="0" collapsed="false">
      <c r="A90" s="28" t="s">
        <v>192</v>
      </c>
      <c r="B90" s="29" t="s">
        <v>115</v>
      </c>
      <c r="C90" s="30" t="n">
        <v>105</v>
      </c>
      <c r="D90" s="31" t="n">
        <f aca="false">INDEX(المكونات!$C$2:$C$500,MATCH($A90,المكونات!$A$2:$A$500,0))</f>
        <v>105</v>
      </c>
      <c r="E90" s="31" t="n">
        <f aca="false">D90-C90</f>
        <v>0</v>
      </c>
      <c r="F90" s="32" t="n">
        <f aca="false">IF(C90=0,"",D90/C90-1)</f>
        <v>0</v>
      </c>
      <c r="G90" s="28" t="s">
        <v>299</v>
      </c>
      <c r="H90" s="29" t="n">
        <v>105</v>
      </c>
      <c r="I90" s="29" t="n">
        <v>1</v>
      </c>
      <c r="J90" s="28"/>
    </row>
    <row r="91" customFormat="false" ht="15" hidden="false" customHeight="false" outlineLevel="0" collapsed="false">
      <c r="A91" s="28" t="s">
        <v>200</v>
      </c>
      <c r="B91" s="29" t="s">
        <v>57</v>
      </c>
      <c r="C91" s="30" t="n">
        <v>4</v>
      </c>
      <c r="D91" s="31" t="n">
        <f aca="false">INDEX(المكونات!$C$2:$C$500,MATCH($A91,المكونات!$A$2:$A$500,0))</f>
        <v>4</v>
      </c>
      <c r="E91" s="31" t="n">
        <f aca="false">D91-C91</f>
        <v>0</v>
      </c>
      <c r="F91" s="32" t="n">
        <f aca="false">IF(C91=0,"",D91/C91-1)</f>
        <v>0</v>
      </c>
      <c r="G91" s="28" t="s">
        <v>299</v>
      </c>
      <c r="H91" s="29" t="n">
        <v>4</v>
      </c>
      <c r="I91" s="29" t="n">
        <v>1</v>
      </c>
      <c r="J91" s="28"/>
    </row>
    <row r="92" customFormat="false" ht="15" hidden="false" customHeight="false" outlineLevel="0" collapsed="false">
      <c r="A92" s="28" t="s">
        <v>204</v>
      </c>
      <c r="B92" s="29" t="s">
        <v>57</v>
      </c>
      <c r="C92" s="30" t="n">
        <v>5.5</v>
      </c>
      <c r="D92" s="31" t="n">
        <f aca="false">INDEX(المكونات!$C$2:$C$500,MATCH($A92,المكونات!$A$2:$A$500,0))</f>
        <v>5.5</v>
      </c>
      <c r="E92" s="31" t="n">
        <f aca="false">D92-C92</f>
        <v>0</v>
      </c>
      <c r="F92" s="32" t="n">
        <f aca="false">IF(C92=0,"",D92/C92-1)</f>
        <v>0</v>
      </c>
      <c r="G92" s="28" t="s">
        <v>297</v>
      </c>
      <c r="H92" s="29" t="n">
        <v>5.5</v>
      </c>
      <c r="I92" s="29" t="n">
        <v>1</v>
      </c>
      <c r="J92" s="28"/>
    </row>
    <row r="93" customFormat="false" ht="15" hidden="false" customHeight="false" outlineLevel="0" collapsed="false">
      <c r="A93" s="28" t="s">
        <v>208</v>
      </c>
      <c r="B93" s="29" t="s">
        <v>57</v>
      </c>
      <c r="C93" s="30" t="n">
        <v>0.5</v>
      </c>
      <c r="D93" s="31" t="n">
        <f aca="false">INDEX(المكونات!$C$2:$C$500,MATCH($A93,المكونات!$A$2:$A$500,0))</f>
        <v>0.5</v>
      </c>
      <c r="E93" s="31" t="n">
        <f aca="false">D93-C93</f>
        <v>0</v>
      </c>
      <c r="F93" s="32" t="n">
        <f aca="false">IF(C93=0,"",D93/C93-1)</f>
        <v>0</v>
      </c>
      <c r="G93" s="28" t="s">
        <v>297</v>
      </c>
      <c r="H93" s="29" t="n">
        <v>0.5</v>
      </c>
      <c r="I93" s="29" t="n">
        <v>1</v>
      </c>
      <c r="J93" s="28"/>
    </row>
    <row r="94" customFormat="false" ht="15" hidden="false" customHeight="false" outlineLevel="0" collapsed="false">
      <c r="A94" s="28" t="s">
        <v>209</v>
      </c>
      <c r="B94" s="29" t="s">
        <v>57</v>
      </c>
      <c r="C94" s="30" t="n">
        <v>1.7</v>
      </c>
      <c r="D94" s="31" t="n">
        <f aca="false">INDEX(المكونات!$C$2:$C$500,MATCH($A94,المكونات!$A$2:$A$500,0))</f>
        <v>1.7</v>
      </c>
      <c r="E94" s="31" t="n">
        <f aca="false">D94-C94</f>
        <v>0</v>
      </c>
      <c r="F94" s="32" t="n">
        <f aca="false">IF(C94=0,"",D94/C94-1)</f>
        <v>0</v>
      </c>
      <c r="G94" s="28" t="s">
        <v>299</v>
      </c>
      <c r="H94" s="29" t="n">
        <v>1.7</v>
      </c>
      <c r="I94" s="29" t="n">
        <v>1</v>
      </c>
      <c r="J94" s="28"/>
    </row>
    <row r="95" customFormat="false" ht="15" hidden="false" customHeight="false" outlineLevel="0" collapsed="false">
      <c r="A95" s="28" t="s">
        <v>211</v>
      </c>
      <c r="B95" s="29" t="s">
        <v>57</v>
      </c>
      <c r="C95" s="30" t="n">
        <v>2</v>
      </c>
      <c r="D95" s="31" t="n">
        <f aca="false">INDEX(المكونات!$C$2:$C$500,MATCH($A95,المكونات!$A$2:$A$500,0))</f>
        <v>2</v>
      </c>
      <c r="E95" s="31" t="n">
        <f aca="false">D95-C95</f>
        <v>0</v>
      </c>
      <c r="F95" s="32" t="n">
        <f aca="false">IF(C95=0,"",D95/C95-1)</f>
        <v>0</v>
      </c>
      <c r="G95" s="28" t="s">
        <v>299</v>
      </c>
      <c r="H95" s="29" t="n">
        <v>2</v>
      </c>
      <c r="I95" s="29" t="n">
        <v>1</v>
      </c>
      <c r="J95" s="28"/>
    </row>
    <row r="96" customFormat="false" ht="15" hidden="false" customHeight="false" outlineLevel="0" collapsed="false">
      <c r="A96" s="28" t="s">
        <v>213</v>
      </c>
      <c r="B96" s="29" t="s">
        <v>57</v>
      </c>
      <c r="C96" s="30" t="n">
        <v>3.1</v>
      </c>
      <c r="D96" s="31" t="n">
        <f aca="false">INDEX(المكونات!$C$2:$C$500,MATCH($A96,المكونات!$A$2:$A$500,0))</f>
        <v>3.1</v>
      </c>
      <c r="E96" s="31" t="n">
        <f aca="false">D96-C96</f>
        <v>0</v>
      </c>
      <c r="F96" s="32" t="n">
        <f aca="false">IF(C96=0,"",D96/C96-1)</f>
        <v>0</v>
      </c>
      <c r="G96" s="28" t="s">
        <v>299</v>
      </c>
      <c r="H96" s="29" t="n">
        <v>3.1</v>
      </c>
      <c r="I96" s="29" t="n">
        <v>1</v>
      </c>
      <c r="J96" s="28"/>
    </row>
    <row r="97" customFormat="false" ht="15" hidden="false" customHeight="false" outlineLevel="0" collapsed="false">
      <c r="A97" s="28" t="s">
        <v>219</v>
      </c>
      <c r="B97" s="29" t="s">
        <v>115</v>
      </c>
      <c r="C97" s="30" t="n">
        <v>27</v>
      </c>
      <c r="D97" s="31" t="n">
        <f aca="false">INDEX(المكونات!$C$2:$C$500,MATCH($A97,المكونات!$A$2:$A$500,0))</f>
        <v>27</v>
      </c>
      <c r="E97" s="31" t="n">
        <f aca="false">D97-C97</f>
        <v>0</v>
      </c>
      <c r="F97" s="32" t="n">
        <f aca="false">IF(C97=0,"",D97/C97-1)</f>
        <v>0</v>
      </c>
      <c r="G97" s="28" t="s">
        <v>299</v>
      </c>
      <c r="H97" s="29" t="n">
        <v>27</v>
      </c>
      <c r="I97" s="29" t="n">
        <v>1</v>
      </c>
      <c r="J97" s="28"/>
    </row>
    <row r="98" customFormat="false" ht="15" hidden="false" customHeight="false" outlineLevel="0" collapsed="false">
      <c r="A98" s="28" t="s">
        <v>223</v>
      </c>
      <c r="B98" s="29" t="s">
        <v>57</v>
      </c>
      <c r="C98" s="30" t="n">
        <v>7</v>
      </c>
      <c r="D98" s="31" t="n">
        <f aca="false">INDEX(المكونات!$C$2:$C$500,MATCH($A98,المكونات!$A$2:$A$500,0))</f>
        <v>7</v>
      </c>
      <c r="E98" s="31" t="n">
        <f aca="false">D98-C98</f>
        <v>0</v>
      </c>
      <c r="F98" s="32" t="n">
        <f aca="false">IF(C98=0,"",D98/C98-1)</f>
        <v>0</v>
      </c>
      <c r="G98" s="28" t="s">
        <v>299</v>
      </c>
      <c r="H98" s="29" t="n">
        <v>7</v>
      </c>
      <c r="I98" s="29" t="n">
        <v>1</v>
      </c>
      <c r="J98" s="28"/>
    </row>
    <row r="99" customFormat="false" ht="15" hidden="false" customHeight="false" outlineLevel="0" collapsed="false">
      <c r="A99" s="28" t="s">
        <v>225</v>
      </c>
      <c r="B99" s="29" t="s">
        <v>57</v>
      </c>
      <c r="C99" s="30" t="n">
        <v>0.3</v>
      </c>
      <c r="D99" s="31" t="n">
        <f aca="false">INDEX(المكونات!$C$2:$C$500,MATCH($A99,المكونات!$A$2:$A$500,0))</f>
        <v>0.3</v>
      </c>
      <c r="E99" s="31" t="n">
        <f aca="false">D99-C99</f>
        <v>0</v>
      </c>
      <c r="F99" s="32" t="n">
        <f aca="false">IF(C99=0,"",D99/C99-1)</f>
        <v>0</v>
      </c>
      <c r="G99" s="28" t="s">
        <v>299</v>
      </c>
      <c r="H99" s="29" t="n">
        <v>0.3</v>
      </c>
      <c r="I99" s="29" t="n">
        <v>1</v>
      </c>
      <c r="J99" s="28"/>
    </row>
    <row r="100" customFormat="false" ht="15" hidden="false" customHeight="false" outlineLevel="0" collapsed="false">
      <c r="A100" s="28" t="s">
        <v>226</v>
      </c>
      <c r="B100" s="29" t="s">
        <v>115</v>
      </c>
      <c r="C100" s="30" t="n">
        <v>90</v>
      </c>
      <c r="D100" s="31" t="n">
        <f aca="false">INDEX(المكونات!$C$2:$C$500,MATCH($A100,المكونات!$A$2:$A$500,0))</f>
        <v>90</v>
      </c>
      <c r="E100" s="31" t="n">
        <f aca="false">D100-C100</f>
        <v>0</v>
      </c>
      <c r="F100" s="32" t="n">
        <f aca="false">IF(C100=0,"",D100/C100-1)</f>
        <v>0</v>
      </c>
      <c r="G100" s="28" t="s">
        <v>299</v>
      </c>
      <c r="H100" s="29" t="n">
        <v>90</v>
      </c>
      <c r="I100" s="29" t="n">
        <v>1</v>
      </c>
      <c r="J100" s="28"/>
    </row>
    <row r="101" customFormat="false" ht="15" hidden="false" customHeight="false" outlineLevel="0" collapsed="false">
      <c r="A101" s="28" t="s">
        <v>230</v>
      </c>
      <c r="B101" s="29" t="s">
        <v>115</v>
      </c>
      <c r="C101" s="30" t="n">
        <v>420</v>
      </c>
      <c r="D101" s="31" t="n">
        <f aca="false">INDEX(المكونات!$C$2:$C$500,MATCH($A101,المكونات!$A$2:$A$500,0))</f>
        <v>420</v>
      </c>
      <c r="E101" s="31" t="n">
        <f aca="false">D101-C101</f>
        <v>0</v>
      </c>
      <c r="F101" s="32" t="n">
        <f aca="false">IF(C101=0,"",D101/C101-1)</f>
        <v>0</v>
      </c>
      <c r="G101" s="28" t="s">
        <v>299</v>
      </c>
      <c r="H101" s="29" t="n">
        <v>420</v>
      </c>
      <c r="I101" s="29" t="n">
        <v>1</v>
      </c>
      <c r="J101" s="28"/>
    </row>
    <row r="102" customFormat="false" ht="15" hidden="false" customHeight="false" outlineLevel="0" collapsed="false">
      <c r="A102" s="28" t="s">
        <v>232</v>
      </c>
      <c r="B102" s="29" t="s">
        <v>57</v>
      </c>
      <c r="C102" s="30" t="n">
        <v>2</v>
      </c>
      <c r="D102" s="31" t="n">
        <f aca="false">INDEX(المكونات!$C$2:$C$500,MATCH($A102,المكونات!$A$2:$A$500,0))</f>
        <v>2</v>
      </c>
      <c r="E102" s="31" t="n">
        <f aca="false">D102-C102</f>
        <v>0</v>
      </c>
      <c r="F102" s="32" t="n">
        <f aca="false">IF(C102=0,"",D102/C102-1)</f>
        <v>0</v>
      </c>
      <c r="G102" s="28" t="s">
        <v>299</v>
      </c>
      <c r="H102" s="29" t="n">
        <v>2</v>
      </c>
      <c r="I102" s="29" t="n">
        <v>1</v>
      </c>
      <c r="J102" s="28"/>
    </row>
    <row r="103" customFormat="false" ht="15" hidden="false" customHeight="false" outlineLevel="0" collapsed="false">
      <c r="A103" s="28" t="s">
        <v>235</v>
      </c>
      <c r="B103" s="29" t="s">
        <v>57</v>
      </c>
      <c r="C103" s="30" t="n">
        <v>6</v>
      </c>
      <c r="D103" s="31" t="n">
        <f aca="false">INDEX(المكونات!$C$2:$C$500,MATCH($A103,المكونات!$A$2:$A$500,0))</f>
        <v>6</v>
      </c>
      <c r="E103" s="31" t="n">
        <f aca="false">D103-C103</f>
        <v>0</v>
      </c>
      <c r="F103" s="32" t="n">
        <f aca="false">IF(C103=0,"",D103/C103-1)</f>
        <v>0</v>
      </c>
      <c r="G103" s="28" t="s">
        <v>297</v>
      </c>
      <c r="H103" s="29" t="n">
        <v>6</v>
      </c>
      <c r="I103" s="29" t="n">
        <v>1</v>
      </c>
      <c r="J103" s="28"/>
    </row>
    <row r="104" customFormat="false" ht="15" hidden="false" customHeight="false" outlineLevel="0" collapsed="false">
      <c r="A104" s="28" t="s">
        <v>237</v>
      </c>
      <c r="B104" s="29" t="s">
        <v>115</v>
      </c>
      <c r="C104" s="30" t="n">
        <v>135</v>
      </c>
      <c r="D104" s="31" t="n">
        <f aca="false">INDEX(المكونات!$C$2:$C$500,MATCH($A104,المكونات!$A$2:$A$500,0))</f>
        <v>135</v>
      </c>
      <c r="E104" s="31" t="n">
        <f aca="false">D104-C104</f>
        <v>0</v>
      </c>
      <c r="F104" s="32" t="n">
        <f aca="false">IF(C104=0,"",D104/C104-1)</f>
        <v>0</v>
      </c>
      <c r="G104" s="28" t="s">
        <v>299</v>
      </c>
      <c r="H104" s="29" t="n">
        <v>135</v>
      </c>
      <c r="I104" s="29" t="n">
        <v>1</v>
      </c>
      <c r="J104" s="28"/>
    </row>
    <row r="105" customFormat="false" ht="15" hidden="false" customHeight="false" outlineLevel="0" collapsed="false">
      <c r="A105" s="28" t="s">
        <v>240</v>
      </c>
      <c r="B105" s="29" t="s">
        <v>57</v>
      </c>
      <c r="C105" s="30" t="n">
        <v>25</v>
      </c>
      <c r="D105" s="31" t="n">
        <f aca="false">INDEX(المكونات!$C$2:$C$500,MATCH($A105,المكونات!$A$2:$A$500,0))</f>
        <v>25</v>
      </c>
      <c r="E105" s="31" t="n">
        <f aca="false">D105-C105</f>
        <v>0</v>
      </c>
      <c r="F105" s="32" t="n">
        <f aca="false">IF(C105=0,"",D105/C105-1)</f>
        <v>0</v>
      </c>
      <c r="G105" s="28" t="s">
        <v>299</v>
      </c>
      <c r="H105" s="29" t="n">
        <v>25</v>
      </c>
      <c r="I105" s="29" t="n">
        <v>1</v>
      </c>
      <c r="J105" s="28"/>
    </row>
    <row r="106" customFormat="false" ht="15" hidden="false" customHeight="false" outlineLevel="0" collapsed="false">
      <c r="A106" s="28" t="s">
        <v>244</v>
      </c>
      <c r="B106" s="29" t="s">
        <v>115</v>
      </c>
      <c r="C106" s="30" t="n">
        <v>24</v>
      </c>
      <c r="D106" s="31" t="n">
        <f aca="false">INDEX(المكونات!$C$2:$C$500,MATCH($A106,المكونات!$A$2:$A$500,0))</f>
        <v>24</v>
      </c>
      <c r="E106" s="31" t="n">
        <f aca="false">D106-C106</f>
        <v>0</v>
      </c>
      <c r="F106" s="32" t="n">
        <f aca="false">IF(C106=0,"",D106/C106-1)</f>
        <v>0</v>
      </c>
      <c r="G106" s="28" t="s">
        <v>299</v>
      </c>
      <c r="H106" s="29" t="n">
        <v>24</v>
      </c>
      <c r="I106" s="29" t="n">
        <v>1</v>
      </c>
      <c r="J106" s="28"/>
    </row>
    <row r="107" customFormat="false" ht="15" hidden="false" customHeight="false" outlineLevel="0" collapsed="false">
      <c r="A107" s="28" t="s">
        <v>246</v>
      </c>
      <c r="B107" s="29" t="s">
        <v>57</v>
      </c>
      <c r="C107" s="30" t="n">
        <v>25</v>
      </c>
      <c r="D107" s="31" t="n">
        <f aca="false">INDEX(المكونات!$C$2:$C$500,MATCH($A107,المكونات!$A$2:$A$500,0))</f>
        <v>25</v>
      </c>
      <c r="E107" s="31" t="n">
        <f aca="false">D107-C107</f>
        <v>0</v>
      </c>
      <c r="F107" s="32" t="n">
        <f aca="false">IF(C107=0,"",D107/C107-1)</f>
        <v>0</v>
      </c>
      <c r="G107" s="28" t="s">
        <v>297</v>
      </c>
      <c r="H107" s="29" t="n">
        <v>25</v>
      </c>
      <c r="I107" s="29" t="n">
        <v>1</v>
      </c>
      <c r="J107" s="28"/>
    </row>
    <row r="108" customFormat="false" ht="15" hidden="false" customHeight="false" outlineLevel="0" collapsed="false">
      <c r="A108" s="28" t="s">
        <v>250</v>
      </c>
      <c r="B108" s="29" t="s">
        <v>57</v>
      </c>
      <c r="C108" s="30" t="n">
        <v>9</v>
      </c>
      <c r="D108" s="31" t="n">
        <f aca="false">INDEX(المكونات!$C$2:$C$500,MATCH($A108,المكونات!$A$2:$A$500,0))</f>
        <v>9</v>
      </c>
      <c r="E108" s="31" t="n">
        <f aca="false">D108-C108</f>
        <v>0</v>
      </c>
      <c r="F108" s="32" t="n">
        <f aca="false">IF(C108=0,"",D108/C108-1)</f>
        <v>0</v>
      </c>
      <c r="G108" s="28" t="s">
        <v>297</v>
      </c>
      <c r="H108" s="29" t="n">
        <v>9</v>
      </c>
      <c r="I108" s="29" t="n">
        <v>1</v>
      </c>
      <c r="J108" s="28"/>
    </row>
    <row r="109" customFormat="false" ht="15" hidden="false" customHeight="false" outlineLevel="0" collapsed="false">
      <c r="A109" s="28" t="s">
        <v>275</v>
      </c>
      <c r="B109" s="29" t="s">
        <v>57</v>
      </c>
      <c r="C109" s="30" t="n">
        <v>6</v>
      </c>
      <c r="D109" s="31" t="n">
        <f aca="false">INDEX(المكونات!$C$2:$C$500,MATCH($A109,المكونات!$A$2:$A$500,0))</f>
        <v>6</v>
      </c>
      <c r="E109" s="31" t="n">
        <f aca="false">D109-C109</f>
        <v>0</v>
      </c>
      <c r="F109" s="32" t="n">
        <f aca="false">IF(C109=0,"",D109/C109-1)</f>
        <v>0</v>
      </c>
      <c r="G109" s="28" t="s">
        <v>297</v>
      </c>
      <c r="H109" s="29" t="n">
        <v>6</v>
      </c>
      <c r="I109" s="29" t="n">
        <v>1</v>
      </c>
      <c r="J109" s="28"/>
    </row>
    <row r="110" customFormat="false" ht="15" hidden="false" customHeight="false" outlineLevel="0" collapsed="false">
      <c r="A110" s="28" t="s">
        <v>277</v>
      </c>
      <c r="B110" s="29" t="s">
        <v>57</v>
      </c>
      <c r="C110" s="30" t="n">
        <v>0.3</v>
      </c>
      <c r="D110" s="31" t="n">
        <f aca="false">INDEX(المكونات!$C$2:$C$500,MATCH($A110,المكونات!$A$2:$A$500,0))</f>
        <v>0.3</v>
      </c>
      <c r="E110" s="31" t="n">
        <f aca="false">D110-C110</f>
        <v>0</v>
      </c>
      <c r="F110" s="32" t="n">
        <f aca="false">IF(C110=0,"",D110/C110-1)</f>
        <v>0</v>
      </c>
      <c r="G110" s="28" t="s">
        <v>299</v>
      </c>
      <c r="H110" s="29" t="n">
        <v>0.3</v>
      </c>
      <c r="I110" s="29" t="n">
        <v>1</v>
      </c>
      <c r="J110" s="28"/>
    </row>
    <row r="111" customFormat="false" ht="15" hidden="false" customHeight="false" outlineLevel="0" collapsed="false">
      <c r="A111" s="28" t="s">
        <v>122</v>
      </c>
      <c r="B111" s="29" t="s">
        <v>115</v>
      </c>
      <c r="C111" s="30" t="n">
        <v>25</v>
      </c>
      <c r="D111" s="31" t="n">
        <f aca="false">INDEX(المكونات!$C$2:$C$500,MATCH($A111,المكونات!$A$2:$A$500,0))</f>
        <v>25</v>
      </c>
      <c r="E111" s="31" t="n">
        <f aca="false">D111-C111</f>
        <v>0</v>
      </c>
      <c r="F111" s="32" t="n">
        <f aca="false">IF(C111=0,"",D111/C111-1)</f>
        <v>0</v>
      </c>
      <c r="G111" s="28" t="s">
        <v>300</v>
      </c>
      <c r="H111" s="29"/>
      <c r="I111" s="29" t="n">
        <v>1</v>
      </c>
      <c r="J111" s="34" t="s">
        <v>301</v>
      </c>
    </row>
    <row r="112" customFormat="false" ht="15" hidden="false" customHeight="false" outlineLevel="0" collapsed="false">
      <c r="A112" s="28" t="s">
        <v>141</v>
      </c>
      <c r="B112" s="29" t="s">
        <v>115</v>
      </c>
      <c r="C112" s="30" t="n">
        <v>105</v>
      </c>
      <c r="D112" s="31" t="n">
        <f aca="false">INDEX(المكونات!$C$2:$C$500,MATCH($A112,المكونات!$A$2:$A$500,0))</f>
        <v>105</v>
      </c>
      <c r="E112" s="31" t="n">
        <f aca="false">D112-C112</f>
        <v>0</v>
      </c>
      <c r="F112" s="32" t="n">
        <f aca="false">IF(C112=0,"",D112/C112-1)</f>
        <v>0</v>
      </c>
      <c r="G112" s="28" t="s">
        <v>300</v>
      </c>
      <c r="H112" s="29"/>
      <c r="I112" s="29" t="n">
        <v>1</v>
      </c>
      <c r="J112" s="34" t="s">
        <v>301</v>
      </c>
    </row>
    <row r="113" customFormat="false" ht="15" hidden="false" customHeight="false" outlineLevel="0" collapsed="false">
      <c r="A113" s="28" t="s">
        <v>283</v>
      </c>
      <c r="B113" s="29" t="s">
        <v>57</v>
      </c>
      <c r="C113" s="30" t="n">
        <v>5.5777</v>
      </c>
      <c r="D113" s="31" t="n">
        <f aca="false">INDEX(المكونات!$C$2:$C$500,MATCH($A113,المكونات!$A$2:$A$500,0))</f>
        <v>5.5777</v>
      </c>
      <c r="E113" s="31" t="n">
        <f aca="false">D113-C113</f>
        <v>0</v>
      </c>
      <c r="F113" s="32" t="n">
        <f aca="false">IF(C113=0,"",D113/C113-1)</f>
        <v>0</v>
      </c>
      <c r="G113" s="28" t="s">
        <v>300</v>
      </c>
      <c r="H113" s="29"/>
      <c r="I113" s="29" t="n">
        <v>1</v>
      </c>
      <c r="J113" s="34" t="s">
        <v>301</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0"/>
    <col collapsed="false" customWidth="true" hidden="false" outlineLevel="0" max="4" min="3" style="0" width="16"/>
    <col collapsed="false" customWidth="true" hidden="false" outlineLevel="0" max="5" min="5" style="0" width="14"/>
    <col collapsed="false" customWidth="true" hidden="false" outlineLevel="0" max="6" min="6" style="0" width="12"/>
    <col collapsed="false" customWidth="true" hidden="false" outlineLevel="0" max="7" min="7" style="0" width="14"/>
    <col collapsed="false" customWidth="true" hidden="false" outlineLevel="0" max="9" min="8" style="0" width="16"/>
    <col collapsed="false" customWidth="true" hidden="false" outlineLevel="0" max="10" min="10" style="0" width="14"/>
  </cols>
  <sheetData>
    <row r="1" customFormat="false" ht="17.15" hidden="false" customHeight="false" outlineLevel="0" collapsed="false">
      <c r="A1" s="25" t="s">
        <v>302</v>
      </c>
    </row>
    <row r="2" customFormat="false" ht="15" hidden="false" customHeight="false" outlineLevel="0" collapsed="false">
      <c r="A2" s="35" t="s">
        <v>303</v>
      </c>
    </row>
    <row r="4" customFormat="false" ht="33.75" hidden="false" customHeight="true" outlineLevel="0" collapsed="false">
      <c r="A4" s="27" t="s">
        <v>7</v>
      </c>
      <c r="B4" s="27" t="s">
        <v>23</v>
      </c>
      <c r="C4" s="27" t="s">
        <v>304</v>
      </c>
      <c r="D4" s="27" t="s">
        <v>305</v>
      </c>
      <c r="E4" s="27" t="s">
        <v>291</v>
      </c>
      <c r="F4" s="27" t="s">
        <v>292</v>
      </c>
      <c r="G4" s="27" t="s">
        <v>306</v>
      </c>
      <c r="H4" s="27" t="s">
        <v>307</v>
      </c>
      <c r="I4" s="27" t="s">
        <v>308</v>
      </c>
      <c r="J4" s="27" t="s">
        <v>309</v>
      </c>
    </row>
    <row r="5" customFormat="false" ht="15" hidden="false" customHeight="false" outlineLevel="0" collapsed="false">
      <c r="A5" s="36" t="s">
        <v>310</v>
      </c>
      <c r="B5" s="36" t="s">
        <v>311</v>
      </c>
      <c r="C5" s="30" t="n">
        <v>13.9998</v>
      </c>
      <c r="D5" s="37" t="n">
        <f aca="false">INDEX('تحليل التكلفة والسعر'!$C$2:$C$700,MATCH($B5,'تحليل التكلفة والسعر'!$B$2:$B$700,0))</f>
        <v>9.072162</v>
      </c>
      <c r="E5" s="37" t="n">
        <f aca="false">D5-C5</f>
        <v>-4.927638</v>
      </c>
      <c r="F5" s="38" t="n">
        <f aca="false">IF(C5=0,"",D5/C5-1)</f>
        <v>-0.351979171131016</v>
      </c>
      <c r="G5" s="37" t="n">
        <f aca="false">INDEX('تحليل التكلفة والسعر'!$D$2:$D$700,MATCH($B5,'تحليل التكلفة والسعر'!$B$2:$B$700,0))</f>
        <v>30</v>
      </c>
      <c r="H5" s="38" t="n">
        <f aca="false">IF(OR(G5="",G5=0),"",C5/G5)</f>
        <v>0.46666</v>
      </c>
      <c r="I5" s="38" t="n">
        <f aca="false">IF(OR(G5="",G5=0),"",D5/G5)</f>
        <v>0.3024054</v>
      </c>
      <c r="J5" s="38" t="n">
        <f aca="false">IF(OR(H5="",I5=""),"",I5-H5)</f>
        <v>-0.1642546</v>
      </c>
    </row>
    <row r="6" customFormat="false" ht="15" hidden="false" customHeight="false" outlineLevel="0" collapsed="false">
      <c r="A6" s="36" t="s">
        <v>310</v>
      </c>
      <c r="B6" s="36" t="s">
        <v>312</v>
      </c>
      <c r="C6" s="30" t="n">
        <v>20.9997</v>
      </c>
      <c r="D6" s="37" t="n">
        <f aca="false">INDEX('تحليل التكلفة والسعر'!$C$2:$C$700,MATCH($B6,'تحليل التكلفة والسعر'!$B$2:$B$700,0))</f>
        <v>13.608243</v>
      </c>
      <c r="E6" s="37" t="n">
        <f aca="false">D6-C6</f>
        <v>-7.391457</v>
      </c>
      <c r="F6" s="38" t="n">
        <f aca="false">IF(C6=0,"",D6/C6-1)</f>
        <v>-0.351979171131016</v>
      </c>
      <c r="G6" s="37" t="n">
        <f aca="false">INDEX('تحليل التكلفة والسعر'!$D$2:$D$700,MATCH($B6,'تحليل التكلفة والسعر'!$B$2:$B$700,0))</f>
        <v>45</v>
      </c>
      <c r="H6" s="38" t="n">
        <f aca="false">IF(OR(G6="",G6=0),"",C6/G6)</f>
        <v>0.46666</v>
      </c>
      <c r="I6" s="38" t="n">
        <f aca="false">IF(OR(G6="",G6=0),"",D6/G6)</f>
        <v>0.3024054</v>
      </c>
      <c r="J6" s="38" t="n">
        <f aca="false">IF(OR(H6="",I6=""),"",I6-H6)</f>
        <v>-0.1642546</v>
      </c>
    </row>
    <row r="7" customFormat="false" ht="15" hidden="false" customHeight="false" outlineLevel="0" collapsed="false">
      <c r="A7" s="36" t="s">
        <v>310</v>
      </c>
      <c r="B7" s="36" t="s">
        <v>313</v>
      </c>
      <c r="C7" s="30" t="n">
        <v>13.9998</v>
      </c>
      <c r="D7" s="37" t="n">
        <f aca="false">INDEX('تحليل التكلفة والسعر'!$C$2:$C$700,MATCH($B7,'تحليل التكلفة والسعر'!$B$2:$B$700,0))</f>
        <v>9.072162</v>
      </c>
      <c r="E7" s="37" t="n">
        <f aca="false">D7-C7</f>
        <v>-4.927638</v>
      </c>
      <c r="F7" s="38" t="n">
        <f aca="false">IF(C7=0,"",D7/C7-1)</f>
        <v>-0.351979171131016</v>
      </c>
      <c r="G7" s="37" t="n">
        <f aca="false">INDEX('تحليل التكلفة والسعر'!$D$2:$D$700,MATCH($B7,'تحليل التكلفة والسعر'!$B$2:$B$700,0))</f>
        <v>30</v>
      </c>
      <c r="H7" s="38" t="n">
        <f aca="false">IF(OR(G7="",G7=0),"",C7/G7)</f>
        <v>0.46666</v>
      </c>
      <c r="I7" s="38" t="n">
        <f aca="false">IF(OR(G7="",G7=0),"",D7/G7)</f>
        <v>0.3024054</v>
      </c>
      <c r="J7" s="38" t="n">
        <f aca="false">IF(OR(H7="",I7=""),"",I7-H7)</f>
        <v>-0.1642546</v>
      </c>
    </row>
    <row r="8" customFormat="false" ht="15" hidden="false" customHeight="false" outlineLevel="0" collapsed="false">
      <c r="A8" s="36" t="s">
        <v>310</v>
      </c>
      <c r="B8" s="36" t="s">
        <v>314</v>
      </c>
      <c r="C8" s="30" t="n">
        <v>20.9997</v>
      </c>
      <c r="D8" s="37" t="n">
        <f aca="false">INDEX('تحليل التكلفة والسعر'!$C$2:$C$700,MATCH($B8,'تحليل التكلفة والسعر'!$B$2:$B$700,0))</f>
        <v>13.608243</v>
      </c>
      <c r="E8" s="37" t="n">
        <f aca="false">D8-C8</f>
        <v>-7.391457</v>
      </c>
      <c r="F8" s="38" t="n">
        <f aca="false">IF(C8=0,"",D8/C8-1)</f>
        <v>-0.351979171131016</v>
      </c>
      <c r="G8" s="37" t="n">
        <f aca="false">INDEX('تحليل التكلفة والسعر'!$D$2:$D$700,MATCH($B8,'تحليل التكلفة والسعر'!$B$2:$B$700,0))</f>
        <v>45</v>
      </c>
      <c r="H8" s="38" t="n">
        <f aca="false">IF(OR(G8="",G8=0),"",C8/G8)</f>
        <v>0.46666</v>
      </c>
      <c r="I8" s="38" t="n">
        <f aca="false">IF(OR(G8="",G8=0),"",D8/G8)</f>
        <v>0.3024054</v>
      </c>
      <c r="J8" s="38" t="n">
        <f aca="false">IF(OR(H8="",I8=""),"",I8-H8)</f>
        <v>-0.1642546</v>
      </c>
    </row>
    <row r="9" customFormat="false" ht="15" hidden="false" customHeight="false" outlineLevel="0" collapsed="false">
      <c r="A9" s="36" t="s">
        <v>310</v>
      </c>
      <c r="B9" s="36" t="s">
        <v>315</v>
      </c>
      <c r="C9" s="30" t="n">
        <v>44</v>
      </c>
      <c r="D9" s="37" t="n">
        <f aca="false">INDEX('تحليل التكلفة والسعر'!$C$2:$C$700,MATCH($B9,'تحليل التكلفة والسعر'!$B$2:$B$700,0))</f>
        <v>29</v>
      </c>
      <c r="E9" s="37" t="n">
        <f aca="false">D9-C9</f>
        <v>-15</v>
      </c>
      <c r="F9" s="38" t="n">
        <f aca="false">IF(C9=0,"",D9/C9-1)</f>
        <v>-0.340909090909091</v>
      </c>
      <c r="G9" s="37" t="n">
        <f aca="false">INDEX('تحليل التكلفة والسعر'!$D$2:$D$700,MATCH($B9,'تحليل التكلفة والسعر'!$B$2:$B$700,0))</f>
        <v>120</v>
      </c>
      <c r="H9" s="38" t="n">
        <f aca="false">IF(OR(G9="",G9=0),"",C9/G9)</f>
        <v>0.366666666666667</v>
      </c>
      <c r="I9" s="38" t="n">
        <f aca="false">IF(OR(G9="",G9=0),"",D9/G9)</f>
        <v>0.241666666666667</v>
      </c>
      <c r="J9" s="38" t="n">
        <f aca="false">IF(OR(H9="",I9=""),"",I9-H9)</f>
        <v>-0.125</v>
      </c>
    </row>
    <row r="10" customFormat="false" ht="15" hidden="false" customHeight="false" outlineLevel="0" collapsed="false">
      <c r="A10" s="36" t="s">
        <v>310</v>
      </c>
      <c r="B10" s="36" t="s">
        <v>316</v>
      </c>
      <c r="C10" s="30" t="n">
        <v>11</v>
      </c>
      <c r="D10" s="37" t="n">
        <f aca="false">INDEX('تحليل التكلفة والسعر'!$C$2:$C$700,MATCH($B10,'تحليل التكلفة والسعر'!$B$2:$B$700,0))</f>
        <v>13</v>
      </c>
      <c r="E10" s="37" t="n">
        <f aca="false">D10-C10</f>
        <v>2</v>
      </c>
      <c r="F10" s="38" t="n">
        <f aca="false">IF(C10=0,"",D10/C10-1)</f>
        <v>0.181818181818182</v>
      </c>
      <c r="G10" s="37" t="n">
        <f aca="false">INDEX('تحليل التكلفة والسعر'!$D$2:$D$700,MATCH($B10,'تحليل التكلفة والسعر'!$B$2:$B$700,0))</f>
        <v>40</v>
      </c>
      <c r="H10" s="38" t="n">
        <f aca="false">IF(OR(G10="",G10=0),"",C10/G10)</f>
        <v>0.275</v>
      </c>
      <c r="I10" s="38" t="n">
        <f aca="false">IF(OR(G10="",G10=0),"",D10/G10)</f>
        <v>0.325</v>
      </c>
      <c r="J10" s="38" t="n">
        <f aca="false">IF(OR(H10="",I10=""),"",I10-H10)</f>
        <v>0.05</v>
      </c>
    </row>
    <row r="11" customFormat="false" ht="15" hidden="false" customHeight="false" outlineLevel="0" collapsed="false">
      <c r="A11" s="36" t="s">
        <v>17</v>
      </c>
      <c r="B11" s="36" t="s">
        <v>317</v>
      </c>
      <c r="C11" s="30" t="n">
        <v>81.16345</v>
      </c>
      <c r="D11" s="37" t="n">
        <f aca="false">INDEX('تحليل التكلفة والسعر'!$C$2:$C$700,MATCH($B11,'تحليل التكلفة والسعر'!$B$2:$B$700,0))</f>
        <v>68.311405</v>
      </c>
      <c r="E11" s="37" t="n">
        <f aca="false">D11-C11</f>
        <v>-12.852045</v>
      </c>
      <c r="F11" s="38" t="n">
        <f aca="false">IF(C11=0,"",D11/C11-1)</f>
        <v>-0.158347692218603</v>
      </c>
      <c r="G11" s="37" t="n">
        <f aca="false">INDEX('تحليل التكلفة والسعر'!$D$2:$D$700,MATCH($B11,'تحليل التكلفة والسعر'!$B$2:$B$700,0))</f>
        <v>160</v>
      </c>
      <c r="H11" s="38" t="n">
        <f aca="false">IF(OR(G11="",G11=0),"",C11/G11)</f>
        <v>0.5072715625</v>
      </c>
      <c r="I11" s="38" t="n">
        <f aca="false">IF(OR(G11="",G11=0),"",D11/G11)</f>
        <v>0.42694628125</v>
      </c>
      <c r="J11" s="38" t="n">
        <f aca="false">IF(OR(H11="",I11=""),"",I11-H11)</f>
        <v>-0.08032528125</v>
      </c>
    </row>
    <row r="12" customFormat="false" ht="15" hidden="false" customHeight="false" outlineLevel="0" collapsed="false">
      <c r="A12" s="36" t="s">
        <v>9</v>
      </c>
      <c r="B12" s="36" t="s">
        <v>318</v>
      </c>
      <c r="C12" s="30" t="n">
        <v>117.16985</v>
      </c>
      <c r="D12" s="37" t="n">
        <f aca="false">INDEX('تحليل التكلفة والسعر'!$C$2:$C$700,MATCH($B12,'تحليل التكلفة والسعر'!$B$2:$B$700,0))</f>
        <v>99.8981</v>
      </c>
      <c r="E12" s="37" t="n">
        <f aca="false">D12-C12</f>
        <v>-17.27175</v>
      </c>
      <c r="F12" s="38" t="n">
        <f aca="false">IF(C12=0,"",D12/C12-1)</f>
        <v>-0.147407801580355</v>
      </c>
      <c r="G12" s="37" t="n">
        <f aca="false">INDEX('تحليل التكلفة والسعر'!$D$2:$D$700,MATCH($B12,'تحليل التكلفة والسعر'!$B$2:$B$700,0))</f>
        <v>220</v>
      </c>
      <c r="H12" s="38" t="n">
        <f aca="false">IF(OR(G12="",G12=0),"",C12/G12)</f>
        <v>0.532590227272727</v>
      </c>
      <c r="I12" s="38" t="n">
        <f aca="false">IF(OR(G12="",G12=0),"",D12/G12)</f>
        <v>0.454082272727273</v>
      </c>
      <c r="J12" s="38" t="n">
        <f aca="false">IF(OR(H12="",I12=""),"",I12-H12)</f>
        <v>-0.0785079545454546</v>
      </c>
    </row>
    <row r="13" customFormat="false" ht="15" hidden="false" customHeight="false" outlineLevel="0" collapsed="false">
      <c r="A13" s="36" t="s">
        <v>17</v>
      </c>
      <c r="B13" s="36" t="s">
        <v>319</v>
      </c>
      <c r="C13" s="30" t="n">
        <v>56.7633</v>
      </c>
      <c r="D13" s="37" t="n">
        <f aca="false">INDEX('تحليل التكلفة والسعر'!$C$2:$C$700,MATCH($B13,'تحليل التكلفة والسعر'!$B$2:$B$700,0))</f>
        <v>48.41627</v>
      </c>
      <c r="E13" s="37" t="n">
        <f aca="false">D13-C13</f>
        <v>-8.34703</v>
      </c>
      <c r="F13" s="38" t="n">
        <f aca="false">IF(C13=0,"",D13/C13-1)</f>
        <v>-0.147049766310274</v>
      </c>
      <c r="G13" s="37" t="n">
        <f aca="false">INDEX('تحليل التكلفة والسعر'!$D$2:$D$700,MATCH($B13,'تحليل التكلفة والسعر'!$B$2:$B$700,0))</f>
        <v>105</v>
      </c>
      <c r="H13" s="38" t="n">
        <f aca="false">IF(OR(G13="",G13=0),"",C13/G13)</f>
        <v>0.540602857142857</v>
      </c>
      <c r="I13" s="38" t="n">
        <f aca="false">IF(OR(G13="",G13=0),"",D13/G13)</f>
        <v>0.461107333333333</v>
      </c>
      <c r="J13" s="38" t="n">
        <f aca="false">IF(OR(H13="",I13=""),"",I13-H13)</f>
        <v>-0.0794955238095239</v>
      </c>
    </row>
    <row r="14" customFormat="false" ht="15" hidden="false" customHeight="false" outlineLevel="0" collapsed="false">
      <c r="A14" s="36" t="s">
        <v>16</v>
      </c>
      <c r="B14" s="36" t="s">
        <v>320</v>
      </c>
      <c r="C14" s="30" t="n">
        <v>82.84165</v>
      </c>
      <c r="D14" s="37" t="n">
        <f aca="false">INDEX('تحليل التكلفة والسعر'!$C$2:$C$700,MATCH($B14,'تحليل التكلفة والسعر'!$B$2:$B$700,0))</f>
        <v>70.831405</v>
      </c>
      <c r="E14" s="37" t="n">
        <f aca="false">D14-C14</f>
        <v>-12.010245</v>
      </c>
      <c r="F14" s="38" t="n">
        <f aca="false">IF(C14=0,"",D14/C14-1)</f>
        <v>-0.1449783412088</v>
      </c>
      <c r="G14" s="37" t="n">
        <f aca="false">INDEX('تحليل التكلفة والسعر'!$D$2:$D$700,MATCH($B14,'تحليل التكلفة والسعر'!$B$2:$B$700,0))</f>
        <v>160</v>
      </c>
      <c r="H14" s="38" t="n">
        <f aca="false">IF(OR(G14="",G14=0),"",C14/G14)</f>
        <v>0.5177603125</v>
      </c>
      <c r="I14" s="38" t="n">
        <f aca="false">IF(OR(G14="",G14=0),"",D14/G14)</f>
        <v>0.44269628125</v>
      </c>
      <c r="J14" s="38" t="n">
        <f aca="false">IF(OR(H14="",I14=""),"",I14-H14)</f>
        <v>-0.0750640312500001</v>
      </c>
    </row>
    <row r="15" customFormat="false" ht="15" hidden="false" customHeight="false" outlineLevel="0" collapsed="false">
      <c r="A15" s="36" t="s">
        <v>321</v>
      </c>
      <c r="B15" s="36" t="s">
        <v>138</v>
      </c>
      <c r="C15" s="30" t="n">
        <v>35</v>
      </c>
      <c r="D15" s="37" t="n">
        <f aca="false">INDEX('تحليل التكلفة والسعر'!$C$2:$C$700,MATCH($B15,'تحليل التكلفة والسعر'!$B$2:$B$700,0))</f>
        <v>30</v>
      </c>
      <c r="E15" s="37" t="n">
        <f aca="false">D15-C15</f>
        <v>-5</v>
      </c>
      <c r="F15" s="38" t="n">
        <f aca="false">IF(C15=0,"",D15/C15-1)</f>
        <v>-0.142857142857143</v>
      </c>
      <c r="G15" s="37" t="n">
        <f aca="false">INDEX('تحليل التكلفة والسعر'!$D$2:$D$700,MATCH($B15,'تحليل التكلفة والسعر'!$B$2:$B$700,0))</f>
        <v>35</v>
      </c>
      <c r="H15" s="38" t="n">
        <f aca="false">IF(OR(G15="",G15=0),"",C15/G15)</f>
        <v>1</v>
      </c>
      <c r="I15" s="38" t="n">
        <f aca="false">IF(OR(G15="",G15=0),"",D15/G15)</f>
        <v>0.857142857142857</v>
      </c>
      <c r="J15" s="38" t="n">
        <f aca="false">IF(OR(H15="",I15=""),"",I15-H15)</f>
        <v>-0.142857142857143</v>
      </c>
    </row>
    <row r="16" customFormat="false" ht="15" hidden="false" customHeight="false" outlineLevel="0" collapsed="false">
      <c r="A16" s="36" t="s">
        <v>10</v>
      </c>
      <c r="B16" s="36" t="s">
        <v>322</v>
      </c>
      <c r="C16" s="30" t="n">
        <v>111.49165</v>
      </c>
      <c r="D16" s="37" t="n">
        <f aca="false">INDEX('تحليل التكلفة والسعر'!$C$2:$C$700,MATCH($B16,'تحليل التكلفة والسعر'!$B$2:$B$700,0))</f>
        <v>95.9587</v>
      </c>
      <c r="E16" s="37" t="n">
        <f aca="false">D16-C16</f>
        <v>-15.53295</v>
      </c>
      <c r="F16" s="38" t="n">
        <f aca="false">IF(C16=0,"",D16/C16-1)</f>
        <v>-0.139319401946244</v>
      </c>
      <c r="G16" s="37" t="n">
        <f aca="false">INDEX('تحليل التكلفة والسعر'!$D$2:$D$700,MATCH($B16,'تحليل التكلفة والسعر'!$B$2:$B$700,0))</f>
        <v>220</v>
      </c>
      <c r="H16" s="38" t="n">
        <f aca="false">IF(OR(G16="",G16=0),"",C16/G16)</f>
        <v>0.506780227272727</v>
      </c>
      <c r="I16" s="38" t="n">
        <f aca="false">IF(OR(G16="",G16=0),"",D16/G16)</f>
        <v>0.436175909090909</v>
      </c>
      <c r="J16" s="38" t="n">
        <f aca="false">IF(OR(H16="",I16=""),"",I16-H16)</f>
        <v>-0.0706043181818182</v>
      </c>
    </row>
    <row r="17" customFormat="false" ht="15" hidden="false" customHeight="false" outlineLevel="0" collapsed="false">
      <c r="A17" s="36" t="s">
        <v>310</v>
      </c>
      <c r="B17" s="36" t="s">
        <v>323</v>
      </c>
      <c r="C17" s="30" t="n">
        <v>22</v>
      </c>
      <c r="D17" s="37" t="n">
        <f aca="false">INDEX('تحليل التكلفة والسعر'!$C$2:$C$700,MATCH($B17,'تحليل التكلفة والسعر'!$B$2:$B$700,0))</f>
        <v>25</v>
      </c>
      <c r="E17" s="37" t="n">
        <f aca="false">D17-C17</f>
        <v>3</v>
      </c>
      <c r="F17" s="38" t="n">
        <f aca="false">IF(C17=0,"",D17/C17-1)</f>
        <v>0.136363636363636</v>
      </c>
      <c r="G17" s="37" t="n">
        <f aca="false">INDEX('تحليل التكلفة والسعر'!$D$2:$D$700,MATCH($B17,'تحليل التكلفة والسعر'!$B$2:$B$700,0))</f>
        <v>50</v>
      </c>
      <c r="H17" s="38" t="n">
        <f aca="false">IF(OR(G17="",G17=0),"",C17/G17)</f>
        <v>0.44</v>
      </c>
      <c r="I17" s="38" t="n">
        <f aca="false">IF(OR(G17="",G17=0),"",D17/G17)</f>
        <v>0.5</v>
      </c>
      <c r="J17" s="38" t="n">
        <f aca="false">IF(OR(H17="",I17=""),"",I17-H17)</f>
        <v>0.06</v>
      </c>
    </row>
    <row r="18" customFormat="false" ht="15" hidden="false" customHeight="false" outlineLevel="0" collapsed="false">
      <c r="A18" s="36" t="s">
        <v>9</v>
      </c>
      <c r="B18" s="36" t="s">
        <v>324</v>
      </c>
      <c r="C18" s="30" t="n">
        <v>121.66985</v>
      </c>
      <c r="D18" s="37" t="n">
        <f aca="false">INDEX('تحليل التكلفة والسعر'!$C$2:$C$700,MATCH($B18,'تحليل التكلفة والسعر'!$B$2:$B$700,0))</f>
        <v>105.1481</v>
      </c>
      <c r="E18" s="37" t="n">
        <f aca="false">D18-C18</f>
        <v>-16.52175</v>
      </c>
      <c r="F18" s="38" t="n">
        <f aca="false">IF(C18=0,"",D18/C18-1)</f>
        <v>-0.13579165257457</v>
      </c>
      <c r="G18" s="37" t="n">
        <f aca="false">INDEX('تحليل التكلفة والسعر'!$D$2:$D$700,MATCH($B18,'تحليل التكلفة والسعر'!$B$2:$B$700,0))</f>
        <v>220</v>
      </c>
      <c r="H18" s="38" t="n">
        <f aca="false">IF(OR(G18="",G18=0),"",C18/G18)</f>
        <v>0.553044772727273</v>
      </c>
      <c r="I18" s="38" t="n">
        <f aca="false">IF(OR(G18="",G18=0),"",D18/G18)</f>
        <v>0.477945909090909</v>
      </c>
      <c r="J18" s="38" t="n">
        <f aca="false">IF(OR(H18="",I18=""),"",I18-H18)</f>
        <v>-0.0750988636363636</v>
      </c>
    </row>
    <row r="19" customFormat="false" ht="15" hidden="false" customHeight="false" outlineLevel="0" collapsed="false">
      <c r="A19" s="36" t="s">
        <v>16</v>
      </c>
      <c r="B19" s="36" t="s">
        <v>325</v>
      </c>
      <c r="C19" s="30" t="n">
        <v>58.2621</v>
      </c>
      <c r="D19" s="37" t="n">
        <f aca="false">INDEX('تحليل التكلفة والسعر'!$C$2:$C$700,MATCH($B19,'تحليل التكلفة والسعر'!$B$2:$B$700,0))</f>
        <v>50.53627</v>
      </c>
      <c r="E19" s="37" t="n">
        <f aca="false">D19-C19</f>
        <v>-7.72583</v>
      </c>
      <c r="F19" s="38" t="n">
        <f aca="false">IF(C19=0,"",D19/C19-1)</f>
        <v>-0.13260472931803</v>
      </c>
      <c r="G19" s="37" t="n">
        <f aca="false">INDEX('تحليل التكلفة والسعر'!$D$2:$D$700,MATCH($B19,'تحليل التكلفة والسعر'!$B$2:$B$700,0))</f>
        <v>105</v>
      </c>
      <c r="H19" s="38" t="n">
        <f aca="false">IF(OR(G19="",G19=0),"",C19/G19)</f>
        <v>0.554877142857143</v>
      </c>
      <c r="I19" s="38" t="n">
        <f aca="false">IF(OR(G19="",G19=0),"",D19/G19)</f>
        <v>0.48129780952381</v>
      </c>
      <c r="J19" s="38" t="n">
        <f aca="false">IF(OR(H19="",I19=""),"",I19-H19)</f>
        <v>-0.0735793333333333</v>
      </c>
    </row>
    <row r="20" customFormat="false" ht="15" hidden="false" customHeight="false" outlineLevel="0" collapsed="false">
      <c r="A20" s="36" t="s">
        <v>12</v>
      </c>
      <c r="B20" s="36" t="s">
        <v>326</v>
      </c>
      <c r="C20" s="30" t="n">
        <v>207.540825</v>
      </c>
      <c r="D20" s="37" t="n">
        <f aca="false">INDEX('تحليل التكلفة والسعر'!$C$2:$C$700,MATCH($B20,'تحليل التكلفة والسعر'!$B$2:$B$700,0))</f>
        <v>180.204</v>
      </c>
      <c r="E20" s="37" t="n">
        <f aca="false">D20-C20</f>
        <v>-27.336825</v>
      </c>
      <c r="F20" s="38" t="n">
        <f aca="false">IF(C20=0,"",D20/C20-1)</f>
        <v>-0.131717819855443</v>
      </c>
      <c r="G20" s="37" t="n">
        <f aca="false">INDEX('تحليل التكلفة والسعر'!$D$2:$D$700,MATCH($B20,'تحليل التكلفة والسعر'!$B$2:$B$700,0))</f>
        <v>320</v>
      </c>
      <c r="H20" s="38" t="n">
        <f aca="false">IF(OR(G20="",G20=0),"",C20/G20)</f>
        <v>0.648565078125</v>
      </c>
      <c r="I20" s="38" t="n">
        <f aca="false">IF(OR(G20="",G20=0),"",D20/G20)</f>
        <v>0.5631375</v>
      </c>
      <c r="J20" s="38" t="n">
        <f aca="false">IF(OR(H20="",I20=""),"",I20-H20)</f>
        <v>-0.085427578125</v>
      </c>
    </row>
    <row r="21" customFormat="false" ht="15" hidden="false" customHeight="false" outlineLevel="0" collapsed="false">
      <c r="A21" s="36" t="s">
        <v>10</v>
      </c>
      <c r="B21" s="36" t="s">
        <v>327</v>
      </c>
      <c r="C21" s="30" t="n">
        <v>115.99165</v>
      </c>
      <c r="D21" s="37" t="n">
        <f aca="false">INDEX('تحليل التكلفة والسعر'!$C$2:$C$700,MATCH($B21,'تحليل التكلفة والسعر'!$B$2:$B$700,0))</f>
        <v>101.2087</v>
      </c>
      <c r="E21" s="37" t="n">
        <f aca="false">D21-C21</f>
        <v>-14.78295</v>
      </c>
      <c r="F21" s="38" t="n">
        <f aca="false">IF(C21=0,"",D21/C21-1)</f>
        <v>-0.127448398225217</v>
      </c>
      <c r="G21" s="37" t="n">
        <f aca="false">INDEX('تحليل التكلفة والسعر'!$D$2:$D$700,MATCH($B21,'تحليل التكلفة والسعر'!$B$2:$B$700,0))</f>
        <v>220</v>
      </c>
      <c r="H21" s="38" t="n">
        <f aca="false">IF(OR(G21="",G21=0),"",C21/G21)</f>
        <v>0.527234772727273</v>
      </c>
      <c r="I21" s="38" t="n">
        <f aca="false">IF(OR(G21="",G21=0),"",D21/G21)</f>
        <v>0.460039545454545</v>
      </c>
      <c r="J21" s="38" t="n">
        <f aca="false">IF(OR(H21="",I21=""),"",I21-H21)</f>
        <v>-0.0671952272727273</v>
      </c>
    </row>
    <row r="22" customFormat="false" ht="15" hidden="false" customHeight="false" outlineLevel="0" collapsed="false">
      <c r="A22" s="36" t="s">
        <v>20</v>
      </c>
      <c r="B22" s="36" t="s">
        <v>328</v>
      </c>
      <c r="C22" s="30" t="n">
        <v>50.6198</v>
      </c>
      <c r="D22" s="37" t="n">
        <f aca="false">INDEX('تحليل التكلفة والسعر'!$C$2:$C$700,MATCH($B22,'تحليل التكلفة والسعر'!$B$2:$B$700,0))</f>
        <v>45.602162</v>
      </c>
      <c r="E22" s="37" t="n">
        <f aca="false">D22-C22</f>
        <v>-5.017638</v>
      </c>
      <c r="F22" s="38" t="n">
        <f aca="false">IF(C22=0,"",D22/C22-1)</f>
        <v>-0.0991240186646332</v>
      </c>
      <c r="G22" s="37" t="n">
        <f aca="false">INDEX('تحليل التكلفة والسعر'!$D$2:$D$700,MATCH($B22,'تحليل التكلفة والسعر'!$B$2:$B$700,0))</f>
        <v>120</v>
      </c>
      <c r="H22" s="38" t="n">
        <f aca="false">IF(OR(G22="",G22=0),"",C22/G22)</f>
        <v>0.421831666666667</v>
      </c>
      <c r="I22" s="38" t="n">
        <f aca="false">IF(OR(G22="",G22=0),"",D22/G22)</f>
        <v>0.380018016666667</v>
      </c>
      <c r="J22" s="38" t="n">
        <f aca="false">IF(OR(H22="",I22=""),"",I22-H22)</f>
        <v>-0.04181365</v>
      </c>
    </row>
    <row r="23" customFormat="false" ht="15" hidden="false" customHeight="false" outlineLevel="0" collapsed="false">
      <c r="A23" s="36" t="s">
        <v>18</v>
      </c>
      <c r="B23" s="36" t="s">
        <v>329</v>
      </c>
      <c r="C23" s="30" t="n">
        <v>39.045</v>
      </c>
      <c r="D23" s="37" t="n">
        <f aca="false">INDEX('تحليل التكلفة والسعر'!$C$2:$C$700,MATCH($B23,'تحليل التكلفة والسعر'!$B$2:$B$700,0))</f>
        <v>42.661</v>
      </c>
      <c r="E23" s="37" t="n">
        <f aca="false">D23-C23</f>
        <v>3.616</v>
      </c>
      <c r="F23" s="38" t="n">
        <f aca="false">IF(C23=0,"",D23/C23-1)</f>
        <v>0.0926110897682162</v>
      </c>
      <c r="G23" s="37" t="n">
        <f aca="false">INDEX('تحليل التكلفة والسعر'!$D$2:$D$700,MATCH($B23,'تحليل التكلفة والسعر'!$B$2:$B$700,0))</f>
        <v>90</v>
      </c>
      <c r="H23" s="38" t="n">
        <f aca="false">IF(OR(G23="",G23=0),"",C23/G23)</f>
        <v>0.433833333333333</v>
      </c>
      <c r="I23" s="38" t="n">
        <f aca="false">IF(OR(G23="",G23=0),"",D23/G23)</f>
        <v>0.474011111111111</v>
      </c>
      <c r="J23" s="38" t="n">
        <f aca="false">IF(OR(H23="",I23=""),"",I23-H23)</f>
        <v>0.0401777777777778</v>
      </c>
    </row>
    <row r="24" customFormat="false" ht="15" hidden="false" customHeight="false" outlineLevel="0" collapsed="false">
      <c r="A24" s="36" t="s">
        <v>310</v>
      </c>
      <c r="B24" s="36" t="s">
        <v>330</v>
      </c>
      <c r="C24" s="30" t="n">
        <v>43</v>
      </c>
      <c r="D24" s="37" t="n">
        <f aca="false">INDEX('تحليل التكلفة والسعر'!$C$2:$C$700,MATCH($B24,'تحليل التكلفة والسعر'!$B$2:$B$700,0))</f>
        <v>46.8889</v>
      </c>
      <c r="E24" s="37" t="n">
        <f aca="false">D24-C24</f>
        <v>3.8889</v>
      </c>
      <c r="F24" s="38" t="n">
        <f aca="false">IF(C24=0,"",D24/C24-1)</f>
        <v>0.090439534883721</v>
      </c>
      <c r="G24" s="37" t="n">
        <f aca="false">INDEX('تحليل التكلفة والسعر'!$D$2:$D$700,MATCH($B24,'تحليل التكلفة والسعر'!$B$2:$B$700,0))</f>
        <v>90</v>
      </c>
      <c r="H24" s="38" t="n">
        <f aca="false">IF(OR(G24="",G24=0),"",C24/G24)</f>
        <v>0.477777777777778</v>
      </c>
      <c r="I24" s="38" t="n">
        <f aca="false">IF(OR(G24="",G24=0),"",D24/G24)</f>
        <v>0.520987777777778</v>
      </c>
      <c r="J24" s="38" t="n">
        <f aca="false">IF(OR(H24="",I24=""),"",I24-H24)</f>
        <v>0.04321</v>
      </c>
    </row>
    <row r="25" customFormat="false" ht="15" hidden="false" customHeight="false" outlineLevel="0" collapsed="false">
      <c r="A25" s="36" t="s">
        <v>11</v>
      </c>
      <c r="B25" s="36" t="s">
        <v>331</v>
      </c>
      <c r="C25" s="30" t="n">
        <v>40.245</v>
      </c>
      <c r="D25" s="37" t="n">
        <f aca="false">INDEX('تحليل التكلفة والسعر'!$C$2:$C$700,MATCH($B25,'تحليل التكلفة والسعر'!$B$2:$B$700,0))</f>
        <v>43.877362</v>
      </c>
      <c r="E25" s="37" t="n">
        <f aca="false">D25-C25</f>
        <v>3.632362</v>
      </c>
      <c r="F25" s="38" t="n">
        <f aca="false">IF(C25=0,"",D25/C25-1)</f>
        <v>0.0902562305876506</v>
      </c>
      <c r="G25" s="37" t="n">
        <f aca="false">INDEX('تحليل التكلفة والسعر'!$D$2:$D$700,MATCH($B25,'تحليل التكلفة والسعر'!$B$2:$B$700,0))</f>
        <v>90</v>
      </c>
      <c r="H25" s="38" t="n">
        <f aca="false">IF(OR(G25="",G25=0),"",C25/G25)</f>
        <v>0.447166666666667</v>
      </c>
      <c r="I25" s="38" t="n">
        <f aca="false">IF(OR(G25="",G25=0),"",D25/G25)</f>
        <v>0.487526244444444</v>
      </c>
      <c r="J25" s="38" t="n">
        <f aca="false">IF(OR(H25="",I25=""),"",I25-H25)</f>
        <v>0.0403595777777778</v>
      </c>
    </row>
    <row r="26" customFormat="false" ht="15" hidden="false" customHeight="false" outlineLevel="0" collapsed="false">
      <c r="A26" s="36" t="s">
        <v>310</v>
      </c>
      <c r="B26" s="36" t="s">
        <v>332</v>
      </c>
      <c r="C26" s="30" t="n">
        <v>29</v>
      </c>
      <c r="D26" s="37" t="n">
        <f aca="false">INDEX('تحليل التكلفة والسعر'!$C$2:$C$700,MATCH($B26,'تحليل التكلفة والسعر'!$B$2:$B$700,0))</f>
        <v>26.4194</v>
      </c>
      <c r="E26" s="37" t="n">
        <f aca="false">D26-C26</f>
        <v>-2.5806</v>
      </c>
      <c r="F26" s="38" t="n">
        <f aca="false">IF(C26=0,"",D26/C26-1)</f>
        <v>-0.0889862068965518</v>
      </c>
      <c r="G26" s="37" t="n">
        <f aca="false">INDEX('تحليل التكلفة والسعر'!$D$2:$D$700,MATCH($B26,'تحليل التكلفة والسعر'!$B$2:$B$700,0))</f>
        <v>60</v>
      </c>
      <c r="H26" s="38" t="n">
        <f aca="false">IF(OR(G26="",G26=0),"",C26/G26)</f>
        <v>0.483333333333333</v>
      </c>
      <c r="I26" s="38" t="n">
        <f aca="false">IF(OR(G26="",G26=0),"",D26/G26)</f>
        <v>0.440323333333333</v>
      </c>
      <c r="J26" s="38" t="n">
        <f aca="false">IF(OR(H26="",I26=""),"",I26-H26)</f>
        <v>-0.04301</v>
      </c>
    </row>
    <row r="27" customFormat="false" ht="15" hidden="false" customHeight="false" outlineLevel="0" collapsed="false">
      <c r="A27" s="36" t="s">
        <v>310</v>
      </c>
      <c r="B27" s="36" t="s">
        <v>333</v>
      </c>
      <c r="C27" s="30" t="n">
        <v>29</v>
      </c>
      <c r="D27" s="37" t="n">
        <f aca="false">INDEX('تحليل التكلفة والسعر'!$C$2:$C$700,MATCH($B27,'تحليل التكلفة والسعر'!$B$2:$B$700,0))</f>
        <v>26.4194</v>
      </c>
      <c r="E27" s="37" t="n">
        <f aca="false">D27-C27</f>
        <v>-2.5806</v>
      </c>
      <c r="F27" s="38" t="n">
        <f aca="false">IF(C27=0,"",D27/C27-1)</f>
        <v>-0.0889862068965518</v>
      </c>
      <c r="G27" s="37" t="n">
        <f aca="false">INDEX('تحليل التكلفة والسعر'!$D$2:$D$700,MATCH($B27,'تحليل التكلفة والسعر'!$B$2:$B$700,0))</f>
        <v>45</v>
      </c>
      <c r="H27" s="38" t="n">
        <f aca="false">IF(OR(G27="",G27=0),"",C27/G27)</f>
        <v>0.644444444444445</v>
      </c>
      <c r="I27" s="38" t="n">
        <f aca="false">IF(OR(G27="",G27=0),"",D27/G27)</f>
        <v>0.587097777777778</v>
      </c>
      <c r="J27" s="38" t="n">
        <f aca="false">IF(OR(H27="",I27=""),"",I27-H27)</f>
        <v>-0.0573466666666668</v>
      </c>
    </row>
    <row r="28" customFormat="false" ht="15" hidden="false" customHeight="false" outlineLevel="0" collapsed="false">
      <c r="A28" s="36" t="s">
        <v>310</v>
      </c>
      <c r="B28" s="36" t="s">
        <v>334</v>
      </c>
      <c r="C28" s="30" t="n">
        <v>21.75</v>
      </c>
      <c r="D28" s="37" t="n">
        <f aca="false">INDEX('تحليل التكلفة والسعر'!$C$2:$C$700,MATCH($B28,'تحليل التكلفة والسعر'!$B$2:$B$700,0))</f>
        <v>19.81455</v>
      </c>
      <c r="E28" s="37" t="n">
        <f aca="false">D28-C28</f>
        <v>-1.93545</v>
      </c>
      <c r="F28" s="38" t="n">
        <f aca="false">IF(C28=0,"",D28/C28-1)</f>
        <v>-0.0889862068965517</v>
      </c>
      <c r="G28" s="37" t="n">
        <f aca="false">INDEX('تحليل التكلفة والسعر'!$D$2:$D$700,MATCH($B28,'تحليل التكلفة والسعر'!$B$2:$B$700,0))</f>
        <v>56.25</v>
      </c>
      <c r="H28" s="38" t="n">
        <f aca="false">IF(OR(G28="",G28=0),"",C28/G28)</f>
        <v>0.386666666666667</v>
      </c>
      <c r="I28" s="38" t="n">
        <f aca="false">IF(OR(G28="",G28=0),"",D28/G28)</f>
        <v>0.352258666666667</v>
      </c>
      <c r="J28" s="38" t="n">
        <f aca="false">IF(OR(H28="",I28=""),"",I28-H28)</f>
        <v>-0.034408</v>
      </c>
    </row>
    <row r="29" customFormat="false" ht="15" hidden="false" customHeight="false" outlineLevel="0" collapsed="false">
      <c r="A29" s="36" t="s">
        <v>19</v>
      </c>
      <c r="B29" s="36" t="s">
        <v>335</v>
      </c>
      <c r="C29" s="30" t="n">
        <v>62.5464</v>
      </c>
      <c r="D29" s="37" t="n">
        <f aca="false">INDEX('تحليل التكلفة والسعر'!$C$2:$C$700,MATCH($B29,'تحليل التكلفة والسعر'!$B$2:$B$700,0))</f>
        <v>66.8037</v>
      </c>
      <c r="E29" s="37" t="n">
        <f aca="false">D29-C29</f>
        <v>4.25730000000001</v>
      </c>
      <c r="F29" s="38" t="n">
        <f aca="false">IF(C29=0,"",D29/C29-1)</f>
        <v>0.0680662676029318</v>
      </c>
      <c r="G29" s="37" t="n">
        <f aca="false">INDEX('تحليل التكلفة والسعر'!$D$2:$D$700,MATCH($B29,'تحليل التكلفة والسعر'!$B$2:$B$700,0))</f>
        <v>150</v>
      </c>
      <c r="H29" s="38" t="n">
        <f aca="false">IF(OR(G29="",G29=0),"",C29/G29)</f>
        <v>0.416976</v>
      </c>
      <c r="I29" s="38" t="n">
        <f aca="false">IF(OR(G29="",G29=0),"",D29/G29)</f>
        <v>0.445358</v>
      </c>
      <c r="J29" s="38" t="n">
        <f aca="false">IF(OR(H29="",I29=""),"",I29-H29)</f>
        <v>0.028382</v>
      </c>
    </row>
    <row r="30" customFormat="false" ht="15" hidden="false" customHeight="false" outlineLevel="0" collapsed="false">
      <c r="A30" s="36" t="s">
        <v>13</v>
      </c>
      <c r="B30" s="36" t="s">
        <v>336</v>
      </c>
      <c r="C30" s="30" t="n">
        <v>93.5198</v>
      </c>
      <c r="D30" s="37" t="n">
        <f aca="false">INDEX('تحليل التكلفة والسعر'!$C$2:$C$700,MATCH($B30,'تحليل التكلفة والسعر'!$B$2:$B$700,0))</f>
        <v>87.276697</v>
      </c>
      <c r="E30" s="37" t="n">
        <f aca="false">D30-C30</f>
        <v>-6.24310300000001</v>
      </c>
      <c r="F30" s="38" t="n">
        <f aca="false">IF(C30=0,"",D30/C30-1)</f>
        <v>-0.0667570182998681</v>
      </c>
      <c r="G30" s="37" t="n">
        <f aca="false">INDEX('تحليل التكلفة والسعر'!$D$2:$D$700,MATCH($B30,'تحليل التكلفة والسعر'!$B$2:$B$700,0))</f>
        <v>150</v>
      </c>
      <c r="H30" s="38" t="n">
        <f aca="false">IF(OR(G30="",G30=0),"",C30/G30)</f>
        <v>0.623465333333333</v>
      </c>
      <c r="I30" s="38" t="n">
        <f aca="false">IF(OR(G30="",G30=0),"",D30/G30)</f>
        <v>0.581844646666667</v>
      </c>
      <c r="J30" s="38" t="n">
        <f aca="false">IF(OR(H30="",I30=""),"",I30-H30)</f>
        <v>-0.0416206866666666</v>
      </c>
    </row>
    <row r="31" customFormat="false" ht="15" hidden="false" customHeight="false" outlineLevel="0" collapsed="false">
      <c r="A31" s="36" t="s">
        <v>19</v>
      </c>
      <c r="B31" s="36" t="s">
        <v>337</v>
      </c>
      <c r="C31" s="30" t="n">
        <v>71.2964</v>
      </c>
      <c r="D31" s="37" t="n">
        <f aca="false">INDEX('تحليل التكلفة والسعر'!$C$2:$C$700,MATCH($B31,'تحليل التكلفة والسعر'!$B$2:$B$700,0))</f>
        <v>75.5537</v>
      </c>
      <c r="E31" s="37" t="n">
        <f aca="false">D31-C31</f>
        <v>4.2573</v>
      </c>
      <c r="F31" s="38" t="n">
        <f aca="false">IF(C31=0,"",D31/C31-1)</f>
        <v>0.0597126923659539</v>
      </c>
      <c r="G31" s="37" t="n">
        <f aca="false">INDEX('تحليل التكلفة والسعر'!$D$2:$D$700,MATCH($B31,'تحليل التكلفة والسعر'!$B$2:$B$700,0))</f>
        <v>160</v>
      </c>
      <c r="H31" s="38" t="n">
        <f aca="false">IF(OR(G31="",G31=0),"",C31/G31)</f>
        <v>0.4456025</v>
      </c>
      <c r="I31" s="38" t="n">
        <f aca="false">IF(OR(G31="",G31=0),"",D31/G31)</f>
        <v>0.472210625</v>
      </c>
      <c r="J31" s="38" t="n">
        <f aca="false">IF(OR(H31="",I31=""),"",I31-H31)</f>
        <v>0.026608125</v>
      </c>
    </row>
    <row r="32" customFormat="false" ht="15" hidden="false" customHeight="false" outlineLevel="0" collapsed="false">
      <c r="A32" s="36" t="s">
        <v>310</v>
      </c>
      <c r="B32" s="36" t="s">
        <v>338</v>
      </c>
      <c r="C32" s="30" t="n">
        <v>31.9</v>
      </c>
      <c r="D32" s="37" t="n">
        <f aca="false">INDEX('تحليل التكلفة والسعر'!$C$2:$C$700,MATCH($B32,'تحليل التكلفة والسعر'!$B$2:$B$700,0))</f>
        <v>30</v>
      </c>
      <c r="E32" s="37" t="n">
        <f aca="false">D32-C32</f>
        <v>-1.9</v>
      </c>
      <c r="F32" s="38" t="n">
        <f aca="false">IF(C32=0,"",D32/C32-1)</f>
        <v>-0.0595611285266457</v>
      </c>
      <c r="G32" s="37" t="n">
        <f aca="false">INDEX('تحليل التكلفة والسعر'!$D$2:$D$700,MATCH($B32,'تحليل التكلفة والسعر'!$B$2:$B$700,0))</f>
        <v>90</v>
      </c>
      <c r="H32" s="38" t="n">
        <f aca="false">IF(OR(G32="",G32=0),"",C32/G32)</f>
        <v>0.354444444444444</v>
      </c>
      <c r="I32" s="38" t="n">
        <f aca="false">IF(OR(G32="",G32=0),"",D32/G32)</f>
        <v>0.333333333333333</v>
      </c>
      <c r="J32" s="38" t="n">
        <f aca="false">IF(OR(H32="",I32=""),"",I32-H32)</f>
        <v>-0.0211111111111111</v>
      </c>
    </row>
    <row r="33" customFormat="false" ht="15" hidden="false" customHeight="false" outlineLevel="0" collapsed="false">
      <c r="A33" s="36" t="s">
        <v>310</v>
      </c>
      <c r="B33" s="36" t="s">
        <v>339</v>
      </c>
      <c r="C33" s="30" t="n">
        <v>31.9</v>
      </c>
      <c r="D33" s="37" t="n">
        <f aca="false">INDEX('تحليل التكلفة والسعر'!$C$2:$C$700,MATCH($B33,'تحليل التكلفة والسعر'!$B$2:$B$700,0))</f>
        <v>30</v>
      </c>
      <c r="E33" s="37" t="n">
        <f aca="false">D33-C33</f>
        <v>-1.9</v>
      </c>
      <c r="F33" s="38" t="n">
        <f aca="false">IF(C33=0,"",D33/C33-1)</f>
        <v>-0.0595611285266457</v>
      </c>
      <c r="G33" s="37" t="n">
        <f aca="false">INDEX('تحليل التكلفة والسعر'!$D$2:$D$700,MATCH($B33,'تحليل التكلفة والسعر'!$B$2:$B$700,0))</f>
        <v>70</v>
      </c>
      <c r="H33" s="38" t="n">
        <f aca="false">IF(OR(G33="",G33=0),"",C33/G33)</f>
        <v>0.455714285714286</v>
      </c>
      <c r="I33" s="38" t="n">
        <f aca="false">IF(OR(G33="",G33=0),"",D33/G33)</f>
        <v>0.428571428571429</v>
      </c>
      <c r="J33" s="38" t="n">
        <f aca="false">IF(OR(H33="",I33=""),"",I33-H33)</f>
        <v>-0.0271428571428571</v>
      </c>
    </row>
    <row r="34" customFormat="false" ht="15" hidden="false" customHeight="false" outlineLevel="0" collapsed="false">
      <c r="A34" s="36" t="s">
        <v>11</v>
      </c>
      <c r="B34" s="36" t="s">
        <v>340</v>
      </c>
      <c r="C34" s="30" t="n">
        <v>73.985</v>
      </c>
      <c r="D34" s="37" t="n">
        <f aca="false">INDEX('تحليل التكلفة والسعر'!$C$2:$C$700,MATCH($B34,'تحليل التكلفة والسعر'!$B$2:$B$700,0))</f>
        <v>78.231337</v>
      </c>
      <c r="E34" s="37" t="n">
        <f aca="false">D34-C34</f>
        <v>4.246337</v>
      </c>
      <c r="F34" s="38" t="n">
        <f aca="false">IF(C34=0,"",D34/C34-1)</f>
        <v>0.0573945664661755</v>
      </c>
      <c r="G34" s="37" t="n">
        <f aca="false">INDEX('تحليل التكلفة والسعر'!$D$2:$D$700,MATCH($B34,'تحليل التكلفة والسعر'!$B$2:$B$700,0))</f>
        <v>130</v>
      </c>
      <c r="H34" s="38" t="n">
        <f aca="false">IF(OR(G34="",G34=0),"",C34/G34)</f>
        <v>0.569115384615385</v>
      </c>
      <c r="I34" s="38" t="n">
        <f aca="false">IF(OR(G34="",G34=0),"",D34/G34)</f>
        <v>0.601779515384615</v>
      </c>
      <c r="J34" s="38" t="n">
        <f aca="false">IF(OR(H34="",I34=""),"",I34-H34)</f>
        <v>0.0326641307692308</v>
      </c>
    </row>
    <row r="35" customFormat="false" ht="15" hidden="false" customHeight="false" outlineLevel="0" collapsed="false">
      <c r="A35" s="36" t="s">
        <v>16</v>
      </c>
      <c r="B35" s="36" t="s">
        <v>341</v>
      </c>
      <c r="C35" s="30" t="n">
        <v>65.5818</v>
      </c>
      <c r="D35" s="37" t="n">
        <f aca="false">INDEX('تحليل التكلفة والسعر'!$C$2:$C$700,MATCH($B35,'تحليل التكلفة والسعر'!$B$2:$B$700,0))</f>
        <v>68.9937</v>
      </c>
      <c r="E35" s="37" t="n">
        <f aca="false">D35-C35</f>
        <v>3.4119</v>
      </c>
      <c r="F35" s="38" t="n">
        <f aca="false">IF(C35=0,"",D35/C35-1)</f>
        <v>0.0520251045259508</v>
      </c>
      <c r="G35" s="37" t="n">
        <f aca="false">INDEX('تحليل التكلفة والسعر'!$D$2:$D$700,MATCH($B35,'تحليل التكلفة والسعر'!$B$2:$B$700,0))</f>
        <v>145</v>
      </c>
      <c r="H35" s="38" t="n">
        <f aca="false">IF(OR(G35="",G35=0),"",C35/G35)</f>
        <v>0.452288275862069</v>
      </c>
      <c r="I35" s="38" t="n">
        <f aca="false">IF(OR(G35="",G35=0),"",D35/G35)</f>
        <v>0.475818620689655</v>
      </c>
      <c r="J35" s="38" t="n">
        <f aca="false">IF(OR(H35="",I35=""),"",I35-H35)</f>
        <v>0.0235303448275862</v>
      </c>
    </row>
    <row r="36" customFormat="false" ht="15" hidden="false" customHeight="false" outlineLevel="0" collapsed="false">
      <c r="A36" s="36" t="s">
        <v>16</v>
      </c>
      <c r="B36" s="36" t="s">
        <v>342</v>
      </c>
      <c r="C36" s="30" t="n">
        <v>91.03235</v>
      </c>
      <c r="D36" s="37" t="n">
        <f aca="false">INDEX('تحليل التكلفة والسعر'!$C$2:$C$700,MATCH($B36,'تحليل التكلفة والسعر'!$B$2:$B$700,0))</f>
        <v>95.7287</v>
      </c>
      <c r="E36" s="37" t="n">
        <f aca="false">D36-C36</f>
        <v>4.69635000000001</v>
      </c>
      <c r="F36" s="38" t="n">
        <f aca="false">IF(C36=0,"",D36/C36-1)</f>
        <v>0.0515899018316017</v>
      </c>
      <c r="G36" s="37" t="n">
        <f aca="false">INDEX('تحليل التكلفة والسعر'!$D$2:$D$700,MATCH($B36,'تحليل التكلفة والسعر'!$B$2:$B$700,0))</f>
        <v>220</v>
      </c>
      <c r="H36" s="38" t="n">
        <f aca="false">IF(OR(G36="",G36=0),"",C36/G36)</f>
        <v>0.413783409090909</v>
      </c>
      <c r="I36" s="38" t="n">
        <f aca="false">IF(OR(G36="",G36=0),"",D36/G36)</f>
        <v>0.435130454545455</v>
      </c>
      <c r="J36" s="38" t="n">
        <f aca="false">IF(OR(H36="",I36=""),"",I36-H36)</f>
        <v>0.0213470454545455</v>
      </c>
    </row>
    <row r="37" customFormat="false" ht="15" hidden="false" customHeight="false" outlineLevel="0" collapsed="false">
      <c r="A37" s="36" t="s">
        <v>310</v>
      </c>
      <c r="B37" s="36" t="s">
        <v>343</v>
      </c>
      <c r="C37" s="30" t="n">
        <v>25.82</v>
      </c>
      <c r="D37" s="37" t="n">
        <f aca="false">INDEX('تحليل التكلفة والسعر'!$C$2:$C$700,MATCH($B37,'تحليل التكلفة والسعر'!$B$2:$B$700,0))</f>
        <v>27.1442</v>
      </c>
      <c r="E37" s="37" t="n">
        <f aca="false">D37-C37</f>
        <v>1.3242</v>
      </c>
      <c r="F37" s="38" t="n">
        <f aca="false">IF(C37=0,"",D37/C37-1)</f>
        <v>0.0512858249419055</v>
      </c>
      <c r="G37" s="37" t="n">
        <f aca="false">INDEX('تحليل التكلفة والسعر'!$D$2:$D$700,MATCH($B37,'تحليل التكلفة والسعر'!$B$2:$B$700,0))</f>
        <v>50</v>
      </c>
      <c r="H37" s="38" t="n">
        <f aca="false">IF(OR(G37="",G37=0),"",C37/G37)</f>
        <v>0.5164</v>
      </c>
      <c r="I37" s="38" t="n">
        <f aca="false">IF(OR(G37="",G37=0),"",D37/G37)</f>
        <v>0.542884</v>
      </c>
      <c r="J37" s="38" t="n">
        <f aca="false">IF(OR(H37="",I37=""),"",I37-H37)</f>
        <v>0.0264840000000001</v>
      </c>
    </row>
    <row r="38" customFormat="false" ht="15" hidden="false" customHeight="false" outlineLevel="0" collapsed="false">
      <c r="A38" s="36" t="s">
        <v>310</v>
      </c>
      <c r="B38" s="36" t="s">
        <v>344</v>
      </c>
      <c r="C38" s="30" t="n">
        <v>33.5</v>
      </c>
      <c r="D38" s="37" t="n">
        <f aca="false">INDEX('تحليل التكلفة والسعر'!$C$2:$C$700,MATCH($B38,'تحليل التكلفة والسعر'!$B$2:$B$700,0))</f>
        <v>35</v>
      </c>
      <c r="E38" s="37" t="n">
        <f aca="false">D38-C38</f>
        <v>1.5</v>
      </c>
      <c r="F38" s="38" t="n">
        <f aca="false">IF(C38=0,"",D38/C38-1)</f>
        <v>0.044776119402985</v>
      </c>
      <c r="G38" s="37" t="n">
        <f aca="false">INDEX('تحليل التكلفة والسعر'!$D$2:$D$700,MATCH($B38,'تحليل التكلفة والسعر'!$B$2:$B$700,0))</f>
        <v>70</v>
      </c>
      <c r="H38" s="38" t="n">
        <f aca="false">IF(OR(G38="",G38=0),"",C38/G38)</f>
        <v>0.478571428571429</v>
      </c>
      <c r="I38" s="38" t="n">
        <f aca="false">IF(OR(G38="",G38=0),"",D38/G38)</f>
        <v>0.5</v>
      </c>
      <c r="J38" s="38" t="n">
        <f aca="false">IF(OR(H38="",I38=""),"",I38-H38)</f>
        <v>0.0214285714285714</v>
      </c>
    </row>
    <row r="39" customFormat="false" ht="15" hidden="false" customHeight="false" outlineLevel="0" collapsed="false">
      <c r="A39" s="36" t="s">
        <v>310</v>
      </c>
      <c r="B39" s="36" t="s">
        <v>345</v>
      </c>
      <c r="C39" s="30" t="n">
        <v>33.5</v>
      </c>
      <c r="D39" s="37" t="n">
        <f aca="false">INDEX('تحليل التكلفة والسعر'!$C$2:$C$700,MATCH($B39,'تحليل التكلفة والسعر'!$B$2:$B$700,0))</f>
        <v>35</v>
      </c>
      <c r="E39" s="37" t="n">
        <f aca="false">D39-C39</f>
        <v>1.5</v>
      </c>
      <c r="F39" s="38" t="n">
        <f aca="false">IF(C39=0,"",D39/C39-1)</f>
        <v>0.044776119402985</v>
      </c>
      <c r="G39" s="37" t="n">
        <f aca="false">INDEX('تحليل التكلفة والسعر'!$D$2:$D$700,MATCH($B39,'تحليل التكلفة والسعر'!$B$2:$B$700,0))</f>
        <v>70</v>
      </c>
      <c r="H39" s="38" t="n">
        <f aca="false">IF(OR(G39="",G39=0),"",C39/G39)</f>
        <v>0.478571428571429</v>
      </c>
      <c r="I39" s="38" t="n">
        <f aca="false">IF(OR(G39="",G39=0),"",D39/G39)</f>
        <v>0.5</v>
      </c>
      <c r="J39" s="38" t="n">
        <f aca="false">IF(OR(H39="",I39=""),"",I39-H39)</f>
        <v>0.0214285714285714</v>
      </c>
    </row>
    <row r="40" customFormat="false" ht="15" hidden="false" customHeight="false" outlineLevel="0" collapsed="false">
      <c r="A40" s="36" t="s">
        <v>310</v>
      </c>
      <c r="B40" s="36" t="s">
        <v>346</v>
      </c>
      <c r="C40" s="30" t="n">
        <v>50.54</v>
      </c>
      <c r="D40" s="37" t="n">
        <f aca="false">INDEX('تحليل التكلفة والسعر'!$C$2:$C$700,MATCH($B40,'تحليل التكلفة والسعر'!$B$2:$B$700,0))</f>
        <v>48.2857</v>
      </c>
      <c r="E40" s="37" t="n">
        <f aca="false">D40-C40</f>
        <v>-2.2543</v>
      </c>
      <c r="F40" s="38" t="n">
        <f aca="false">IF(C40=0,"",D40/C40-1)</f>
        <v>-0.044604273842501</v>
      </c>
      <c r="G40" s="37" t="n">
        <f aca="false">INDEX('تحليل التكلفة والسعر'!$D$2:$D$700,MATCH($B40,'تحليل التكلفة والسعر'!$B$2:$B$700,0))</f>
        <v>120</v>
      </c>
      <c r="H40" s="38" t="n">
        <f aca="false">IF(OR(G40="",G40=0),"",C40/G40)</f>
        <v>0.421166666666667</v>
      </c>
      <c r="I40" s="38" t="n">
        <f aca="false">IF(OR(G40="",G40=0),"",D40/G40)</f>
        <v>0.402380833333333</v>
      </c>
      <c r="J40" s="38" t="n">
        <f aca="false">IF(OR(H40="",I40=""),"",I40-H40)</f>
        <v>-0.0187858333333333</v>
      </c>
    </row>
    <row r="41" customFormat="false" ht="15" hidden="false" customHeight="false" outlineLevel="0" collapsed="false">
      <c r="A41" s="36" t="s">
        <v>310</v>
      </c>
      <c r="B41" s="36" t="s">
        <v>347</v>
      </c>
      <c r="C41" s="30" t="n">
        <v>50.54</v>
      </c>
      <c r="D41" s="37" t="n">
        <f aca="false">INDEX('تحليل التكلفة والسعر'!$C$2:$C$700,MATCH($B41,'تحليل التكلفة والسعر'!$B$2:$B$700,0))</f>
        <v>48.2857</v>
      </c>
      <c r="E41" s="37" t="n">
        <f aca="false">D41-C41</f>
        <v>-2.2543</v>
      </c>
      <c r="F41" s="38" t="n">
        <f aca="false">IF(C41=0,"",D41/C41-1)</f>
        <v>-0.044604273842501</v>
      </c>
      <c r="G41" s="37" t="n">
        <f aca="false">INDEX('تحليل التكلفة والسعر'!$D$2:$D$700,MATCH($B41,'تحليل التكلفة والسعر'!$B$2:$B$700,0))</f>
        <v>120</v>
      </c>
      <c r="H41" s="38" t="n">
        <f aca="false">IF(OR(G41="",G41=0),"",C41/G41)</f>
        <v>0.421166666666667</v>
      </c>
      <c r="I41" s="38" t="n">
        <f aca="false">IF(OR(G41="",G41=0),"",D41/G41)</f>
        <v>0.402380833333333</v>
      </c>
      <c r="J41" s="38" t="n">
        <f aca="false">IF(OR(H41="",I41=""),"",I41-H41)</f>
        <v>-0.0187858333333333</v>
      </c>
    </row>
    <row r="42" customFormat="false" ht="15" hidden="false" customHeight="false" outlineLevel="0" collapsed="false">
      <c r="A42" s="36" t="s">
        <v>9</v>
      </c>
      <c r="B42" s="36" t="s">
        <v>348</v>
      </c>
      <c r="C42" s="30" t="n">
        <v>51.84215</v>
      </c>
      <c r="D42" s="37" t="n">
        <f aca="false">INDEX('تحليل التكلفة والسعر'!$C$2:$C$700,MATCH($B42,'تحليل التكلفة والسعر'!$B$2:$B$700,0))</f>
        <v>49.5704</v>
      </c>
      <c r="E42" s="37" t="n">
        <f aca="false">D42-C42</f>
        <v>-2.27175</v>
      </c>
      <c r="F42" s="38" t="n">
        <f aca="false">IF(C42=0,"",D42/C42-1)</f>
        <v>-0.0438205205609721</v>
      </c>
      <c r="G42" s="37" t="n">
        <f aca="false">INDEX('تحليل التكلفة والسعر'!$D$2:$D$700,MATCH($B42,'تحليل التكلفة والسعر'!$B$2:$B$700,0))</f>
        <v>110</v>
      </c>
      <c r="H42" s="38" t="n">
        <f aca="false">IF(OR(G42="",G42=0),"",C42/G42)</f>
        <v>0.471292272727273</v>
      </c>
      <c r="I42" s="38" t="n">
        <f aca="false">IF(OR(G42="",G42=0),"",D42/G42)</f>
        <v>0.45064</v>
      </c>
      <c r="J42" s="38" t="n">
        <f aca="false">IF(OR(H42="",I42=""),"",I42-H42)</f>
        <v>-0.0206522727272727</v>
      </c>
    </row>
    <row r="43" customFormat="false" ht="15" hidden="false" customHeight="false" outlineLevel="0" collapsed="false">
      <c r="A43" s="36" t="s">
        <v>17</v>
      </c>
      <c r="B43" s="36" t="s">
        <v>349</v>
      </c>
      <c r="C43" s="30" t="n">
        <v>64.083</v>
      </c>
      <c r="D43" s="37" t="n">
        <f aca="false">INDEX('تحليل التكلفة والسعر'!$C$2:$C$700,MATCH($B43,'تحليل التكلفة والسعر'!$B$2:$B$700,0))</f>
        <v>66.8737</v>
      </c>
      <c r="E43" s="37" t="n">
        <f aca="false">D43-C43</f>
        <v>2.7907</v>
      </c>
      <c r="F43" s="38" t="n">
        <f aca="false">IF(C43=0,"",D43/C43-1)</f>
        <v>0.0435482109139709</v>
      </c>
      <c r="G43" s="37" t="n">
        <f aca="false">INDEX('تحليل التكلفة والسعر'!$D$2:$D$700,MATCH($B43,'تحليل التكلفة والسعر'!$B$2:$B$700,0))</f>
        <v>145</v>
      </c>
      <c r="H43" s="38" t="n">
        <f aca="false">IF(OR(G43="",G43=0),"",C43/G43)</f>
        <v>0.441951724137931</v>
      </c>
      <c r="I43" s="38" t="n">
        <f aca="false">IF(OR(G43="",G43=0),"",D43/G43)</f>
        <v>0.461197931034483</v>
      </c>
      <c r="J43" s="38" t="n">
        <f aca="false">IF(OR(H43="",I43=""),"",I43-H43)</f>
        <v>0.0192462068965517</v>
      </c>
    </row>
    <row r="44" customFormat="false" ht="15" hidden="false" customHeight="false" outlineLevel="0" collapsed="false">
      <c r="A44" s="36" t="s">
        <v>17</v>
      </c>
      <c r="B44" s="36" t="s">
        <v>350</v>
      </c>
      <c r="C44" s="30" t="n">
        <v>89.35415</v>
      </c>
      <c r="D44" s="37" t="n">
        <f aca="false">INDEX('تحليل التكلفة والسعر'!$C$2:$C$700,MATCH($B44,'تحليل التكلفة والسعر'!$B$2:$B$700,0))</f>
        <v>93.2087</v>
      </c>
      <c r="E44" s="37" t="n">
        <f aca="false">D44-C44</f>
        <v>3.85454999999999</v>
      </c>
      <c r="F44" s="38" t="n">
        <f aca="false">IF(C44=0,"",D44/C44-1)</f>
        <v>0.04313789566573</v>
      </c>
      <c r="G44" s="37" t="n">
        <f aca="false">INDEX('تحليل التكلفة والسعر'!$D$2:$D$700,MATCH($B44,'تحليل التكلفة والسعر'!$B$2:$B$700,0))</f>
        <v>220</v>
      </c>
      <c r="H44" s="38" t="n">
        <f aca="false">IF(OR(G44="",G44=0),"",C44/G44)</f>
        <v>0.406155227272727</v>
      </c>
      <c r="I44" s="38" t="n">
        <f aca="false">IF(OR(G44="",G44=0),"",D44/G44)</f>
        <v>0.423675909090909</v>
      </c>
      <c r="J44" s="38" t="n">
        <f aca="false">IF(OR(H44="",I44=""),"",I44-H44)</f>
        <v>0.0175206818181818</v>
      </c>
    </row>
    <row r="45" customFormat="false" ht="15" hidden="false" customHeight="false" outlineLevel="0" collapsed="false">
      <c r="A45" s="36" t="s">
        <v>21</v>
      </c>
      <c r="B45" s="36" t="s">
        <v>351</v>
      </c>
      <c r="C45" s="30" t="n">
        <v>58.4734</v>
      </c>
      <c r="D45" s="37" t="n">
        <f aca="false">INDEX('تحليل التكلفة والسعر'!$C$2:$C$700,MATCH($B45,'تحليل التكلفة والسعر'!$B$2:$B$700,0))</f>
        <v>60.9593558333333</v>
      </c>
      <c r="E45" s="37" t="n">
        <f aca="false">D45-C45</f>
        <v>2.48595583333334</v>
      </c>
      <c r="F45" s="38" t="n">
        <f aca="false">IF(C45=0,"",D45/C45-1)</f>
        <v>0.0425143027997916</v>
      </c>
      <c r="G45" s="37" t="n">
        <f aca="false">INDEX('تحليل التكلفة والسعر'!$D$2:$D$700,MATCH($B45,'تحليل التكلفة والسعر'!$B$2:$B$700,0))</f>
        <v>115</v>
      </c>
      <c r="H45" s="38" t="n">
        <f aca="false">IF(OR(G45="",G45=0),"",C45/G45)</f>
        <v>0.508464347826087</v>
      </c>
      <c r="I45" s="38" t="n">
        <f aca="false">IF(OR(G45="",G45=0),"",D45/G45)</f>
        <v>0.530081355072464</v>
      </c>
      <c r="J45" s="38" t="n">
        <f aca="false">IF(OR(H45="",I45=""),"",I45-H45)</f>
        <v>0.0216170072463768</v>
      </c>
    </row>
    <row r="46" customFormat="false" ht="15" hidden="false" customHeight="false" outlineLevel="0" collapsed="false">
      <c r="A46" s="36" t="s">
        <v>20</v>
      </c>
      <c r="B46" s="36" t="s">
        <v>352</v>
      </c>
      <c r="C46" s="30" t="n">
        <v>67.2727</v>
      </c>
      <c r="D46" s="37" t="n">
        <f aca="false">INDEX('تحليل التكلفة والسعر'!$C$2:$C$700,MATCH($B46,'تحليل التكلفة والسعر'!$B$2:$B$700,0))</f>
        <v>70.1077</v>
      </c>
      <c r="E46" s="37" t="n">
        <f aca="false">D46-C46</f>
        <v>2.83500000000001</v>
      </c>
      <c r="F46" s="38" t="n">
        <f aca="false">IF(C46=0,"",D46/C46-1)</f>
        <v>0.0421419089764497</v>
      </c>
      <c r="G46" s="37" t="n">
        <f aca="false">INDEX('تحليل التكلفة والسعر'!$D$2:$D$700,MATCH($B46,'تحليل التكلفة والسعر'!$B$2:$B$700,0))</f>
        <v>150</v>
      </c>
      <c r="H46" s="38" t="n">
        <f aca="false">IF(OR(G46="",G46=0),"",C46/G46)</f>
        <v>0.448484666666667</v>
      </c>
      <c r="I46" s="38" t="n">
        <f aca="false">IF(OR(G46="",G46=0),"",D46/G46)</f>
        <v>0.467384666666667</v>
      </c>
      <c r="J46" s="38" t="n">
        <f aca="false">IF(OR(H46="",I46=""),"",I46-H46)</f>
        <v>0.0189000000000001</v>
      </c>
    </row>
    <row r="47" customFormat="false" ht="15" hidden="false" customHeight="false" outlineLevel="0" collapsed="false">
      <c r="A47" s="36" t="s">
        <v>18</v>
      </c>
      <c r="B47" s="36" t="s">
        <v>353</v>
      </c>
      <c r="C47" s="30" t="n">
        <v>14.34</v>
      </c>
      <c r="D47" s="37" t="n">
        <f aca="false">INDEX('تحليل التكلفة والسعر'!$C$2:$C$700,MATCH($B47,'تحليل التكلفة والسعر'!$B$2:$B$700,0))</f>
        <v>14.90847</v>
      </c>
      <c r="E47" s="37" t="n">
        <f aca="false">D47-C47</f>
        <v>0.56847</v>
      </c>
      <c r="F47" s="38" t="n">
        <f aca="false">IF(C47=0,"",D47/C47-1)</f>
        <v>0.0396422594142258</v>
      </c>
      <c r="G47" s="37" t="n">
        <f aca="false">INDEX('تحليل التكلفة والسعر'!$D$2:$D$700,MATCH($B47,'تحليل التكلفة والسعر'!$B$2:$B$700,0))</f>
        <v>40</v>
      </c>
      <c r="H47" s="38" t="n">
        <f aca="false">IF(OR(G47="",G47=0),"",C47/G47)</f>
        <v>0.3585</v>
      </c>
      <c r="I47" s="38" t="n">
        <f aca="false">IF(OR(G47="",G47=0),"",D47/G47)</f>
        <v>0.37271175</v>
      </c>
      <c r="J47" s="38" t="n">
        <f aca="false">IF(OR(H47="",I47=""),"",I47-H47)</f>
        <v>0.01421175</v>
      </c>
    </row>
    <row r="48" customFormat="false" ht="15" hidden="false" customHeight="false" outlineLevel="0" collapsed="false">
      <c r="A48" s="36" t="s">
        <v>9</v>
      </c>
      <c r="B48" s="36" t="s">
        <v>354</v>
      </c>
      <c r="C48" s="30" t="n">
        <v>112.69465</v>
      </c>
      <c r="D48" s="37" t="n">
        <f aca="false">INDEX('تحليل التكلفة والسعر'!$C$2:$C$700,MATCH($B48,'تحليل التكلفة والسعر'!$B$2:$B$700,0))</f>
        <v>108.3561</v>
      </c>
      <c r="E48" s="37" t="n">
        <f aca="false">D48-C48</f>
        <v>-4.33855</v>
      </c>
      <c r="F48" s="38" t="n">
        <f aca="false">IF(C48=0,"",D48/C48-1)</f>
        <v>-0.0384982783122357</v>
      </c>
      <c r="G48" s="37" t="n">
        <f aca="false">INDEX('تحليل التكلفة والسعر'!$D$2:$D$700,MATCH($B48,'تحليل التكلفة والسعر'!$B$2:$B$700,0))</f>
        <v>220</v>
      </c>
      <c r="H48" s="38" t="n">
        <f aca="false">IF(OR(G48="",G48=0),"",C48/G48)</f>
        <v>0.512248409090909</v>
      </c>
      <c r="I48" s="38" t="n">
        <f aca="false">IF(OR(G48="",G48=0),"",D48/G48)</f>
        <v>0.492527727272727</v>
      </c>
      <c r="J48" s="38" t="n">
        <f aca="false">IF(OR(H48="",I48=""),"",I48-H48)</f>
        <v>-0.0197206818181818</v>
      </c>
    </row>
    <row r="49" customFormat="false" ht="15" hidden="false" customHeight="false" outlineLevel="0" collapsed="false">
      <c r="A49" s="36" t="s">
        <v>9</v>
      </c>
      <c r="B49" s="36" t="s">
        <v>355</v>
      </c>
      <c r="C49" s="30" t="n">
        <v>118.13215</v>
      </c>
      <c r="D49" s="37" t="n">
        <f aca="false">INDEX('تحليل التكلفة والسعر'!$C$2:$C$700,MATCH($B49,'تحليل التكلفة والسعر'!$B$2:$B$700,0))</f>
        <v>113.6061</v>
      </c>
      <c r="E49" s="37" t="n">
        <f aca="false">D49-C49</f>
        <v>-4.52605</v>
      </c>
      <c r="F49" s="38" t="n">
        <f aca="false">IF(C49=0,"",D49/C49-1)</f>
        <v>-0.0383134481172145</v>
      </c>
      <c r="G49" s="37" t="n">
        <f aca="false">INDEX('تحليل التكلفة والسعر'!$D$2:$D$700,MATCH($B49,'تحليل التكلفة والسعر'!$B$2:$B$700,0))</f>
        <v>220</v>
      </c>
      <c r="H49" s="38" t="n">
        <f aca="false">IF(OR(G49="",G49=0),"",C49/G49)</f>
        <v>0.536964318181818</v>
      </c>
      <c r="I49" s="38" t="n">
        <f aca="false">IF(OR(G49="",G49=0),"",D49/G49)</f>
        <v>0.516391363636364</v>
      </c>
      <c r="J49" s="38" t="n">
        <f aca="false">IF(OR(H49="",I49=""),"",I49-H49)</f>
        <v>-0.0205729545454545</v>
      </c>
    </row>
    <row r="50" customFormat="false" ht="15" hidden="false" customHeight="false" outlineLevel="0" collapsed="false">
      <c r="A50" s="36" t="s">
        <v>9</v>
      </c>
      <c r="B50" s="36" t="s">
        <v>356</v>
      </c>
      <c r="C50" s="30" t="n">
        <v>98.33215</v>
      </c>
      <c r="D50" s="37" t="n">
        <f aca="false">INDEX('تحليل التكلفة والسعر'!$C$2:$C$700,MATCH($B50,'تحليل التكلفة والسعر'!$B$2:$B$700,0))</f>
        <v>94.5704</v>
      </c>
      <c r="E50" s="37" t="n">
        <f aca="false">D50-C50</f>
        <v>-3.76175000000001</v>
      </c>
      <c r="F50" s="38" t="n">
        <f aca="false">IF(C50=0,"",D50/C50-1)</f>
        <v>-0.0382555451091022</v>
      </c>
      <c r="G50" s="37" t="n">
        <f aca="false">INDEX('تحليل التكلفة والسعر'!$D$2:$D$700,MATCH($B50,'تحليل التكلفة والسعر'!$B$2:$B$700,0))</f>
        <v>180</v>
      </c>
      <c r="H50" s="38" t="n">
        <f aca="false">IF(OR(G50="",G50=0),"",C50/G50)</f>
        <v>0.546289722222222</v>
      </c>
      <c r="I50" s="38" t="n">
        <f aca="false">IF(OR(G50="",G50=0),"",D50/G50)</f>
        <v>0.525391111111111</v>
      </c>
      <c r="J50" s="38" t="n">
        <f aca="false">IF(OR(H50="",I50=""),"",I50-H50)</f>
        <v>-0.0208986111111111</v>
      </c>
    </row>
    <row r="51" customFormat="false" ht="15" hidden="false" customHeight="false" outlineLevel="0" collapsed="false">
      <c r="A51" s="36" t="s">
        <v>10</v>
      </c>
      <c r="B51" s="36" t="s">
        <v>357</v>
      </c>
      <c r="C51" s="30" t="n">
        <v>89.16395</v>
      </c>
      <c r="D51" s="37" t="n">
        <f aca="false">INDEX('تحليل التكلفة والسعر'!$C$2:$C$700,MATCH($B51,'تحليل التكلفة والسعر'!$B$2:$B$700,0))</f>
        <v>92.5199</v>
      </c>
      <c r="E51" s="37" t="n">
        <f aca="false">D51-C51</f>
        <v>3.35594999999999</v>
      </c>
      <c r="F51" s="38" t="n">
        <f aca="false">IF(C51=0,"",D51/C51-1)</f>
        <v>0.0376379691568172</v>
      </c>
      <c r="G51" s="37" t="n">
        <f aca="false">INDEX('تحليل التكلفة والسعر'!$D$2:$D$700,MATCH($B51,'تحليل التكلفة والسعر'!$B$2:$B$700,0))</f>
        <v>190</v>
      </c>
      <c r="H51" s="38" t="n">
        <f aca="false">IF(OR(G51="",G51=0),"",C51/G51)</f>
        <v>0.469283947368421</v>
      </c>
      <c r="I51" s="38" t="n">
        <f aca="false">IF(OR(G51="",G51=0),"",D51/G51)</f>
        <v>0.486946842105263</v>
      </c>
      <c r="J51" s="38" t="n">
        <f aca="false">IF(OR(H51="",I51=""),"",I51-H51)</f>
        <v>0.0176628947368421</v>
      </c>
    </row>
    <row r="52" customFormat="false" ht="15" hidden="false" customHeight="false" outlineLevel="0" collapsed="false">
      <c r="A52" s="36" t="s">
        <v>11</v>
      </c>
      <c r="B52" s="36" t="s">
        <v>358</v>
      </c>
      <c r="C52" s="30" t="n">
        <v>158.585</v>
      </c>
      <c r="D52" s="37" t="n">
        <f aca="false">INDEX('تحليل التكلفة والسعر'!$C$2:$C$700,MATCH($B52,'تحليل التكلفة والسعر'!$B$2:$B$700,0))</f>
        <v>164.477362</v>
      </c>
      <c r="E52" s="37" t="n">
        <f aca="false">D52-C52</f>
        <v>5.89236199999999</v>
      </c>
      <c r="F52" s="38" t="n">
        <f aca="false">IF(C52=0,"",D52/C52-1)</f>
        <v>0.037155859633635</v>
      </c>
      <c r="G52" s="37" t="n">
        <f aca="false">INDEX('تحليل التكلفة والسعر'!$D$2:$D$700,MATCH($B52,'تحليل التكلفة والسعر'!$B$2:$B$700,0))</f>
        <v>250</v>
      </c>
      <c r="H52" s="38" t="n">
        <f aca="false">IF(OR(G52="",G52=0),"",C52/G52)</f>
        <v>0.63434</v>
      </c>
      <c r="I52" s="38" t="n">
        <f aca="false">IF(OR(G52="",G52=0),"",D52/G52)</f>
        <v>0.657909448</v>
      </c>
      <c r="J52" s="38" t="n">
        <f aca="false">IF(OR(H52="",I52=""),"",I52-H52)</f>
        <v>0.0235694479999999</v>
      </c>
    </row>
    <row r="53" customFormat="false" ht="15" hidden="false" customHeight="false" outlineLevel="0" collapsed="false">
      <c r="A53" s="36" t="s">
        <v>321</v>
      </c>
      <c r="B53" s="36" t="s">
        <v>136</v>
      </c>
      <c r="C53" s="30" t="n">
        <v>15</v>
      </c>
      <c r="D53" s="37" t="n">
        <f aca="false">INDEX('تحليل التكلفة والسعر'!$C$2:$C$700,MATCH($B53,'تحليل التكلفة والسعر'!$B$2:$B$700,0))</f>
        <v>15.5556</v>
      </c>
      <c r="E53" s="37" t="n">
        <f aca="false">D53-C53</f>
        <v>0.5556</v>
      </c>
      <c r="F53" s="38" t="n">
        <f aca="false">IF(C53=0,"",D53/C53-1)</f>
        <v>0.03704</v>
      </c>
      <c r="G53" s="37" t="n">
        <f aca="false">INDEX('تحليل التكلفة والسعر'!$D$2:$D$700,MATCH($B53,'تحليل التكلفة والسعر'!$B$2:$B$700,0))</f>
        <v>20</v>
      </c>
      <c r="H53" s="38" t="n">
        <f aca="false">IF(OR(G53="",G53=0),"",C53/G53)</f>
        <v>0.75</v>
      </c>
      <c r="I53" s="38" t="n">
        <f aca="false">IF(OR(G53="",G53=0),"",D53/G53)</f>
        <v>0.77778</v>
      </c>
      <c r="J53" s="38" t="n">
        <f aca="false">IF(OR(H53="",I53=""),"",I53-H53)</f>
        <v>0.02778</v>
      </c>
    </row>
    <row r="54" customFormat="false" ht="15" hidden="false" customHeight="false" outlineLevel="0" collapsed="false">
      <c r="A54" s="36" t="s">
        <v>310</v>
      </c>
      <c r="B54" s="36" t="s">
        <v>359</v>
      </c>
      <c r="C54" s="30" t="n">
        <v>13.5</v>
      </c>
      <c r="D54" s="37" t="n">
        <f aca="false">INDEX('تحليل التكلفة والسعر'!$C$2:$C$700,MATCH($B54,'تحليل التكلفة والسعر'!$B$2:$B$700,0))</f>
        <v>14</v>
      </c>
      <c r="E54" s="37" t="n">
        <f aca="false">D54-C54</f>
        <v>0.5</v>
      </c>
      <c r="F54" s="38" t="n">
        <f aca="false">IF(C54=0,"",D54/C54-1)</f>
        <v>0.037037037037037</v>
      </c>
      <c r="G54" s="37" t="n">
        <f aca="false">INDEX('تحليل التكلفة والسعر'!$D$2:$D$700,MATCH($B54,'تحليل التكلفة والسعر'!$B$2:$B$700,0))</f>
        <v>23.93</v>
      </c>
      <c r="H54" s="38" t="n">
        <f aca="false">IF(OR(G54="",G54=0),"",C54/G54)</f>
        <v>0.564145424153782</v>
      </c>
      <c r="I54" s="38" t="n">
        <f aca="false">IF(OR(G54="",G54=0),"",D54/G54)</f>
        <v>0.585039699122441</v>
      </c>
      <c r="J54" s="38" t="n">
        <f aca="false">IF(OR(H54="",I54=""),"",I54-H54)</f>
        <v>0.0208942749686586</v>
      </c>
    </row>
    <row r="55" customFormat="false" ht="15" hidden="false" customHeight="false" outlineLevel="0" collapsed="false">
      <c r="A55" s="36" t="s">
        <v>310</v>
      </c>
      <c r="B55" s="36" t="s">
        <v>360</v>
      </c>
      <c r="C55" s="30" t="n">
        <v>20.25</v>
      </c>
      <c r="D55" s="37" t="n">
        <f aca="false">INDEX('تحليل التكلفة والسعر'!$C$2:$C$700,MATCH($B55,'تحليل التكلفة والسعر'!$B$2:$B$700,0))</f>
        <v>21</v>
      </c>
      <c r="E55" s="37" t="n">
        <f aca="false">D55-C55</f>
        <v>0.75</v>
      </c>
      <c r="F55" s="38" t="n">
        <f aca="false">IF(C55=0,"",D55/C55-1)</f>
        <v>0.037037037037037</v>
      </c>
      <c r="G55" s="37" t="n">
        <f aca="false">INDEX('تحليل التكلفة والسعر'!$D$2:$D$700,MATCH($B55,'تحليل التكلفة والسعر'!$B$2:$B$700,0))</f>
        <v>38.57</v>
      </c>
      <c r="H55" s="38" t="n">
        <f aca="false">IF(OR(G55="",G55=0),"",C55/G55)</f>
        <v>0.525019445164636</v>
      </c>
      <c r="I55" s="38" t="n">
        <f aca="false">IF(OR(G55="",G55=0),"",D55/G55)</f>
        <v>0.544464609800363</v>
      </c>
      <c r="J55" s="38" t="n">
        <f aca="false">IF(OR(H55="",I55=""),"",I55-H55)</f>
        <v>0.0194451646357272</v>
      </c>
    </row>
    <row r="56" customFormat="false" ht="15" hidden="false" customHeight="false" outlineLevel="0" collapsed="false">
      <c r="A56" s="36" t="s">
        <v>14</v>
      </c>
      <c r="B56" s="36" t="s">
        <v>361</v>
      </c>
      <c r="C56" s="30" t="n">
        <v>4.79166666666667</v>
      </c>
      <c r="D56" s="37" t="n">
        <f aca="false">INDEX('تحليل التكلفة والسعر'!$C$2:$C$700,MATCH($B56,'تحليل التكلفة والسعر'!$B$2:$B$700,0))</f>
        <v>4.9685125</v>
      </c>
      <c r="E56" s="37" t="n">
        <f aca="false">D56-C56</f>
        <v>0.17684583333333</v>
      </c>
      <c r="F56" s="38" t="n">
        <f aca="false">IF(C56=0,"",D56/C56-1)</f>
        <v>0.0369069565217386</v>
      </c>
      <c r="G56" s="37" t="n">
        <f aca="false">INDEX('تحليل التكلفة والسعر'!$D$2:$D$700,MATCH($B56,'تحليل التكلفة والسعر'!$B$2:$B$700,0))</f>
        <v>5</v>
      </c>
      <c r="H56" s="38" t="n">
        <f aca="false">IF(OR(G56="",G56=0),"",C56/G56)</f>
        <v>0.958333333333334</v>
      </c>
      <c r="I56" s="38" t="n">
        <f aca="false">IF(OR(G56="",G56=0),"",D56/G56)</f>
        <v>0.9937025</v>
      </c>
      <c r="J56" s="38" t="n">
        <f aca="false">IF(OR(H56="",I56=""),"",I56-H56)</f>
        <v>0.0353691666666661</v>
      </c>
    </row>
    <row r="57" customFormat="false" ht="15" hidden="false" customHeight="false" outlineLevel="0" collapsed="false">
      <c r="A57" s="36" t="s">
        <v>11</v>
      </c>
      <c r="B57" s="36" t="s">
        <v>362</v>
      </c>
      <c r="C57" s="30" t="n">
        <v>70.9634</v>
      </c>
      <c r="D57" s="37" t="n">
        <f aca="false">INDEX('تحليل التكلفة والسعر'!$C$2:$C$700,MATCH($B57,'تحليل التكلفة والسعر'!$B$2:$B$700,0))</f>
        <v>73.546262</v>
      </c>
      <c r="E57" s="37" t="n">
        <f aca="false">D57-C57</f>
        <v>2.58286200000001</v>
      </c>
      <c r="F57" s="38" t="n">
        <f aca="false">IF(C57=0,"",D57/C57-1)</f>
        <v>0.0363971004771475</v>
      </c>
      <c r="G57" s="37" t="n">
        <f aca="false">INDEX('تحليل التكلفة والسعر'!$D$2:$D$700,MATCH($B57,'تحليل التكلفة والسعر'!$B$2:$B$700,0))</f>
        <v>150</v>
      </c>
      <c r="H57" s="38" t="n">
        <f aca="false">IF(OR(G57="",G57=0),"",C57/G57)</f>
        <v>0.473089333333333</v>
      </c>
      <c r="I57" s="38" t="n">
        <f aca="false">IF(OR(G57="",G57=0),"",D57/G57)</f>
        <v>0.490308413333333</v>
      </c>
      <c r="J57" s="38" t="n">
        <f aca="false">IF(OR(H57="",I57=""),"",I57-H57)</f>
        <v>0.01721908</v>
      </c>
    </row>
    <row r="58" customFormat="false" ht="15" hidden="false" customHeight="false" outlineLevel="0" collapsed="false">
      <c r="A58" s="36" t="s">
        <v>310</v>
      </c>
      <c r="B58" s="36" t="s">
        <v>363</v>
      </c>
      <c r="C58" s="30" t="n">
        <v>35</v>
      </c>
      <c r="D58" s="37" t="n">
        <f aca="false">INDEX('تحليل التكلفة والسعر'!$C$2:$C$700,MATCH($B58,'تحليل التكلفة والسعر'!$B$2:$B$700,0))</f>
        <v>33.7609</v>
      </c>
      <c r="E58" s="37" t="n">
        <f aca="false">D58-C58</f>
        <v>-1.2391</v>
      </c>
      <c r="F58" s="38" t="n">
        <f aca="false">IF(C58=0,"",D58/C58-1)</f>
        <v>-0.0354028571428572</v>
      </c>
      <c r="G58" s="37" t="n">
        <f aca="false">INDEX('تحليل التكلفة والسعر'!$D$2:$D$700,MATCH($B58,'تحليل التكلفة والسعر'!$B$2:$B$700,0))</f>
        <v>70</v>
      </c>
      <c r="H58" s="38" t="n">
        <f aca="false">IF(OR(G58="",G58=0),"",C58/G58)</f>
        <v>0.5</v>
      </c>
      <c r="I58" s="38" t="n">
        <f aca="false">IF(OR(G58="",G58=0),"",D58/G58)</f>
        <v>0.482298571428571</v>
      </c>
      <c r="J58" s="38" t="n">
        <f aca="false">IF(OR(H58="",I58=""),"",I58-H58)</f>
        <v>-0.0177014285714286</v>
      </c>
    </row>
    <row r="59" customFormat="false" ht="15" hidden="false" customHeight="false" outlineLevel="0" collapsed="false">
      <c r="A59" s="36" t="s">
        <v>14</v>
      </c>
      <c r="B59" s="36" t="s">
        <v>364</v>
      </c>
      <c r="C59" s="30" t="n">
        <v>65.9650666666667</v>
      </c>
      <c r="D59" s="37" t="n">
        <f aca="false">INDEX('تحليل التكلفة والسعر'!$C$2:$C$700,MATCH($B59,'تحليل التكلفة والسعر'!$B$2:$B$700,0))</f>
        <v>63.6351125</v>
      </c>
      <c r="E59" s="37" t="n">
        <f aca="false">D59-C59</f>
        <v>-2.3299541666667</v>
      </c>
      <c r="F59" s="38" t="n">
        <f aca="false">IF(C59=0,"",D59/C59-1)</f>
        <v>-0.0353210310305662</v>
      </c>
      <c r="G59" s="37" t="n">
        <f aca="false">INDEX('تحليل التكلفة والسعر'!$D$2:$D$700,MATCH($B59,'تحليل التكلفة والسعر'!$B$2:$B$700,0))</f>
        <v>115</v>
      </c>
      <c r="H59" s="38" t="n">
        <f aca="false">IF(OR(G59="",G59=0),"",C59/G59)</f>
        <v>0.573609275362319</v>
      </c>
      <c r="I59" s="38" t="n">
        <f aca="false">IF(OR(G59="",G59=0),"",D59/G59)</f>
        <v>0.553348804347826</v>
      </c>
      <c r="J59" s="38" t="n">
        <f aca="false">IF(OR(H59="",I59=""),"",I59-H59)</f>
        <v>-0.020260471014493</v>
      </c>
    </row>
    <row r="60" customFormat="false" ht="15" hidden="false" customHeight="false" outlineLevel="0" collapsed="false">
      <c r="A60" s="36" t="s">
        <v>11</v>
      </c>
      <c r="B60" s="36" t="s">
        <v>365</v>
      </c>
      <c r="C60" s="30" t="n">
        <v>18.54</v>
      </c>
      <c r="D60" s="37" t="n">
        <f aca="false">INDEX('تحليل التكلفة والسعر'!$C$2:$C$700,MATCH($B60,'تحليل التكلفة والسعر'!$B$2:$B$700,0))</f>
        <v>19.165737</v>
      </c>
      <c r="E60" s="37" t="n">
        <f aca="false">D60-C60</f>
        <v>0.625737000000001</v>
      </c>
      <c r="F60" s="38" t="n">
        <f aca="false">IF(C60=0,"",D60/C60-1)</f>
        <v>0.0337506472491911</v>
      </c>
      <c r="G60" s="37" t="n">
        <f aca="false">INDEX('تحليل التكلفة والسعر'!$D$2:$D$700,MATCH($B60,'تحليل التكلفة والسعر'!$B$2:$B$700,0))</f>
        <v>40</v>
      </c>
      <c r="H60" s="38" t="n">
        <f aca="false">IF(OR(G60="",G60=0),"",C60/G60)</f>
        <v>0.4635</v>
      </c>
      <c r="I60" s="38" t="n">
        <f aca="false">IF(OR(G60="",G60=0),"",D60/G60)</f>
        <v>0.479143425</v>
      </c>
      <c r="J60" s="38" t="n">
        <f aca="false">IF(OR(H60="",I60=""),"",I60-H60)</f>
        <v>0.015643425</v>
      </c>
    </row>
    <row r="61" customFormat="false" ht="15" hidden="false" customHeight="false" outlineLevel="0" collapsed="false">
      <c r="A61" s="36" t="s">
        <v>14</v>
      </c>
      <c r="B61" s="36" t="s">
        <v>366</v>
      </c>
      <c r="C61" s="30" t="n">
        <v>61.9373666666667</v>
      </c>
      <c r="D61" s="37" t="n">
        <f aca="false">INDEX('تحليل التكلفة والسعر'!$C$2:$C$700,MATCH($B61,'تحليل التكلفة والسعر'!$B$2:$B$700,0))</f>
        <v>59.9378625</v>
      </c>
      <c r="E61" s="37" t="n">
        <f aca="false">D61-C61</f>
        <v>-1.9995041666667</v>
      </c>
      <c r="F61" s="38" t="n">
        <f aca="false">IF(C61=0,"",D61/C61-1)</f>
        <v>-0.032282679653263</v>
      </c>
      <c r="G61" s="37" t="n">
        <f aca="false">INDEX('تحليل التكلفة والسعر'!$D$2:$D$700,MATCH($B61,'تحليل التكلفة والسعر'!$B$2:$B$700,0))</f>
        <v>115</v>
      </c>
      <c r="H61" s="38" t="n">
        <f aca="false">IF(OR(G61="",G61=0),"",C61/G61)</f>
        <v>0.53858579710145</v>
      </c>
      <c r="I61" s="38" t="n">
        <f aca="false">IF(OR(G61="",G61=0),"",D61/G61)</f>
        <v>0.521198804347826</v>
      </c>
      <c r="J61" s="38" t="n">
        <f aca="false">IF(OR(H61="",I61=""),"",I61-H61)</f>
        <v>-0.0173869927536234</v>
      </c>
    </row>
    <row r="62" customFormat="false" ht="15" hidden="false" customHeight="false" outlineLevel="0" collapsed="false">
      <c r="A62" s="36" t="s">
        <v>310</v>
      </c>
      <c r="B62" s="36" t="s">
        <v>367</v>
      </c>
      <c r="C62" s="30" t="n">
        <v>46.49</v>
      </c>
      <c r="D62" s="37" t="n">
        <f aca="false">INDEX('تحليل التكلفة والسعر'!$C$2:$C$700,MATCH($B62,'تحليل التكلفة والسعر'!$B$2:$B$700,0))</f>
        <v>45</v>
      </c>
      <c r="E62" s="37" t="n">
        <f aca="false">D62-C62</f>
        <v>-1.49</v>
      </c>
      <c r="F62" s="38" t="n">
        <f aca="false">IF(C62=0,"",D62/C62-1)</f>
        <v>-0.0320499032049904</v>
      </c>
      <c r="G62" s="37" t="n">
        <f aca="false">INDEX('تحليل التكلفة والسعر'!$D$2:$D$700,MATCH($B62,'تحليل التكلفة والسعر'!$B$2:$B$700,0))</f>
        <v>90</v>
      </c>
      <c r="H62" s="38" t="n">
        <f aca="false">IF(OR(G62="",G62=0),"",C62/G62)</f>
        <v>0.516555555555556</v>
      </c>
      <c r="I62" s="38" t="n">
        <f aca="false">IF(OR(G62="",G62=0),"",D62/G62)</f>
        <v>0.5</v>
      </c>
      <c r="J62" s="38" t="n">
        <f aca="false">IF(OR(H62="",I62=""),"",I62-H62)</f>
        <v>-0.0165555555555555</v>
      </c>
    </row>
    <row r="63" customFormat="false" ht="15" hidden="false" customHeight="false" outlineLevel="0" collapsed="false">
      <c r="A63" s="36" t="s">
        <v>14</v>
      </c>
      <c r="B63" s="36" t="s">
        <v>368</v>
      </c>
      <c r="C63" s="30" t="n">
        <v>49.9873666666667</v>
      </c>
      <c r="D63" s="37" t="n">
        <f aca="false">INDEX('تحليل التكلفة والسعر'!$C$2:$C$700,MATCH($B63,'تحليل التكلفة والسعر'!$B$2:$B$700,0))</f>
        <v>51.5018625</v>
      </c>
      <c r="E63" s="37" t="n">
        <f aca="false">D63-C63</f>
        <v>1.5144958333333</v>
      </c>
      <c r="F63" s="38" t="n">
        <f aca="false">IF(C63=0,"",D63/C63-1)</f>
        <v>0.0302975718531542</v>
      </c>
      <c r="G63" s="37" t="n">
        <f aca="false">INDEX('تحليل التكلفة والسعر'!$D$2:$D$700,MATCH($B63,'تحليل التكلفة والسعر'!$B$2:$B$700,0))</f>
        <v>100</v>
      </c>
      <c r="H63" s="38" t="n">
        <f aca="false">IF(OR(G63="",G63=0),"",C63/G63)</f>
        <v>0.499873666666667</v>
      </c>
      <c r="I63" s="38" t="n">
        <f aca="false">IF(OR(G63="",G63=0),"",D63/G63)</f>
        <v>0.515018625</v>
      </c>
      <c r="J63" s="38" t="n">
        <f aca="false">IF(OR(H63="",I63=""),"",I63-H63)</f>
        <v>0.0151449583333331</v>
      </c>
    </row>
    <row r="64" customFormat="false" ht="15" hidden="false" customHeight="false" outlineLevel="0" collapsed="false">
      <c r="A64" s="36" t="s">
        <v>18</v>
      </c>
      <c r="B64" s="36" t="s">
        <v>369</v>
      </c>
      <c r="C64" s="30" t="n">
        <v>34.3453</v>
      </c>
      <c r="D64" s="37" t="n">
        <f aca="false">INDEX('تحليل التكلفة والسعر'!$C$2:$C$700,MATCH($B64,'تحليل التكلفة والسعر'!$B$2:$B$700,0))</f>
        <v>35.37407</v>
      </c>
      <c r="E64" s="37" t="n">
        <f aca="false">D64-C64</f>
        <v>1.02876999999999</v>
      </c>
      <c r="F64" s="38" t="n">
        <f aca="false">IF(C64=0,"",D64/C64-1)</f>
        <v>0.0299537345721248</v>
      </c>
      <c r="G64" s="37" t="n">
        <f aca="false">INDEX('تحليل التكلفة والسعر'!$D$2:$D$700,MATCH($B64,'تحليل التكلفة والسعر'!$B$2:$B$700,0))</f>
        <v>60</v>
      </c>
      <c r="H64" s="38" t="n">
        <f aca="false">IF(OR(G64="",G64=0),"",C64/G64)</f>
        <v>0.572421666666667</v>
      </c>
      <c r="I64" s="38" t="n">
        <f aca="false">IF(OR(G64="",G64=0),"",D64/G64)</f>
        <v>0.589567833333333</v>
      </c>
      <c r="J64" s="38" t="n">
        <f aca="false">IF(OR(H64="",I64=""),"",I64-H64)</f>
        <v>0.0171461666666666</v>
      </c>
    </row>
    <row r="65" customFormat="false" ht="15" hidden="false" customHeight="false" outlineLevel="0" collapsed="false">
      <c r="A65" s="36" t="s">
        <v>15</v>
      </c>
      <c r="B65" s="36" t="s">
        <v>370</v>
      </c>
      <c r="C65" s="30" t="n">
        <v>32.6</v>
      </c>
      <c r="D65" s="37" t="n">
        <f aca="false">INDEX('تحليل التكلفة والسعر'!$C$2:$C$700,MATCH($B65,'تحليل التكلفة والسعر'!$B$2:$B$700,0))</f>
        <v>33.55</v>
      </c>
      <c r="E65" s="37" t="n">
        <f aca="false">D65-C65</f>
        <v>0.950000000000003</v>
      </c>
      <c r="F65" s="38" t="n">
        <f aca="false">IF(C65=0,"",D65/C65-1)</f>
        <v>0.0291411042944787</v>
      </c>
      <c r="G65" s="37" t="n">
        <f aca="false">INDEX('تحليل التكلفة والسعر'!$D$2:$D$700,MATCH($B65,'تحليل التكلفة والسعر'!$B$2:$B$700,0))</f>
        <v>60</v>
      </c>
      <c r="H65" s="38" t="n">
        <f aca="false">IF(OR(G65="",G65=0),"",C65/G65)</f>
        <v>0.543333333333333</v>
      </c>
      <c r="I65" s="38" t="n">
        <f aca="false">IF(OR(G65="",G65=0),"",D65/G65)</f>
        <v>0.559166666666667</v>
      </c>
      <c r="J65" s="38" t="n">
        <f aca="false">IF(OR(H65="",I65=""),"",I65-H65)</f>
        <v>0.0158333333333334</v>
      </c>
    </row>
    <row r="66" customFormat="false" ht="15" hidden="false" customHeight="false" outlineLevel="0" collapsed="false">
      <c r="A66" s="36" t="s">
        <v>9</v>
      </c>
      <c r="B66" s="36" t="s">
        <v>371</v>
      </c>
      <c r="C66" s="30" t="n">
        <v>63.2491</v>
      </c>
      <c r="D66" s="37" t="n">
        <f aca="false">INDEX('تحليل التكلفة والسعر'!$C$2:$C$700,MATCH($B66,'تحليل التكلفة والسعر'!$B$2:$B$700,0))</f>
        <v>65.0602</v>
      </c>
      <c r="E66" s="37" t="n">
        <f aca="false">D66-C66</f>
        <v>1.8111</v>
      </c>
      <c r="F66" s="38" t="n">
        <f aca="false">IF(C66=0,"",D66/C66-1)</f>
        <v>0.0286343995408629</v>
      </c>
      <c r="G66" s="37" t="n">
        <f aca="false">INDEX('تحليل التكلفة والسعر'!$D$2:$D$700,MATCH($B66,'تحليل التكلفة والسعر'!$B$2:$B$700,0))</f>
        <v>120</v>
      </c>
      <c r="H66" s="38" t="n">
        <f aca="false">IF(OR(G66="",G66=0),"",C66/G66)</f>
        <v>0.527075833333333</v>
      </c>
      <c r="I66" s="38" t="n">
        <f aca="false">IF(OR(G66="",G66=0),"",D66/G66)</f>
        <v>0.542168333333333</v>
      </c>
      <c r="J66" s="38" t="n">
        <f aca="false">IF(OR(H66="",I66=""),"",I66-H66)</f>
        <v>0.0150925</v>
      </c>
    </row>
    <row r="67" customFormat="false" ht="15" hidden="false" customHeight="false" outlineLevel="0" collapsed="false">
      <c r="A67" s="36" t="s">
        <v>11</v>
      </c>
      <c r="B67" s="36" t="s">
        <v>372</v>
      </c>
      <c r="C67" s="30" t="n">
        <v>38.5453</v>
      </c>
      <c r="D67" s="37" t="n">
        <f aca="false">INDEX('تحليل التكلفة والسعر'!$C$2:$C$700,MATCH($B67,'تحليل التكلفة والسعر'!$B$2:$B$700,0))</f>
        <v>39.631337</v>
      </c>
      <c r="E67" s="37" t="n">
        <f aca="false">D67-C67</f>
        <v>1.086037</v>
      </c>
      <c r="F67" s="38" t="n">
        <f aca="false">IF(C67=0,"",D67/C67-1)</f>
        <v>0.0281756011757595</v>
      </c>
      <c r="G67" s="37" t="n">
        <f aca="false">INDEX('تحليل التكلفة والسعر'!$D$2:$D$700,MATCH($B67,'تحليل التكلفة والسعر'!$B$2:$B$700,0))</f>
        <v>65</v>
      </c>
      <c r="H67" s="38" t="n">
        <f aca="false">IF(OR(G67="",G67=0),"",C67/G67)</f>
        <v>0.593004615384615</v>
      </c>
      <c r="I67" s="38" t="n">
        <f aca="false">IF(OR(G67="",G67=0),"",D67/G67)</f>
        <v>0.609712876923077</v>
      </c>
      <c r="J67" s="38" t="n">
        <f aca="false">IF(OR(H67="",I67=""),"",I67-H67)</f>
        <v>0.0167082615384616</v>
      </c>
    </row>
    <row r="68" customFormat="false" ht="15" hidden="false" customHeight="false" outlineLevel="0" collapsed="false">
      <c r="A68" s="36" t="s">
        <v>9</v>
      </c>
      <c r="B68" s="36" t="s">
        <v>373</v>
      </c>
      <c r="C68" s="30" t="n">
        <v>70.9291</v>
      </c>
      <c r="D68" s="37" t="n">
        <f aca="false">INDEX('تحليل التكلفة والسعر'!$C$2:$C$700,MATCH($B68,'تحليل التكلفة والسعر'!$B$2:$B$700,0))</f>
        <v>72.916</v>
      </c>
      <c r="E68" s="37" t="n">
        <f aca="false">D68-C68</f>
        <v>1.98689999999999</v>
      </c>
      <c r="F68" s="38" t="n">
        <f aca="false">IF(C68=0,"",D68/C68-1)</f>
        <v>0.0280124800681243</v>
      </c>
      <c r="G68" s="37" t="n">
        <f aca="false">INDEX('تحليل التكلفة والسعر'!$D$2:$D$700,MATCH($B68,'تحليل التكلفة والسعر'!$B$2:$B$700,0))</f>
        <v>130</v>
      </c>
      <c r="H68" s="38" t="n">
        <f aca="false">IF(OR(G68="",G68=0),"",C68/G68)</f>
        <v>0.545608461538462</v>
      </c>
      <c r="I68" s="38" t="n">
        <f aca="false">IF(OR(G68="",G68=0),"",D68/G68)</f>
        <v>0.560892307692308</v>
      </c>
      <c r="J68" s="38" t="n">
        <f aca="false">IF(OR(H68="",I68=""),"",I68-H68)</f>
        <v>0.0152838461538461</v>
      </c>
    </row>
    <row r="69" customFormat="false" ht="15" hidden="false" customHeight="false" outlineLevel="0" collapsed="false">
      <c r="A69" s="36" t="s">
        <v>15</v>
      </c>
      <c r="B69" s="36" t="s">
        <v>374</v>
      </c>
      <c r="C69" s="30" t="n">
        <v>17</v>
      </c>
      <c r="D69" s="37" t="n">
        <f aca="false">INDEX('تحليل التكلفة والسعر'!$C$2:$C$700,MATCH($B69,'تحليل التكلفة والسعر'!$B$2:$B$700,0))</f>
        <v>17.475</v>
      </c>
      <c r="E69" s="37" t="n">
        <f aca="false">D69-C69</f>
        <v>0.475000000000001</v>
      </c>
      <c r="F69" s="38" t="n">
        <f aca="false">IF(C69=0,"",D69/C69-1)</f>
        <v>0.0279411764705884</v>
      </c>
      <c r="G69" s="37" t="n">
        <f aca="false">INDEX('تحليل التكلفة والسعر'!$D$2:$D$700,MATCH($B69,'تحليل التكلفة والسعر'!$B$2:$B$700,0))</f>
        <v>40</v>
      </c>
      <c r="H69" s="38" t="n">
        <f aca="false">IF(OR(G69="",G69=0),"",C69/G69)</f>
        <v>0.425</v>
      </c>
      <c r="I69" s="38" t="n">
        <f aca="false">IF(OR(G69="",G69=0),"",D69/G69)</f>
        <v>0.436875</v>
      </c>
      <c r="J69" s="38" t="n">
        <f aca="false">IF(OR(H69="",I69=""),"",I69-H69)</f>
        <v>0.011875</v>
      </c>
    </row>
    <row r="70" customFormat="false" ht="15" hidden="false" customHeight="false" outlineLevel="0" collapsed="false">
      <c r="A70" s="36" t="s">
        <v>10</v>
      </c>
      <c r="B70" s="36" t="s">
        <v>375</v>
      </c>
      <c r="C70" s="30" t="n">
        <v>81.408</v>
      </c>
      <c r="D70" s="37" t="n">
        <f aca="false">INDEX('تحليل التكلفة والسعر'!$C$2:$C$700,MATCH($B70,'تحليل التكلفة والسعر'!$B$2:$B$700,0))</f>
        <v>79.3737</v>
      </c>
      <c r="E70" s="37" t="n">
        <f aca="false">D70-C70</f>
        <v>-2.0343</v>
      </c>
      <c r="F70" s="38" t="n">
        <f aca="false">IF(C70=0,"",D70/C70-1)</f>
        <v>-0.0249889445754717</v>
      </c>
      <c r="G70" s="37" t="n">
        <f aca="false">INDEX('تحليل التكلفة والسعر'!$D$2:$D$700,MATCH($B70,'تحليل التكلفة والسعر'!$B$2:$B$700,0))</f>
        <v>140</v>
      </c>
      <c r="H70" s="38" t="n">
        <f aca="false">IF(OR(G70="",G70=0),"",C70/G70)</f>
        <v>0.581485714285714</v>
      </c>
      <c r="I70" s="38" t="n">
        <f aca="false">IF(OR(G70="",G70=0),"",D70/G70)</f>
        <v>0.566955</v>
      </c>
      <c r="J70" s="38" t="n">
        <f aca="false">IF(OR(H70="",I70=""),"",I70-H70)</f>
        <v>-0.0145307142857143</v>
      </c>
    </row>
    <row r="71" customFormat="false" ht="15" hidden="false" customHeight="false" outlineLevel="0" collapsed="false">
      <c r="A71" s="36" t="s">
        <v>19</v>
      </c>
      <c r="B71" s="36" t="s">
        <v>376</v>
      </c>
      <c r="C71" s="30" t="n">
        <v>58.5187</v>
      </c>
      <c r="D71" s="37" t="n">
        <f aca="false">INDEX('تحليل التكلفة والسعر'!$C$2:$C$700,MATCH($B71,'تحليل التكلفة والسعر'!$B$2:$B$700,0))</f>
        <v>59.976</v>
      </c>
      <c r="E71" s="37" t="n">
        <f aca="false">D71-C71</f>
        <v>1.4573</v>
      </c>
      <c r="F71" s="38" t="n">
        <f aca="false">IF(C71=0,"",D71/C71-1)</f>
        <v>0.0249031506168114</v>
      </c>
      <c r="G71" s="37" t="n">
        <f aca="false">INDEX('تحليل التكلفة والسعر'!$D$2:$D$700,MATCH($B71,'تحليل التكلفة والسعر'!$B$2:$B$700,0))</f>
        <v>150</v>
      </c>
      <c r="H71" s="38" t="n">
        <f aca="false">IF(OR(G71="",G71=0),"",C71/G71)</f>
        <v>0.390124666666667</v>
      </c>
      <c r="I71" s="38" t="n">
        <f aca="false">IF(OR(G71="",G71=0),"",D71/G71)</f>
        <v>0.39984</v>
      </c>
      <c r="J71" s="38" t="n">
        <f aca="false">IF(OR(H71="",I71=""),"",I71-H71)</f>
        <v>0.0097153333333333</v>
      </c>
    </row>
    <row r="72" customFormat="false" ht="15" hidden="false" customHeight="false" outlineLevel="0" collapsed="false">
      <c r="A72" s="36" t="s">
        <v>10</v>
      </c>
      <c r="B72" s="36" t="s">
        <v>377</v>
      </c>
      <c r="C72" s="30" t="n">
        <v>112.45395</v>
      </c>
      <c r="D72" s="37" t="n">
        <f aca="false">INDEX('تحليل التكلفة والسعر'!$C$2:$C$700,MATCH($B72,'تحليل التكلفة والسعر'!$B$2:$B$700,0))</f>
        <v>109.6667</v>
      </c>
      <c r="E72" s="37" t="n">
        <f aca="false">D72-C72</f>
        <v>-2.78725000000001</v>
      </c>
      <c r="F72" s="38" t="n">
        <f aca="false">IF(C72=0,"",D72/C72-1)</f>
        <v>-0.0247857011692343</v>
      </c>
      <c r="G72" s="37" t="n">
        <f aca="false">INDEX('تحليل التكلفة والسعر'!$D$2:$D$700,MATCH($B72,'تحليل التكلفة والسعر'!$B$2:$B$700,0))</f>
        <v>240</v>
      </c>
      <c r="H72" s="38" t="n">
        <f aca="false">IF(OR(G72="",G72=0),"",C72/G72)</f>
        <v>0.468558125</v>
      </c>
      <c r="I72" s="38" t="n">
        <f aca="false">IF(OR(G72="",G72=0),"",D72/G72)</f>
        <v>0.456944583333333</v>
      </c>
      <c r="J72" s="38" t="n">
        <f aca="false">IF(OR(H72="",I72=""),"",I72-H72)</f>
        <v>-0.0116135416666667</v>
      </c>
    </row>
    <row r="73" customFormat="false" ht="15" hidden="false" customHeight="false" outlineLevel="0" collapsed="false">
      <c r="A73" s="36" t="s">
        <v>10</v>
      </c>
      <c r="B73" s="36" t="s">
        <v>378</v>
      </c>
      <c r="C73" s="30" t="n">
        <v>107.01645</v>
      </c>
      <c r="D73" s="37" t="n">
        <f aca="false">INDEX('تحليل التكلفة والسعر'!$C$2:$C$700,MATCH($B73,'تحليل التكلفة والسعر'!$B$2:$B$700,0))</f>
        <v>104.4167</v>
      </c>
      <c r="E73" s="37" t="n">
        <f aca="false">D73-C73</f>
        <v>-2.59975000000001</v>
      </c>
      <c r="F73" s="38" t="n">
        <f aca="false">IF(C73=0,"",D73/C73-1)</f>
        <v>-0.0242929942079</v>
      </c>
      <c r="G73" s="37" t="n">
        <f aca="false">INDEX('تحليل التكلفة والسعر'!$D$2:$D$700,MATCH($B73,'تحليل التكلفة والسعر'!$B$2:$B$700,0))</f>
        <v>240</v>
      </c>
      <c r="H73" s="38" t="n">
        <f aca="false">IF(OR(G73="",G73=0),"",C73/G73)</f>
        <v>0.445901875</v>
      </c>
      <c r="I73" s="38" t="n">
        <f aca="false">IF(OR(G73="",G73=0),"",D73/G73)</f>
        <v>0.435069583333333</v>
      </c>
      <c r="J73" s="38" t="n">
        <f aca="false">IF(OR(H73="",I73=""),"",I73-H73)</f>
        <v>-0.0108322916666667</v>
      </c>
    </row>
    <row r="74" customFormat="false" ht="15" hidden="false" customHeight="false" outlineLevel="0" collapsed="false">
      <c r="A74" s="36" t="s">
        <v>14</v>
      </c>
      <c r="B74" s="36" t="s">
        <v>379</v>
      </c>
      <c r="C74" s="30" t="n">
        <v>51.7323666666667</v>
      </c>
      <c r="D74" s="37" t="n">
        <f aca="false">INDEX('تحليل التكلفة والسعر'!$C$2:$C$700,MATCH($B74,'تحليل التكلفة والسعر'!$B$2:$B$700,0))</f>
        <v>50.5574125</v>
      </c>
      <c r="E74" s="37" t="n">
        <f aca="false">D74-C74</f>
        <v>-1.1749541666667</v>
      </c>
      <c r="F74" s="38" t="n">
        <f aca="false">IF(C74=0,"",D74/C74-1)</f>
        <v>-0.0227121673020959</v>
      </c>
      <c r="G74" s="37" t="n">
        <f aca="false">INDEX('تحليل التكلفة والسعر'!$D$2:$D$700,MATCH($B74,'تحليل التكلفة والسعر'!$B$2:$B$700,0))</f>
        <v>100</v>
      </c>
      <c r="H74" s="38" t="n">
        <f aca="false">IF(OR(G74="",G74=0),"",C74/G74)</f>
        <v>0.517323666666667</v>
      </c>
      <c r="I74" s="38" t="n">
        <f aca="false">IF(OR(G74="",G74=0),"",D74/G74)</f>
        <v>0.505574125</v>
      </c>
      <c r="J74" s="38" t="n">
        <f aca="false">IF(OR(H74="",I74=""),"",I74-H74)</f>
        <v>-0.011749541666667</v>
      </c>
    </row>
    <row r="75" customFormat="false" ht="15" hidden="false" customHeight="false" outlineLevel="0" collapsed="false">
      <c r="A75" s="36" t="s">
        <v>14</v>
      </c>
      <c r="B75" s="36" t="s">
        <v>380</v>
      </c>
      <c r="C75" s="30" t="n">
        <v>70.3623666666667</v>
      </c>
      <c r="D75" s="37" t="n">
        <f aca="false">INDEX('تحليل التكلفة والسعر'!$C$2:$C$700,MATCH($B75,'تحليل التكلفة والسعر'!$B$2:$B$700,0))</f>
        <v>68.8183125</v>
      </c>
      <c r="E75" s="37" t="n">
        <f aca="false">D75-C75</f>
        <v>-1.5440541666667</v>
      </c>
      <c r="F75" s="38" t="n">
        <f aca="false">IF(C75=0,"",D75/C75-1)</f>
        <v>-0.0219443182458809</v>
      </c>
      <c r="G75" s="37" t="n">
        <f aca="false">INDEX('تحليل التكلفة والسعر'!$D$2:$D$700,MATCH($B75,'تحليل التكلفة والسعر'!$B$2:$B$700,0))</f>
        <v>110</v>
      </c>
      <c r="H75" s="38" t="n">
        <f aca="false">IF(OR(G75="",G75=0),"",C75/G75)</f>
        <v>0.639657878787879</v>
      </c>
      <c r="I75" s="38" t="n">
        <f aca="false">IF(OR(G75="",G75=0),"",D75/G75)</f>
        <v>0.625621022727273</v>
      </c>
      <c r="J75" s="38" t="n">
        <f aca="false">IF(OR(H75="",I75=""),"",I75-H75)</f>
        <v>-0.0140368560606063</v>
      </c>
    </row>
    <row r="76" customFormat="false" ht="15" hidden="false" customHeight="false" outlineLevel="0" collapsed="false">
      <c r="A76" s="36" t="s">
        <v>19</v>
      </c>
      <c r="B76" s="36" t="s">
        <v>381</v>
      </c>
      <c r="C76" s="30" t="n">
        <v>67.2687</v>
      </c>
      <c r="D76" s="37" t="n">
        <f aca="false">INDEX('تحليل التكلفة والسعر'!$C$2:$C$700,MATCH($B76,'تحليل التكلفة والسعر'!$B$2:$B$700,0))</f>
        <v>68.726</v>
      </c>
      <c r="E76" s="37" t="n">
        <f aca="false">D76-C76</f>
        <v>1.4573</v>
      </c>
      <c r="F76" s="38" t="n">
        <f aca="false">IF(C76=0,"",D76/C76-1)</f>
        <v>0.0216638644718867</v>
      </c>
      <c r="G76" s="37" t="n">
        <f aca="false">INDEX('تحليل التكلفة والسعر'!$D$2:$D$700,MATCH($B76,'تحليل التكلفة والسعر'!$B$2:$B$700,0))</f>
        <v>160</v>
      </c>
      <c r="H76" s="38" t="n">
        <f aca="false">IF(OR(G76="",G76=0),"",C76/G76)</f>
        <v>0.420429375</v>
      </c>
      <c r="I76" s="38" t="n">
        <f aca="false">IF(OR(G76="",G76=0),"",D76/G76)</f>
        <v>0.4295375</v>
      </c>
      <c r="J76" s="38" t="n">
        <f aca="false">IF(OR(H76="",I76=""),"",I76-H76)</f>
        <v>0.00910812500000002</v>
      </c>
    </row>
    <row r="77" customFormat="false" ht="15" hidden="false" customHeight="false" outlineLevel="0" collapsed="false">
      <c r="A77" s="36" t="s">
        <v>13</v>
      </c>
      <c r="B77" s="36" t="s">
        <v>382</v>
      </c>
      <c r="C77" s="30" t="n">
        <v>92.4977</v>
      </c>
      <c r="D77" s="37" t="n">
        <f aca="false">INDEX('تحليل التكلفة والسعر'!$C$2:$C$700,MATCH($B77,'تحليل التكلفة والسعر'!$B$2:$B$700,0))</f>
        <v>90.521335</v>
      </c>
      <c r="E77" s="37" t="n">
        <f aca="false">D77-C77</f>
        <v>-1.976365</v>
      </c>
      <c r="F77" s="38" t="n">
        <f aca="false">IF(C77=0,"",D77/C77-1)</f>
        <v>-0.0213666393867091</v>
      </c>
      <c r="G77" s="37" t="n">
        <f aca="false">INDEX('تحليل التكلفة والسعر'!$D$2:$D$700,MATCH($B77,'تحليل التكلفة والسعر'!$B$2:$B$700,0))</f>
        <v>170</v>
      </c>
      <c r="H77" s="38" t="n">
        <f aca="false">IF(OR(G77="",G77=0),"",C77/G77)</f>
        <v>0.544104117647059</v>
      </c>
      <c r="I77" s="38" t="n">
        <f aca="false">IF(OR(G77="",G77=0),"",D77/G77)</f>
        <v>0.532478441176471</v>
      </c>
      <c r="J77" s="38" t="n">
        <f aca="false">IF(OR(H77="",I77=""),"",I77-H77)</f>
        <v>-0.0116256764705882</v>
      </c>
    </row>
    <row r="78" customFormat="false" ht="15" hidden="false" customHeight="false" outlineLevel="0" collapsed="false">
      <c r="A78" s="36" t="s">
        <v>10</v>
      </c>
      <c r="B78" s="36" t="s">
        <v>383</v>
      </c>
      <c r="C78" s="30" t="n">
        <v>66.9303</v>
      </c>
      <c r="D78" s="37" t="n">
        <f aca="false">INDEX('تحليل التكلفة والسعر'!$C$2:$C$700,MATCH($B78,'تحليل التكلفة والسعر'!$B$2:$B$700,0))</f>
        <v>68.296</v>
      </c>
      <c r="E78" s="37" t="n">
        <f aca="false">D78-C78</f>
        <v>1.3657</v>
      </c>
      <c r="F78" s="38" t="n">
        <f aca="false">IF(C78=0,"",D78/C78-1)</f>
        <v>0.0204048091820894</v>
      </c>
      <c r="G78" s="37" t="n">
        <f aca="false">INDEX('تحليل التكلفة والسعر'!$D$2:$D$700,MATCH($B78,'تحليل التكلفة والسعر'!$B$2:$B$700,0))</f>
        <v>130</v>
      </c>
      <c r="H78" s="38" t="n">
        <f aca="false">IF(OR(G78="",G78=0),"",C78/G78)</f>
        <v>0.514848461538462</v>
      </c>
      <c r="I78" s="38" t="n">
        <f aca="false">IF(OR(G78="",G78=0),"",D78/G78)</f>
        <v>0.525353846153846</v>
      </c>
      <c r="J78" s="38" t="n">
        <f aca="false">IF(OR(H78="",I78=""),"",I78-H78)</f>
        <v>0.0105053846153846</v>
      </c>
    </row>
    <row r="79" customFormat="false" ht="15" hidden="false" customHeight="false" outlineLevel="0" collapsed="false">
      <c r="A79" s="36" t="s">
        <v>10</v>
      </c>
      <c r="B79" s="36" t="s">
        <v>384</v>
      </c>
      <c r="C79" s="30" t="n">
        <v>106.15395</v>
      </c>
      <c r="D79" s="37" t="n">
        <f aca="false">INDEX('تحليل التكلفة والسعر'!$C$2:$C$700,MATCH($B79,'تحليل التكلفة والسعر'!$B$2:$B$700,0))</f>
        <v>104.131</v>
      </c>
      <c r="E79" s="37" t="n">
        <f aca="false">D79-C79</f>
        <v>-2.02294999999999</v>
      </c>
      <c r="F79" s="38" t="n">
        <f aca="false">IF(C79=0,"",D79/C79-1)</f>
        <v>-0.0190567567198394</v>
      </c>
      <c r="G79" s="37" t="n">
        <f aca="false">INDEX('تحليل التكلفة والسعر'!$D$2:$D$700,MATCH($B79,'تحليل التكلفة والسعر'!$B$2:$B$700,0))</f>
        <v>180</v>
      </c>
      <c r="H79" s="38" t="n">
        <f aca="false">IF(OR(G79="",G79=0),"",C79/G79)</f>
        <v>0.589744166666667</v>
      </c>
      <c r="I79" s="38" t="n">
        <f aca="false">IF(OR(G79="",G79=0),"",D79/G79)</f>
        <v>0.578505555555556</v>
      </c>
      <c r="J79" s="38" t="n">
        <f aca="false">IF(OR(H79="",I79=""),"",I79-H79)</f>
        <v>-0.011238611111111</v>
      </c>
    </row>
    <row r="80" customFormat="false" ht="15" hidden="false" customHeight="false" outlineLevel="0" collapsed="false">
      <c r="A80" s="36" t="s">
        <v>13</v>
      </c>
      <c r="B80" s="36" t="s">
        <v>385</v>
      </c>
      <c r="C80" s="30" t="n">
        <v>78.02</v>
      </c>
      <c r="D80" s="37" t="n">
        <f aca="false">INDEX('تحليل التكلفة والسعر'!$C$2:$C$700,MATCH($B80,'تحليل التكلفة والسعر'!$B$2:$B$700,0))</f>
        <v>79.443635</v>
      </c>
      <c r="E80" s="37" t="n">
        <f aca="false">D80-C80</f>
        <v>1.423635</v>
      </c>
      <c r="F80" s="38" t="n">
        <f aca="false">IF(C80=0,"",D80/C80-1)</f>
        <v>0.018247052037939</v>
      </c>
      <c r="G80" s="37" t="n">
        <f aca="false">INDEX('تحليل التكلفة والسعر'!$D$2:$D$700,MATCH($B80,'تحليل التكلفة والسعر'!$B$2:$B$700,0))</f>
        <v>130</v>
      </c>
      <c r="H80" s="38" t="n">
        <f aca="false">IF(OR(G80="",G80=0),"",C80/G80)</f>
        <v>0.600153846153846</v>
      </c>
      <c r="I80" s="38" t="n">
        <f aca="false">IF(OR(G80="",G80=0),"",D80/G80)</f>
        <v>0.611104884615385</v>
      </c>
      <c r="J80" s="38" t="n">
        <f aca="false">IF(OR(H80="",I80=""),"",I80-H80)</f>
        <v>0.0109510384615384</v>
      </c>
    </row>
    <row r="81" customFormat="false" ht="15" hidden="false" customHeight="false" outlineLevel="0" collapsed="false">
      <c r="A81" s="36" t="s">
        <v>15</v>
      </c>
      <c r="B81" s="36" t="s">
        <v>386</v>
      </c>
      <c r="C81" s="30" t="n">
        <v>24.6777</v>
      </c>
      <c r="D81" s="37" t="n">
        <f aca="false">INDEX('تحليل التكلفة والسعر'!$C$2:$C$700,MATCH($B81,'تحليل التكلفة والسعر'!$B$2:$B$700,0))</f>
        <v>25.1277</v>
      </c>
      <c r="E81" s="37" t="n">
        <f aca="false">D81-C81</f>
        <v>0.450000000000003</v>
      </c>
      <c r="F81" s="38" t="n">
        <f aca="false">IF(C81=0,"",D81/C81-1)</f>
        <v>0.0182350867382293</v>
      </c>
      <c r="G81" s="37" t="n">
        <f aca="false">INDEX('تحليل التكلفة والسعر'!$D$2:$D$700,MATCH($B81,'تحليل التكلفة والسعر'!$B$2:$B$700,0))</f>
        <v>50</v>
      </c>
      <c r="H81" s="38" t="n">
        <f aca="false">IF(OR(G81="",G81=0),"",C81/G81)</f>
        <v>0.493554</v>
      </c>
      <c r="I81" s="38" t="n">
        <f aca="false">IF(OR(G81="",G81=0),"",D81/G81)</f>
        <v>0.502554</v>
      </c>
      <c r="J81" s="38" t="n">
        <f aca="false">IF(OR(H81="",I81=""),"",I81-H81)</f>
        <v>0.00900000000000001</v>
      </c>
    </row>
    <row r="82" customFormat="false" ht="15" hidden="false" customHeight="false" outlineLevel="0" collapsed="false">
      <c r="A82" s="36" t="s">
        <v>310</v>
      </c>
      <c r="B82" s="36" t="s">
        <v>387</v>
      </c>
      <c r="C82" s="30" t="n">
        <v>6.875</v>
      </c>
      <c r="D82" s="37" t="n">
        <f aca="false">INDEX('تحليل التكلفة والسعر'!$C$2:$C$700,MATCH($B82,'تحليل التكلفة والسعر'!$B$2:$B$700,0))</f>
        <v>7</v>
      </c>
      <c r="E82" s="37" t="n">
        <f aca="false">D82-C82</f>
        <v>0.125</v>
      </c>
      <c r="F82" s="38" t="n">
        <f aca="false">IF(C82=0,"",D82/C82-1)</f>
        <v>0.0181818181818181</v>
      </c>
      <c r="G82" s="37" t="n">
        <f aca="false">INDEX('تحليل التكلفة والسعر'!$D$2:$D$700,MATCH($B82,'تحليل التكلفة والسعر'!$B$2:$B$700,0))</f>
        <v>24.5</v>
      </c>
      <c r="H82" s="38" t="n">
        <f aca="false">IF(OR(G82="",G82=0),"",C82/G82)</f>
        <v>0.280612244897959</v>
      </c>
      <c r="I82" s="38" t="n">
        <f aca="false">IF(OR(G82="",G82=0),"",D82/G82)</f>
        <v>0.285714285714286</v>
      </c>
      <c r="J82" s="38" t="n">
        <f aca="false">IF(OR(H82="",I82=""),"",I82-H82)</f>
        <v>0.00510204081632654</v>
      </c>
    </row>
    <row r="83" customFormat="false" ht="15" hidden="false" customHeight="false" outlineLevel="0" collapsed="false">
      <c r="A83" s="36" t="s">
        <v>310</v>
      </c>
      <c r="B83" s="36" t="s">
        <v>388</v>
      </c>
      <c r="C83" s="30" t="n">
        <v>10.3125</v>
      </c>
      <c r="D83" s="37" t="n">
        <f aca="false">INDEX('تحليل التكلفة والسعر'!$C$2:$C$700,MATCH($B83,'تحليل التكلفة والسعر'!$B$2:$B$700,0))</f>
        <v>10.5</v>
      </c>
      <c r="E83" s="37" t="n">
        <f aca="false">D83-C83</f>
        <v>0.1875</v>
      </c>
      <c r="F83" s="38" t="n">
        <f aca="false">IF(C83=0,"",D83/C83-1)</f>
        <v>0.0181818181818181</v>
      </c>
      <c r="G83" s="37" t="n">
        <f aca="false">INDEX('تحليل التكلفة والسعر'!$D$2:$D$700,MATCH($B83,'تحليل التكلفة والسعر'!$B$2:$B$700,0))</f>
        <v>30</v>
      </c>
      <c r="H83" s="38" t="n">
        <f aca="false">IF(OR(G83="",G83=0),"",C83/G83)</f>
        <v>0.34375</v>
      </c>
      <c r="I83" s="38" t="n">
        <f aca="false">IF(OR(G83="",G83=0),"",D83/G83)</f>
        <v>0.35</v>
      </c>
      <c r="J83" s="38" t="n">
        <f aca="false">IF(OR(H83="",I83=""),"",I83-H83)</f>
        <v>0.00624999999999998</v>
      </c>
    </row>
    <row r="84" customFormat="false" ht="15" hidden="false" customHeight="false" outlineLevel="0" collapsed="false">
      <c r="A84" s="36" t="s">
        <v>10</v>
      </c>
      <c r="B84" s="36" t="s">
        <v>389</v>
      </c>
      <c r="C84" s="30" t="n">
        <v>84.408</v>
      </c>
      <c r="D84" s="37" t="n">
        <f aca="false">INDEX('تحليل التكلفة والسعر'!$C$2:$C$700,MATCH($B84,'تحليل التكلفة والسعر'!$B$2:$B$700,0))</f>
        <v>82.8737</v>
      </c>
      <c r="E84" s="37" t="n">
        <f aca="false">D84-C84</f>
        <v>-1.5343</v>
      </c>
      <c r="F84" s="38" t="n">
        <f aca="false">IF(C84=0,"",D84/C84-1)</f>
        <v>-0.0181771869964933</v>
      </c>
      <c r="G84" s="37" t="n">
        <f aca="false">INDEX('تحليل التكلفة والسعر'!$D$2:$D$700,MATCH($B84,'تحليل التكلفة والسعر'!$B$2:$B$700,0))</f>
        <v>140</v>
      </c>
      <c r="H84" s="38" t="n">
        <f aca="false">IF(OR(G84="",G84=0),"",C84/G84)</f>
        <v>0.602914285714286</v>
      </c>
      <c r="I84" s="38" t="n">
        <f aca="false">IF(OR(G84="",G84=0),"",D84/G84)</f>
        <v>0.591955</v>
      </c>
      <c r="J84" s="38" t="n">
        <f aca="false">IF(OR(H84="",I84=""),"",I84-H84)</f>
        <v>-0.0109592857142857</v>
      </c>
    </row>
    <row r="85" customFormat="false" ht="15" hidden="false" customHeight="false" outlineLevel="0" collapsed="false">
      <c r="A85" s="36" t="s">
        <v>10</v>
      </c>
      <c r="B85" s="36" t="s">
        <v>390</v>
      </c>
      <c r="C85" s="30" t="n">
        <v>41.05</v>
      </c>
      <c r="D85" s="37" t="n">
        <f aca="false">INDEX('تحليل التكلفة والسعر'!$C$2:$C$700,MATCH($B85,'تحليل التكلفة والسعر'!$B$2:$B$700,0))</f>
        <v>41.766</v>
      </c>
      <c r="E85" s="37" t="n">
        <f aca="false">D85-C85</f>
        <v>0.716000000000001</v>
      </c>
      <c r="F85" s="38" t="n">
        <f aca="false">IF(C85=0,"",D85/C85-1)</f>
        <v>0.0174421437271621</v>
      </c>
      <c r="G85" s="37" t="n">
        <f aca="false">INDEX('تحليل التكلفة والسعر'!$D$2:$D$700,MATCH($B85,'تحليل التكلفة والسعر'!$B$2:$B$700,0))</f>
        <v>60</v>
      </c>
      <c r="H85" s="38" t="n">
        <f aca="false">IF(OR(G85="",G85=0),"",C85/G85)</f>
        <v>0.684166666666667</v>
      </c>
      <c r="I85" s="38" t="n">
        <f aca="false">IF(OR(G85="",G85=0),"",D85/G85)</f>
        <v>0.6961</v>
      </c>
      <c r="J85" s="38" t="n">
        <f aca="false">IF(OR(H85="",I85=""),"",I85-H85)</f>
        <v>0.0119333333333334</v>
      </c>
    </row>
    <row r="86" customFormat="false" ht="15" hidden="false" customHeight="false" outlineLevel="0" collapsed="false">
      <c r="A86" s="36" t="s">
        <v>10</v>
      </c>
      <c r="B86" s="36" t="s">
        <v>391</v>
      </c>
      <c r="C86" s="30" t="n">
        <v>78.9303</v>
      </c>
      <c r="D86" s="37" t="n">
        <f aca="false">INDEX('تحليل التكلفة والسعر'!$C$2:$C$700,MATCH($B86,'تحليل التكلفة والسعر'!$B$2:$B$700,0))</f>
        <v>77.5569</v>
      </c>
      <c r="E86" s="37" t="n">
        <f aca="false">D86-C86</f>
        <v>-1.3734</v>
      </c>
      <c r="F86" s="38" t="n">
        <f aca="false">IF(C86=0,"",D86/C86-1)</f>
        <v>-0.017400161915006</v>
      </c>
      <c r="G86" s="37" t="n">
        <f aca="false">INDEX('تحليل التكلفة والسعر'!$D$2:$D$700,MATCH($B86,'تحليل التكلفة والسعر'!$B$2:$B$700,0))</f>
        <v>150</v>
      </c>
      <c r="H86" s="38" t="n">
        <f aca="false">IF(OR(G86="",G86=0),"",C86/G86)</f>
        <v>0.526202</v>
      </c>
      <c r="I86" s="38" t="n">
        <f aca="false">IF(OR(G86="",G86=0),"",D86/G86)</f>
        <v>0.517046</v>
      </c>
      <c r="J86" s="38" t="n">
        <f aca="false">IF(OR(H86="",I86=""),"",I86-H86)</f>
        <v>-0.00915600000000005</v>
      </c>
    </row>
    <row r="87" customFormat="false" ht="15" hidden="false" customHeight="false" outlineLevel="0" collapsed="false">
      <c r="A87" s="36" t="s">
        <v>9</v>
      </c>
      <c r="B87" s="36" t="s">
        <v>392</v>
      </c>
      <c r="C87" s="30" t="n">
        <v>94.84215</v>
      </c>
      <c r="D87" s="37" t="n">
        <f aca="false">INDEX('تحليل التكلفة والسعر'!$C$2:$C$700,MATCH($B87,'تحليل التكلفة والسعر'!$B$2:$B$700,0))</f>
        <v>96.4593</v>
      </c>
      <c r="E87" s="37" t="n">
        <f aca="false">D87-C87</f>
        <v>1.61715</v>
      </c>
      <c r="F87" s="38" t="n">
        <f aca="false">IF(C87=0,"",D87/C87-1)</f>
        <v>0.0170509631002671</v>
      </c>
      <c r="G87" s="37" t="n">
        <f aca="false">INDEX('تحليل التكلفة والسعر'!$D$2:$D$700,MATCH($B87,'تحليل التكلفة والسعر'!$B$2:$B$700,0))</f>
        <v>190</v>
      </c>
      <c r="H87" s="38" t="n">
        <f aca="false">IF(OR(G87="",G87=0),"",C87/G87)</f>
        <v>0.499169210526316</v>
      </c>
      <c r="I87" s="38" t="n">
        <f aca="false">IF(OR(G87="",G87=0),"",D87/G87)</f>
        <v>0.507680526315789</v>
      </c>
      <c r="J87" s="38" t="n">
        <f aca="false">IF(OR(H87="",I87=""),"",I87-H87)</f>
        <v>0.00851131578947362</v>
      </c>
    </row>
    <row r="88" customFormat="false" ht="15" hidden="false" customHeight="false" outlineLevel="0" collapsed="false">
      <c r="A88" s="36" t="s">
        <v>10</v>
      </c>
      <c r="B88" s="36" t="s">
        <v>393</v>
      </c>
      <c r="C88" s="30" t="n">
        <v>75.3053</v>
      </c>
      <c r="D88" s="37" t="n">
        <f aca="false">INDEX('تحليل التكلفة والسعر'!$C$2:$C$700,MATCH($B88,'تحليل التكلفة والسعر'!$B$2:$B$700,0))</f>
        <v>74.0569</v>
      </c>
      <c r="E88" s="37" t="n">
        <f aca="false">D88-C88</f>
        <v>-1.2484</v>
      </c>
      <c r="F88" s="38" t="n">
        <f aca="false">IF(C88=0,"",D88/C88-1)</f>
        <v>-0.0165778504301822</v>
      </c>
      <c r="G88" s="37" t="n">
        <f aca="false">INDEX('تحليل التكلفة والسعر'!$D$2:$D$700,MATCH($B88,'تحليل التكلفة والسعر'!$B$2:$B$700,0))</f>
        <v>150</v>
      </c>
      <c r="H88" s="38" t="n">
        <f aca="false">IF(OR(G88="",G88=0),"",C88/G88)</f>
        <v>0.502035333333333</v>
      </c>
      <c r="I88" s="38" t="n">
        <f aca="false">IF(OR(G88="",G88=0),"",D88/G88)</f>
        <v>0.493712666666667</v>
      </c>
      <c r="J88" s="38" t="n">
        <f aca="false">IF(OR(H88="",I88=""),"",I88-H88)</f>
        <v>-0.00832266666666676</v>
      </c>
    </row>
    <row r="89" customFormat="false" ht="15" hidden="false" customHeight="false" outlineLevel="0" collapsed="false">
      <c r="A89" s="36" t="s">
        <v>9</v>
      </c>
      <c r="B89" s="36" t="s">
        <v>394</v>
      </c>
      <c r="C89" s="30" t="n">
        <v>85.4068</v>
      </c>
      <c r="D89" s="37" t="n">
        <f aca="false">INDEX('تحليل التكلفة والسعر'!$C$2:$C$700,MATCH($B89,'تحليل التكلفة والسعر'!$B$2:$B$700,0))</f>
        <v>83.9937</v>
      </c>
      <c r="E89" s="37" t="n">
        <f aca="false">D89-C89</f>
        <v>-1.4131</v>
      </c>
      <c r="F89" s="38" t="n">
        <f aca="false">IF(C89=0,"",D89/C89-1)</f>
        <v>-0.0165455209655437</v>
      </c>
      <c r="G89" s="37" t="n">
        <f aca="false">INDEX('تحليل التكلفة والسعر'!$D$2:$D$700,MATCH($B89,'تحليل التكلفة والسعر'!$B$2:$B$700,0))</f>
        <v>140</v>
      </c>
      <c r="H89" s="38" t="n">
        <f aca="false">IF(OR(G89="",G89=0),"",C89/G89)</f>
        <v>0.610048571428572</v>
      </c>
      <c r="I89" s="38" t="n">
        <f aca="false">IF(OR(G89="",G89=0),"",D89/G89)</f>
        <v>0.599955</v>
      </c>
      <c r="J89" s="38" t="n">
        <f aca="false">IF(OR(H89="",I89=""),"",I89-H89)</f>
        <v>-0.0100935714285715</v>
      </c>
    </row>
    <row r="90" customFormat="false" ht="15" hidden="false" customHeight="false" outlineLevel="0" collapsed="false">
      <c r="A90" s="36" t="s">
        <v>9</v>
      </c>
      <c r="B90" s="36" t="s">
        <v>395</v>
      </c>
      <c r="C90" s="30" t="n">
        <v>195.27215</v>
      </c>
      <c r="D90" s="37" t="n">
        <f aca="false">INDEX('تحليل التكلفة والسعر'!$C$2:$C$700,MATCH($B90,'تحليل التكلفة والسعر'!$B$2:$B$700,0))</f>
        <v>192.0704</v>
      </c>
      <c r="E90" s="37" t="n">
        <f aca="false">D90-C90</f>
        <v>-3.20175</v>
      </c>
      <c r="F90" s="38" t="n">
        <f aca="false">IF(C90=0,"",D90/C90-1)</f>
        <v>-0.0163963473541926</v>
      </c>
      <c r="G90" s="37" t="n">
        <f aca="false">INDEX('تحليل التكلفة والسعر'!$D$2:$D$700,MATCH($B90,'تحليل التكلفة والسعر'!$B$2:$B$700,0))</f>
        <v>350</v>
      </c>
      <c r="H90" s="38" t="n">
        <f aca="false">IF(OR(G90="",G90=0),"",C90/G90)</f>
        <v>0.557920428571429</v>
      </c>
      <c r="I90" s="38" t="n">
        <f aca="false">IF(OR(G90="",G90=0),"",D90/G90)</f>
        <v>0.548772571428572</v>
      </c>
      <c r="J90" s="38" t="n">
        <f aca="false">IF(OR(H90="",I90=""),"",I90-H90)</f>
        <v>-0.00914785714285715</v>
      </c>
    </row>
    <row r="91" customFormat="false" ht="15" hidden="false" customHeight="false" outlineLevel="0" collapsed="false">
      <c r="A91" s="36" t="s">
        <v>9</v>
      </c>
      <c r="B91" s="36" t="s">
        <v>396</v>
      </c>
      <c r="C91" s="30" t="n">
        <v>125.9291</v>
      </c>
      <c r="D91" s="37" t="n">
        <f aca="false">INDEX('تحليل التكلفة والسعر'!$C$2:$C$700,MATCH($B91,'تحليل التكلفة والسعر'!$B$2:$B$700,0))</f>
        <v>127.916</v>
      </c>
      <c r="E91" s="37" t="n">
        <f aca="false">D91-C91</f>
        <v>1.98689999999999</v>
      </c>
      <c r="F91" s="38" t="n">
        <f aca="false">IF(C91=0,"",D91/C91-1)</f>
        <v>0.0157779258328694</v>
      </c>
      <c r="G91" s="37" t="n">
        <f aca="false">INDEX('تحليل التكلفة والسعر'!$D$2:$D$700,MATCH($B91,'تحليل التكلفة والسعر'!$B$2:$B$700,0))</f>
        <v>220</v>
      </c>
      <c r="H91" s="38" t="n">
        <f aca="false">IF(OR(G91="",G91=0),"",C91/G91)</f>
        <v>0.572405</v>
      </c>
      <c r="I91" s="38" t="n">
        <f aca="false">IF(OR(G91="",G91=0),"",D91/G91)</f>
        <v>0.581436363636364</v>
      </c>
      <c r="J91" s="38" t="n">
        <f aca="false">IF(OR(H91="",I91=""),"",I91-H91)</f>
        <v>0.00903136363636359</v>
      </c>
    </row>
    <row r="92" customFormat="false" ht="15" hidden="false" customHeight="false" outlineLevel="0" collapsed="false">
      <c r="A92" s="36" t="s">
        <v>13</v>
      </c>
      <c r="B92" s="36" t="s">
        <v>397</v>
      </c>
      <c r="C92" s="30" t="n">
        <v>95.4977</v>
      </c>
      <c r="D92" s="37" t="n">
        <f aca="false">INDEX('تحليل التكلفة والسعر'!$C$2:$C$700,MATCH($B92,'تحليل التكلفة والسعر'!$B$2:$B$700,0))</f>
        <v>94.021335</v>
      </c>
      <c r="E92" s="37" t="n">
        <f aca="false">D92-C92</f>
        <v>-1.476365</v>
      </c>
      <c r="F92" s="38" t="n">
        <f aca="false">IF(C92=0,"",D92/C92-1)</f>
        <v>-0.0154596916993812</v>
      </c>
      <c r="G92" s="37" t="n">
        <f aca="false">INDEX('تحليل التكلفة والسعر'!$D$2:$D$700,MATCH($B92,'تحليل التكلفة والسعر'!$B$2:$B$700,0))</f>
        <v>170</v>
      </c>
      <c r="H92" s="38" t="n">
        <f aca="false">IF(OR(G92="",G92=0),"",C92/G92)</f>
        <v>0.561751176470588</v>
      </c>
      <c r="I92" s="38" t="n">
        <f aca="false">IF(OR(G92="",G92=0),"",D92/G92)</f>
        <v>0.553066676470588</v>
      </c>
      <c r="J92" s="38" t="n">
        <f aca="false">IF(OR(H92="",I92=""),"",I92-H92)</f>
        <v>-0.0086845000000001</v>
      </c>
    </row>
    <row r="93" customFormat="false" ht="15" hidden="false" customHeight="false" outlineLevel="0" collapsed="false">
      <c r="A93" s="36" t="s">
        <v>10</v>
      </c>
      <c r="B93" s="36" t="s">
        <v>398</v>
      </c>
      <c r="C93" s="30" t="n">
        <v>62.45</v>
      </c>
      <c r="D93" s="37" t="n">
        <f aca="false">INDEX('تحليل التكلفة والسعر'!$C$2:$C$700,MATCH($B93,'تحليل التكلفة والسعر'!$B$2:$B$700,0))</f>
        <v>63.366</v>
      </c>
      <c r="E93" s="37" t="n">
        <f aca="false">D93-C93</f>
        <v>0.915999999999997</v>
      </c>
      <c r="F93" s="38" t="n">
        <f aca="false">IF(C93=0,"",D93/C93-1)</f>
        <v>0.0146677341873498</v>
      </c>
      <c r="G93" s="37" t="n">
        <f aca="false">INDEX('تحليل التكلفة والسعر'!$D$2:$D$700,MATCH($B93,'تحليل التكلفة والسعر'!$B$2:$B$700,0))</f>
        <v>100</v>
      </c>
      <c r="H93" s="38" t="n">
        <f aca="false">IF(OR(G93="",G93=0),"",C93/G93)</f>
        <v>0.6245</v>
      </c>
      <c r="I93" s="38" t="n">
        <f aca="false">IF(OR(G93="",G93=0),"",D93/G93)</f>
        <v>0.63366</v>
      </c>
      <c r="J93" s="38" t="n">
        <f aca="false">IF(OR(H93="",I93=""),"",I93-H93)</f>
        <v>0.00915999999999995</v>
      </c>
    </row>
    <row r="94" customFormat="false" ht="15" hidden="false" customHeight="false" outlineLevel="0" collapsed="false">
      <c r="A94" s="36" t="s">
        <v>9</v>
      </c>
      <c r="B94" s="36" t="s">
        <v>399</v>
      </c>
      <c r="C94" s="30" t="n">
        <v>106.59215</v>
      </c>
      <c r="D94" s="37" t="n">
        <f aca="false">INDEX('تحليل التكلفة والسعر'!$C$2:$C$700,MATCH($B94,'تحليل التكلفة والسعر'!$B$2:$B$700,0))</f>
        <v>105.0704</v>
      </c>
      <c r="E94" s="37" t="n">
        <f aca="false">D94-C94</f>
        <v>-1.52175000000001</v>
      </c>
      <c r="F94" s="38" t="n">
        <f aca="false">IF(C94=0,"",D94/C94-1)</f>
        <v>-0.0142763796395889</v>
      </c>
      <c r="G94" s="37" t="n">
        <f aca="false">INDEX('تحليل التكلفة والسعر'!$D$2:$D$700,MATCH($B94,'تحليل التكلفة والسعر'!$B$2:$B$700,0))</f>
        <v>180</v>
      </c>
      <c r="H94" s="38" t="n">
        <f aca="false">IF(OR(G94="",G94=0),"",C94/G94)</f>
        <v>0.592178611111111</v>
      </c>
      <c r="I94" s="38" t="n">
        <f aca="false">IF(OR(G94="",G94=0),"",D94/G94)</f>
        <v>0.583724444444444</v>
      </c>
      <c r="J94" s="38" t="n">
        <f aca="false">IF(OR(H94="",I94=""),"",I94-H94)</f>
        <v>-0.00845416666666676</v>
      </c>
    </row>
    <row r="95" customFormat="false" ht="15" hidden="false" customHeight="false" outlineLevel="0" collapsed="false">
      <c r="A95" s="36" t="s">
        <v>15</v>
      </c>
      <c r="B95" s="36" t="s">
        <v>400</v>
      </c>
      <c r="C95" s="30" t="n">
        <v>15.8277</v>
      </c>
      <c r="D95" s="37" t="n">
        <f aca="false">INDEX('تحليل التكلفة والسعر'!$C$2:$C$700,MATCH($B95,'تحليل التكلفة والسعر'!$B$2:$B$700,0))</f>
        <v>16.0527</v>
      </c>
      <c r="E95" s="37" t="n">
        <f aca="false">D95-C95</f>
        <v>0.225000000000001</v>
      </c>
      <c r="F95" s="38" t="n">
        <f aca="false">IF(C95=0,"",D95/C95-1)</f>
        <v>0.0142155840709643</v>
      </c>
      <c r="G95" s="37" t="n">
        <f aca="false">INDEX('تحليل التكلفة والسعر'!$D$2:$D$700,MATCH($B95,'تحليل التكلفة والسعر'!$B$2:$B$700,0))</f>
        <v>30</v>
      </c>
      <c r="H95" s="38" t="n">
        <f aca="false">IF(OR(G95="",G95=0),"",C95/G95)</f>
        <v>0.52759</v>
      </c>
      <c r="I95" s="38" t="n">
        <f aca="false">IF(OR(G95="",G95=0),"",D95/G95)</f>
        <v>0.53509</v>
      </c>
      <c r="J95" s="38" t="n">
        <f aca="false">IF(OR(H95="",I95=""),"",I95-H95)</f>
        <v>0.00750000000000006</v>
      </c>
    </row>
    <row r="96" customFormat="false" ht="15" hidden="false" customHeight="false" outlineLevel="0" collapsed="false">
      <c r="A96" s="36" t="s">
        <v>16</v>
      </c>
      <c r="B96" s="36" t="s">
        <v>401</v>
      </c>
      <c r="C96" s="30" t="n">
        <v>34.9291</v>
      </c>
      <c r="D96" s="37" t="n">
        <f aca="false">INDEX('تحليل التكلفة والسعر'!$C$2:$C$700,MATCH($B96,'تحليل التكلفة والسعر'!$B$2:$B$700,0))</f>
        <v>35.416</v>
      </c>
      <c r="E96" s="37" t="n">
        <f aca="false">D96-C96</f>
        <v>0.486899999999999</v>
      </c>
      <c r="F96" s="38" t="n">
        <f aca="false">IF(C96=0,"",D96/C96-1)</f>
        <v>0.0139396663526974</v>
      </c>
      <c r="G96" s="37" t="n">
        <f aca="false">INDEX('تحليل التكلفة والسعر'!$D$2:$D$700,MATCH($B96,'تحليل التكلفة والسعر'!$B$2:$B$700,0))</f>
        <v>80</v>
      </c>
      <c r="H96" s="38" t="n">
        <f aca="false">IF(OR(G96="",G96=0),"",C96/G96)</f>
        <v>0.43661375</v>
      </c>
      <c r="I96" s="38" t="n">
        <f aca="false">IF(OR(G96="",G96=0),"",D96/G96)</f>
        <v>0.4427</v>
      </c>
      <c r="J96" s="38" t="n">
        <f aca="false">IF(OR(H96="",I96=""),"",I96-H96)</f>
        <v>0.00608625000000002</v>
      </c>
    </row>
    <row r="97" customFormat="false" ht="15" hidden="false" customHeight="false" outlineLevel="0" collapsed="false">
      <c r="A97" s="36" t="s">
        <v>9</v>
      </c>
      <c r="B97" s="36" t="s">
        <v>402</v>
      </c>
      <c r="C97" s="30" t="n">
        <v>73.9291</v>
      </c>
      <c r="D97" s="37" t="n">
        <f aca="false">INDEX('تحليل التكلفة والسعر'!$C$2:$C$700,MATCH($B97,'تحليل التكلفة والسعر'!$B$2:$B$700,0))</f>
        <v>74.916</v>
      </c>
      <c r="E97" s="37" t="n">
        <f aca="false">D97-C97</f>
        <v>0.986899999999992</v>
      </c>
      <c r="F97" s="38" t="n">
        <f aca="false">IF(C97=0,"",D97/C97-1)</f>
        <v>0.0133492765365735</v>
      </c>
      <c r="G97" s="37" t="n">
        <f aca="false">INDEX('تحليل التكلفة والسعر'!$D$2:$D$700,MATCH($B97,'تحليل التكلفة والسعر'!$B$2:$B$700,0))</f>
        <v>120</v>
      </c>
      <c r="H97" s="38" t="n">
        <f aca="false">IF(OR(G97="",G97=0),"",C97/G97)</f>
        <v>0.616075833333333</v>
      </c>
      <c r="I97" s="38" t="n">
        <f aca="false">IF(OR(G97="",G97=0),"",D97/G97)</f>
        <v>0.6243</v>
      </c>
      <c r="J97" s="38" t="n">
        <f aca="false">IF(OR(H97="",I97=""),"",I97-H97)</f>
        <v>0.00822416666666659</v>
      </c>
    </row>
    <row r="98" customFormat="false" ht="15" hidden="false" customHeight="false" outlineLevel="0" collapsed="false">
      <c r="A98" s="36" t="s">
        <v>9</v>
      </c>
      <c r="B98" s="36" t="s">
        <v>403</v>
      </c>
      <c r="C98" s="30" t="n">
        <v>37.4291</v>
      </c>
      <c r="D98" s="37" t="n">
        <f aca="false">INDEX('تحليل التكلفة والسعر'!$C$2:$C$700,MATCH($B98,'تحليل التكلفة والسعر'!$B$2:$B$700,0))</f>
        <v>37.916</v>
      </c>
      <c r="E98" s="37" t="n">
        <f aca="false">D98-C98</f>
        <v>0.486899999999999</v>
      </c>
      <c r="F98" s="38" t="n">
        <f aca="false">IF(C98=0,"",D98/C98-1)</f>
        <v>0.0130085949167893</v>
      </c>
      <c r="G98" s="37" t="n">
        <f aca="false">INDEX('تحليل التكلفة والسعر'!$D$2:$D$700,MATCH($B98,'تحليل التكلفة والسعر'!$B$2:$B$700,0))</f>
        <v>80</v>
      </c>
      <c r="H98" s="38" t="n">
        <f aca="false">IF(OR(G98="",G98=0),"",C98/G98)</f>
        <v>0.46786375</v>
      </c>
      <c r="I98" s="38" t="n">
        <f aca="false">IF(OR(G98="",G98=0),"",D98/G98)</f>
        <v>0.47395</v>
      </c>
      <c r="J98" s="38" t="n">
        <f aca="false">IF(OR(H98="",I98=""),"",I98-H98)</f>
        <v>0.00608625000000002</v>
      </c>
    </row>
    <row r="99" customFormat="false" ht="15" hidden="false" customHeight="false" outlineLevel="0" collapsed="false">
      <c r="A99" s="36" t="s">
        <v>10</v>
      </c>
      <c r="B99" s="36" t="s">
        <v>404</v>
      </c>
      <c r="C99" s="30" t="n">
        <v>87.85</v>
      </c>
      <c r="D99" s="37" t="n">
        <f aca="false">INDEX('تحليل التكلفة والسعر'!$C$2:$C$700,MATCH($B99,'تحليل التكلفة والسعر'!$B$2:$B$700,0))</f>
        <v>88.966</v>
      </c>
      <c r="E99" s="37" t="n">
        <f aca="false">D99-C99</f>
        <v>1.11600000000001</v>
      </c>
      <c r="F99" s="38" t="n">
        <f aca="false">IF(C99=0,"",D99/C99-1)</f>
        <v>0.0127034718269781</v>
      </c>
      <c r="G99" s="37" t="n">
        <f aca="false">INDEX('تحليل التكلفة والسعر'!$D$2:$D$700,MATCH($B99,'تحليل التكلفة والسعر'!$B$2:$B$700,0))</f>
        <v>160</v>
      </c>
      <c r="H99" s="38" t="n">
        <f aca="false">IF(OR(G99="",G99=0),"",C99/G99)</f>
        <v>0.5490625</v>
      </c>
      <c r="I99" s="38" t="n">
        <f aca="false">IF(OR(G99="",G99=0),"",D99/G99)</f>
        <v>0.5560375</v>
      </c>
      <c r="J99" s="38" t="n">
        <f aca="false">IF(OR(H99="",I99=""),"",I99-H99)</f>
        <v>0.00697500000000006</v>
      </c>
    </row>
    <row r="100" customFormat="false" ht="15" hidden="false" customHeight="false" outlineLevel="0" collapsed="false">
      <c r="A100" s="36" t="s">
        <v>10</v>
      </c>
      <c r="B100" s="36" t="s">
        <v>405</v>
      </c>
      <c r="C100" s="30" t="n">
        <v>156.65395</v>
      </c>
      <c r="D100" s="37" t="n">
        <f aca="false">INDEX('تحليل التكلفة والسعر'!$C$2:$C$700,MATCH($B100,'تحليل التكلفة والسعر'!$B$2:$B$700,0))</f>
        <v>158.5199</v>
      </c>
      <c r="E100" s="37" t="n">
        <f aca="false">D100-C100</f>
        <v>1.86595</v>
      </c>
      <c r="F100" s="38" t="n">
        <f aca="false">IF(C100=0,"",D100/C100-1)</f>
        <v>0.0119112859905544</v>
      </c>
      <c r="G100" s="37" t="n">
        <f aca="false">INDEX('تحليل التكلفة والسعر'!$D$2:$D$700,MATCH($B100,'تحليل التكلفة والسعر'!$B$2:$B$700,0))</f>
        <v>320</v>
      </c>
      <c r="H100" s="38" t="n">
        <f aca="false">IF(OR(G100="",G100=0),"",C100/G100)</f>
        <v>0.48954359375</v>
      </c>
      <c r="I100" s="38" t="n">
        <f aca="false">IF(OR(G100="",G100=0),"",D100/G100)</f>
        <v>0.4953746875</v>
      </c>
      <c r="J100" s="38" t="n">
        <f aca="false">IF(OR(H100="",I100=""),"",I100-H100)</f>
        <v>0.00583109375000002</v>
      </c>
    </row>
    <row r="101" customFormat="false" ht="15" hidden="false" customHeight="false" outlineLevel="0" collapsed="false">
      <c r="A101" s="36" t="s">
        <v>10</v>
      </c>
      <c r="B101" s="36" t="s">
        <v>406</v>
      </c>
      <c r="C101" s="30" t="n">
        <v>156.65395</v>
      </c>
      <c r="D101" s="37" t="n">
        <f aca="false">INDEX('تحليل التكلفة والسعر'!$C$2:$C$700,MATCH($B101,'تحليل التكلفة والسعر'!$B$2:$B$700,0))</f>
        <v>158.5199</v>
      </c>
      <c r="E101" s="37" t="n">
        <f aca="false">D101-C101</f>
        <v>1.86595</v>
      </c>
      <c r="F101" s="38" t="n">
        <f aca="false">IF(C101=0,"",D101/C101-1)</f>
        <v>0.0119112859905544</v>
      </c>
      <c r="G101" s="37" t="n">
        <f aca="false">INDEX('تحليل التكلفة والسعر'!$D$2:$D$700,MATCH($B101,'تحليل التكلفة والسعر'!$B$2:$B$700,0))</f>
        <v>330</v>
      </c>
      <c r="H101" s="38" t="n">
        <f aca="false">IF(OR(G101="",G101=0),"",C101/G101)</f>
        <v>0.474708939393939</v>
      </c>
      <c r="I101" s="38" t="n">
        <f aca="false">IF(OR(G101="",G101=0),"",D101/G101)</f>
        <v>0.480363333333333</v>
      </c>
      <c r="J101" s="38" t="n">
        <f aca="false">IF(OR(H101="",I101=""),"",I101-H101)</f>
        <v>0.00565439393939393</v>
      </c>
    </row>
    <row r="102" customFormat="false" ht="15" hidden="false" customHeight="false" outlineLevel="0" collapsed="false">
      <c r="A102" s="36" t="s">
        <v>10</v>
      </c>
      <c r="B102" s="36" t="s">
        <v>407</v>
      </c>
      <c r="C102" s="30" t="n">
        <v>114.9303</v>
      </c>
      <c r="D102" s="37" t="n">
        <f aca="false">INDEX('تحليل التكلفة والسعر'!$C$2:$C$700,MATCH($B102,'تحليل التكلفة والسعر'!$B$2:$B$700,0))</f>
        <v>116.296</v>
      </c>
      <c r="E102" s="37" t="n">
        <f aca="false">D102-C102</f>
        <v>1.3657</v>
      </c>
      <c r="F102" s="38" t="n">
        <f aca="false">IF(C102=0,"",D102/C102-1)</f>
        <v>0.0118828542168601</v>
      </c>
      <c r="G102" s="37" t="n">
        <f aca="false">INDEX('تحليل التكلفة والسعر'!$D$2:$D$700,MATCH($B102,'تحليل التكلفة والسعر'!$B$2:$B$700,0))</f>
        <v>200</v>
      </c>
      <c r="H102" s="38" t="n">
        <f aca="false">IF(OR(G102="",G102=0),"",C102/G102)</f>
        <v>0.5746515</v>
      </c>
      <c r="I102" s="38" t="n">
        <f aca="false">IF(OR(G102="",G102=0),"",D102/G102)</f>
        <v>0.58148</v>
      </c>
      <c r="J102" s="38" t="n">
        <f aca="false">IF(OR(H102="",I102=""),"",I102-H102)</f>
        <v>0.00682850000000002</v>
      </c>
    </row>
    <row r="103" customFormat="false" ht="15" hidden="false" customHeight="false" outlineLevel="0" collapsed="false">
      <c r="A103" s="36" t="s">
        <v>17</v>
      </c>
      <c r="B103" s="36" t="s">
        <v>408</v>
      </c>
      <c r="C103" s="30" t="n">
        <v>46.16395</v>
      </c>
      <c r="D103" s="37" t="n">
        <f aca="false">INDEX('تحليل التكلفة والسعر'!$C$2:$C$700,MATCH($B103,'تحليل التكلفة والسعر'!$B$2:$B$700,0))</f>
        <v>45.631</v>
      </c>
      <c r="E103" s="37" t="n">
        <f aca="false">D103-C103</f>
        <v>-0.53295</v>
      </c>
      <c r="F103" s="38" t="n">
        <f aca="false">IF(C103=0,"",D103/C103-1)</f>
        <v>-0.0115447226677959</v>
      </c>
      <c r="G103" s="37" t="n">
        <f aca="false">INDEX('تحليل التكلفة والسعر'!$D$2:$D$700,MATCH($B103,'تحليل التكلفة والسعر'!$B$2:$B$700,0))</f>
        <v>110</v>
      </c>
      <c r="H103" s="38" t="n">
        <f aca="false">IF(OR(G103="",G103=0),"",C103/G103)</f>
        <v>0.419672272727273</v>
      </c>
      <c r="I103" s="38" t="n">
        <f aca="false">IF(OR(G103="",G103=0),"",D103/G103)</f>
        <v>0.414827272727273</v>
      </c>
      <c r="J103" s="38" t="n">
        <f aca="false">IF(OR(H103="",I103=""),"",I103-H103)</f>
        <v>-0.00484499999999999</v>
      </c>
    </row>
    <row r="104" customFormat="false" ht="15" hidden="false" customHeight="false" outlineLevel="0" collapsed="false">
      <c r="A104" s="36" t="s">
        <v>10</v>
      </c>
      <c r="B104" s="36" t="s">
        <v>409</v>
      </c>
      <c r="C104" s="30" t="n">
        <v>121.9303</v>
      </c>
      <c r="D104" s="37" t="n">
        <f aca="false">INDEX('تحليل التكلفة والسعر'!$C$2:$C$700,MATCH($B104,'تحليل التكلفة والسعر'!$B$2:$B$700,0))</f>
        <v>123.296</v>
      </c>
      <c r="E104" s="37" t="n">
        <f aca="false">D104-C104</f>
        <v>1.3657</v>
      </c>
      <c r="F104" s="38" t="n">
        <f aca="false">IF(C104=0,"",D104/C104-1)</f>
        <v>0.0112006613614499</v>
      </c>
      <c r="G104" s="37" t="n">
        <f aca="false">INDEX('تحليل التكلفة والسعر'!$D$2:$D$700,MATCH($B104,'تحليل التكلفة والسعر'!$B$2:$B$700,0))</f>
        <v>220</v>
      </c>
      <c r="H104" s="38" t="n">
        <f aca="false">IF(OR(G104="",G104=0),"",C104/G104)</f>
        <v>0.554228636363636</v>
      </c>
      <c r="I104" s="38" t="n">
        <f aca="false">IF(OR(G104="",G104=0),"",D104/G104)</f>
        <v>0.560436363636364</v>
      </c>
      <c r="J104" s="38" t="n">
        <f aca="false">IF(OR(H104="",I104=""),"",I104-H104)</f>
        <v>0.00620772727272723</v>
      </c>
    </row>
    <row r="105" customFormat="false" ht="15" hidden="false" customHeight="false" outlineLevel="0" collapsed="false">
      <c r="A105" s="36" t="s">
        <v>16</v>
      </c>
      <c r="B105" s="36" t="s">
        <v>410</v>
      </c>
      <c r="C105" s="30" t="n">
        <v>45.4291</v>
      </c>
      <c r="D105" s="37" t="n">
        <f aca="false">INDEX('تحليل التكلفة والسعر'!$C$2:$C$700,MATCH($B105,'تحليل التكلفة والسعر'!$B$2:$B$700,0))</f>
        <v>45.916</v>
      </c>
      <c r="E105" s="37" t="n">
        <f aca="false">D105-C105</f>
        <v>0.486899999999999</v>
      </c>
      <c r="F105" s="38" t="n">
        <f aca="false">IF(C105=0,"",D105/C105-1)</f>
        <v>0.0107177998243417</v>
      </c>
      <c r="G105" s="37" t="n">
        <f aca="false">INDEX('تحليل التكلفة والسعر'!$D$2:$D$700,MATCH($B105,'تحليل التكلفة والسعر'!$B$2:$B$700,0))</f>
        <v>120</v>
      </c>
      <c r="H105" s="38" t="n">
        <f aca="false">IF(OR(G105="",G105=0),"",C105/G105)</f>
        <v>0.378575833333333</v>
      </c>
      <c r="I105" s="38" t="n">
        <f aca="false">IF(OR(G105="",G105=0),"",D105/G105)</f>
        <v>0.382633333333333</v>
      </c>
      <c r="J105" s="38" t="n">
        <f aca="false">IF(OR(H105="",I105=""),"",I105-H105)</f>
        <v>0.00405749999999999</v>
      </c>
    </row>
    <row r="106" customFormat="false" ht="15" hidden="false" customHeight="false" outlineLevel="0" collapsed="false">
      <c r="A106" s="36" t="s">
        <v>9</v>
      </c>
      <c r="B106" s="36" t="s">
        <v>411</v>
      </c>
      <c r="C106" s="30" t="n">
        <v>88.4068</v>
      </c>
      <c r="D106" s="37" t="n">
        <f aca="false">INDEX('تحليل التكلفة والسعر'!$C$2:$C$700,MATCH($B106,'تحليل التكلفة والسعر'!$B$2:$B$700,0))</f>
        <v>87.4937</v>
      </c>
      <c r="E106" s="37" t="n">
        <f aca="false">D106-C106</f>
        <v>-0.9131</v>
      </c>
      <c r="F106" s="38" t="n">
        <f aca="false">IF(C106=0,"",D106/C106-1)</f>
        <v>-0.0103283910287444</v>
      </c>
      <c r="G106" s="37" t="n">
        <f aca="false">INDEX('تحليل التكلفة والسعر'!$D$2:$D$700,MATCH($B106,'تحليل التكلفة والسعر'!$B$2:$B$700,0))</f>
        <v>140</v>
      </c>
      <c r="H106" s="38" t="n">
        <f aca="false">IF(OR(G106="",G106=0),"",C106/G106)</f>
        <v>0.631477142857143</v>
      </c>
      <c r="I106" s="38" t="n">
        <f aca="false">IF(OR(G106="",G106=0),"",D106/G106)</f>
        <v>0.624955</v>
      </c>
      <c r="J106" s="38" t="n">
        <f aca="false">IF(OR(H106="",I106=""),"",I106-H106)</f>
        <v>-0.00652214285714281</v>
      </c>
    </row>
    <row r="107" customFormat="false" ht="15" hidden="false" customHeight="false" outlineLevel="0" collapsed="false">
      <c r="A107" s="36" t="s">
        <v>12</v>
      </c>
      <c r="B107" s="36" t="s">
        <v>412</v>
      </c>
      <c r="C107" s="30" t="n">
        <v>72.8087</v>
      </c>
      <c r="D107" s="37" t="n">
        <f aca="false">INDEX('تحليل التكلفة والسعر'!$C$2:$C$700,MATCH($B107,'تحليل التكلفة والسعر'!$B$2:$B$700,0))</f>
        <v>72.086</v>
      </c>
      <c r="E107" s="37" t="n">
        <f aca="false">D107-C107</f>
        <v>-0.722700000000003</v>
      </c>
      <c r="F107" s="38" t="n">
        <f aca="false">IF(C107=0,"",D107/C107-1)</f>
        <v>-0.00992601158927442</v>
      </c>
      <c r="G107" s="37" t="n">
        <f aca="false">INDEX('تحليل التكلفة والسعر'!$D$2:$D$700,MATCH($B107,'تحليل التكلفة والسعر'!$B$2:$B$700,0))</f>
        <v>140</v>
      </c>
      <c r="H107" s="38" t="n">
        <f aca="false">IF(OR(G107="",G107=0),"",C107/G107)</f>
        <v>0.520062142857143</v>
      </c>
      <c r="I107" s="38" t="n">
        <f aca="false">IF(OR(G107="",G107=0),"",D107/G107)</f>
        <v>0.5149</v>
      </c>
      <c r="J107" s="38" t="n">
        <f aca="false">IF(OR(H107="",I107=""),"",I107-H107)</f>
        <v>-0.00516214285714289</v>
      </c>
    </row>
    <row r="108" customFormat="false" ht="15" hidden="false" customHeight="false" outlineLevel="0" collapsed="false">
      <c r="A108" s="36" t="s">
        <v>21</v>
      </c>
      <c r="B108" s="36" t="s">
        <v>413</v>
      </c>
      <c r="C108" s="30" t="n">
        <v>75.6307</v>
      </c>
      <c r="D108" s="37" t="n">
        <f aca="false">INDEX('تحليل التكلفة والسعر'!$C$2:$C$700,MATCH($B108,'تحليل التكلفة والسعر'!$B$2:$B$700,0))</f>
        <v>74.8816558333333</v>
      </c>
      <c r="E108" s="37" t="n">
        <f aca="false">D108-C108</f>
        <v>-0.749044166666678</v>
      </c>
      <c r="F108" s="38" t="n">
        <f aca="false">IF(C108=0,"",D108/C108-1)</f>
        <v>-0.00990396977241626</v>
      </c>
      <c r="G108" s="37" t="n">
        <f aca="false">INDEX('تحليل التكلفة والسعر'!$D$2:$D$700,MATCH($B108,'تحليل التكلفة والسعر'!$B$2:$B$700,0))</f>
        <v>180</v>
      </c>
      <c r="H108" s="38" t="n">
        <f aca="false">IF(OR(G108="",G108=0),"",C108/G108)</f>
        <v>0.420170555555556</v>
      </c>
      <c r="I108" s="38" t="n">
        <f aca="false">IF(OR(G108="",G108=0),"",D108/G108)</f>
        <v>0.416009199074074</v>
      </c>
      <c r="J108" s="38" t="n">
        <f aca="false">IF(OR(H108="",I108=""),"",I108-H108)</f>
        <v>-0.00416135648148158</v>
      </c>
    </row>
    <row r="109" customFormat="false" ht="15" hidden="false" customHeight="false" outlineLevel="0" collapsed="false">
      <c r="A109" s="36" t="s">
        <v>9</v>
      </c>
      <c r="B109" s="36" t="s">
        <v>414</v>
      </c>
      <c r="C109" s="30" t="n">
        <v>82.9291</v>
      </c>
      <c r="D109" s="37" t="n">
        <f aca="false">INDEX('تحليل التكلفة والسعر'!$C$2:$C$700,MATCH($B109,'تحليل التكلفة والسعر'!$B$2:$B$700,0))</f>
        <v>82.1769</v>
      </c>
      <c r="E109" s="37" t="n">
        <f aca="false">D109-C109</f>
        <v>-0.752200000000002</v>
      </c>
      <c r="F109" s="38" t="n">
        <f aca="false">IF(C109=0,"",D109/C109-1)</f>
        <v>-0.00907039868996529</v>
      </c>
      <c r="G109" s="37" t="n">
        <f aca="false">INDEX('تحليل التكلفة والسعر'!$D$2:$D$700,MATCH($B109,'تحليل التكلفة والسعر'!$B$2:$B$700,0))</f>
        <v>140</v>
      </c>
      <c r="H109" s="38" t="n">
        <f aca="false">IF(OR(G109="",G109=0),"",C109/G109)</f>
        <v>0.592350714285714</v>
      </c>
      <c r="I109" s="38" t="n">
        <f aca="false">IF(OR(G109="",G109=0),"",D109/G109)</f>
        <v>0.586977857142857</v>
      </c>
      <c r="J109" s="38" t="n">
        <f aca="false">IF(OR(H109="",I109=""),"",I109-H109)</f>
        <v>-0.00537285714285707</v>
      </c>
    </row>
    <row r="110" customFormat="false" ht="15" hidden="false" customHeight="false" outlineLevel="0" collapsed="false">
      <c r="A110" s="36" t="s">
        <v>17</v>
      </c>
      <c r="B110" s="36" t="s">
        <v>415</v>
      </c>
      <c r="C110" s="30" t="n">
        <v>61.91395</v>
      </c>
      <c r="D110" s="37" t="n">
        <f aca="false">INDEX('تحليل التكلفة والسعر'!$C$2:$C$700,MATCH($B110,'تحليل التكلفة والسعر'!$B$2:$B$700,0))</f>
        <v>61.381</v>
      </c>
      <c r="E110" s="37" t="n">
        <f aca="false">D110-C110</f>
        <v>-0.53295</v>
      </c>
      <c r="F110" s="38" t="n">
        <f aca="false">IF(C110=0,"",D110/C110-1)</f>
        <v>-0.0086079146945075</v>
      </c>
      <c r="G110" s="37" t="n">
        <f aca="false">INDEX('تحليل التكلفة والسعر'!$D$2:$D$700,MATCH($B110,'تحليل التكلفة والسعر'!$B$2:$B$700,0))</f>
        <v>180</v>
      </c>
      <c r="H110" s="38" t="n">
        <f aca="false">IF(OR(G110="",G110=0),"",C110/G110)</f>
        <v>0.343966388888889</v>
      </c>
      <c r="I110" s="38" t="n">
        <f aca="false">IF(OR(G110="",G110=0),"",D110/G110)</f>
        <v>0.341005555555556</v>
      </c>
      <c r="J110" s="38" t="n">
        <f aca="false">IF(OR(H110="",I110=""),"",I110-H110)</f>
        <v>-0.0029608333333333</v>
      </c>
    </row>
    <row r="111" customFormat="false" ht="15" hidden="false" customHeight="false" outlineLevel="0" collapsed="false">
      <c r="A111" s="36" t="s">
        <v>21</v>
      </c>
      <c r="B111" s="36" t="s">
        <v>416</v>
      </c>
      <c r="C111" s="30" t="n">
        <v>58.6207</v>
      </c>
      <c r="D111" s="37" t="n">
        <f aca="false">INDEX('تحليل التكلفة والسعر'!$C$2:$C$700,MATCH($B111,'تحليل التكلفة والسعر'!$B$2:$B$700,0))</f>
        <v>58.1291558333333</v>
      </c>
      <c r="E111" s="37" t="n">
        <f aca="false">D111-C111</f>
        <v>-0.491544166666664</v>
      </c>
      <c r="F111" s="38" t="n">
        <f aca="false">IF(C111=0,"",D111/C111-1)</f>
        <v>-0.00838516371634357</v>
      </c>
      <c r="G111" s="37" t="n">
        <f aca="false">INDEX('تحليل التكلفة والسعر'!$D$2:$D$700,MATCH($B111,'تحليل التكلفة والسعر'!$B$2:$B$700,0))</f>
        <v>100</v>
      </c>
      <c r="H111" s="38" t="n">
        <f aca="false">IF(OR(G111="",G111=0),"",C111/G111)</f>
        <v>0.586207</v>
      </c>
      <c r="I111" s="38" t="n">
        <f aca="false">IF(OR(G111="",G111=0),"",D111/G111)</f>
        <v>0.581291558333333</v>
      </c>
      <c r="J111" s="38" t="n">
        <f aca="false">IF(OR(H111="",I111=""),"",I111-H111)</f>
        <v>-0.00491544166666669</v>
      </c>
    </row>
    <row r="112" customFormat="false" ht="15" hidden="false" customHeight="false" outlineLevel="0" collapsed="false">
      <c r="A112" s="36" t="s">
        <v>16</v>
      </c>
      <c r="B112" s="36" t="s">
        <v>417</v>
      </c>
      <c r="C112" s="30" t="n">
        <v>61.3291</v>
      </c>
      <c r="D112" s="37" t="n">
        <f aca="false">INDEX('تحليل التكلفة والسعر'!$C$2:$C$700,MATCH($B112,'تحليل التكلفة والسعر'!$B$2:$B$700,0))</f>
        <v>61.8184</v>
      </c>
      <c r="E112" s="37" t="n">
        <f aca="false">D112-C112</f>
        <v>0.4893</v>
      </c>
      <c r="F112" s="38" t="n">
        <f aca="false">IF(C112=0,"",D112/C112-1)</f>
        <v>0.00797826806524138</v>
      </c>
      <c r="G112" s="37" t="n">
        <f aca="false">INDEX('تحليل التكلفة والسعر'!$D$2:$D$700,MATCH($B112,'تحليل التكلفة والسعر'!$B$2:$B$700,0))</f>
        <v>110</v>
      </c>
      <c r="H112" s="38" t="n">
        <f aca="false">IF(OR(G112="",G112=0),"",C112/G112)</f>
        <v>0.557537272727273</v>
      </c>
      <c r="I112" s="38" t="n">
        <f aca="false">IF(OR(G112="",G112=0),"",D112/G112)</f>
        <v>0.561985454545455</v>
      </c>
      <c r="J112" s="38" t="n">
        <f aca="false">IF(OR(H112="",I112=""),"",I112-H112)</f>
        <v>0.00444818181818185</v>
      </c>
    </row>
    <row r="113" customFormat="false" ht="15" hidden="false" customHeight="false" outlineLevel="0" collapsed="false">
      <c r="A113" s="36" t="s">
        <v>9</v>
      </c>
      <c r="B113" s="36" t="s">
        <v>418</v>
      </c>
      <c r="C113" s="30" t="n">
        <v>79.3041</v>
      </c>
      <c r="D113" s="37" t="n">
        <f aca="false">INDEX('تحليل التكلفة والسعر'!$C$2:$C$700,MATCH($B113,'تحليل التكلفة والسعر'!$B$2:$B$700,0))</f>
        <v>78.6769</v>
      </c>
      <c r="E113" s="37" t="n">
        <f aca="false">D113-C113</f>
        <v>-0.627200000000002</v>
      </c>
      <c r="F113" s="38" t="n">
        <f aca="false">IF(C113=0,"",D113/C113-1)</f>
        <v>-0.00790879664481414</v>
      </c>
      <c r="G113" s="37" t="n">
        <f aca="false">INDEX('تحليل التكلفة والسعر'!$D$2:$D$700,MATCH($B113,'تحليل التكلفة والسعر'!$B$2:$B$700,0))</f>
        <v>140</v>
      </c>
      <c r="H113" s="38" t="n">
        <f aca="false">IF(OR(G113="",G113=0),"",C113/G113)</f>
        <v>0.566457857142857</v>
      </c>
      <c r="I113" s="38" t="n">
        <f aca="false">IF(OR(G113="",G113=0),"",D113/G113)</f>
        <v>0.561977857142857</v>
      </c>
      <c r="J113" s="38" t="n">
        <f aca="false">IF(OR(H113="",I113=""),"",I113-H113)</f>
        <v>-0.00448000000000004</v>
      </c>
    </row>
    <row r="114" customFormat="false" ht="15" hidden="false" customHeight="false" outlineLevel="0" collapsed="false">
      <c r="A114" s="36" t="s">
        <v>10</v>
      </c>
      <c r="B114" s="36" t="s">
        <v>419</v>
      </c>
      <c r="C114" s="30" t="n">
        <v>189.59395</v>
      </c>
      <c r="D114" s="37" t="n">
        <f aca="false">INDEX('تحليل التكلفة والسعر'!$C$2:$C$700,MATCH($B114,'تحليل التكلفة والسعر'!$B$2:$B$700,0))</f>
        <v>188.131</v>
      </c>
      <c r="E114" s="37" t="n">
        <f aca="false">D114-C114</f>
        <v>-1.46295000000001</v>
      </c>
      <c r="F114" s="38" t="n">
        <f aca="false">IF(C114=0,"",D114/C114-1)</f>
        <v>-0.00771622723193444</v>
      </c>
      <c r="G114" s="37" t="n">
        <f aca="false">INDEX('تحليل التكلفة والسعر'!$D$2:$D$700,MATCH($B114,'تحليل التكلفة والسعر'!$B$2:$B$700,0))</f>
        <v>350</v>
      </c>
      <c r="H114" s="38" t="n">
        <f aca="false">IF(OR(G114="",G114=0),"",C114/G114)</f>
        <v>0.541697</v>
      </c>
      <c r="I114" s="38" t="n">
        <f aca="false">IF(OR(G114="",G114=0),"",D114/G114)</f>
        <v>0.537517142857143</v>
      </c>
      <c r="J114" s="38" t="n">
        <f aca="false">IF(OR(H114="",I114=""),"",I114-H114)</f>
        <v>-0.00417985714285718</v>
      </c>
    </row>
    <row r="115" customFormat="false" ht="15" hidden="false" customHeight="false" outlineLevel="0" collapsed="false">
      <c r="A115" s="36" t="s">
        <v>17</v>
      </c>
      <c r="B115" s="36" t="s">
        <v>420</v>
      </c>
      <c r="C115" s="30" t="n">
        <v>189.59395</v>
      </c>
      <c r="D115" s="37" t="n">
        <f aca="false">INDEX('تحليل التكلفة والسعر'!$C$2:$C$700,MATCH($B115,'تحليل التكلفة والسعر'!$B$2:$B$700,0))</f>
        <v>188.131</v>
      </c>
      <c r="E115" s="37" t="n">
        <f aca="false">D115-C115</f>
        <v>-1.46295000000001</v>
      </c>
      <c r="F115" s="38" t="n">
        <f aca="false">IF(C115=0,"",D115/C115-1)</f>
        <v>-0.00771622723193444</v>
      </c>
      <c r="G115" s="37" t="n">
        <f aca="false">INDEX('تحليل التكلفة والسعر'!$D$2:$D$700,MATCH($B115,'تحليل التكلفة والسعر'!$B$2:$B$700,0))</f>
        <v>350</v>
      </c>
      <c r="H115" s="38" t="n">
        <f aca="false">IF(OR(G115="",G115=0),"",C115/G115)</f>
        <v>0.541697</v>
      </c>
      <c r="I115" s="38" t="n">
        <f aca="false">IF(OR(G115="",G115=0),"",D115/G115)</f>
        <v>0.537517142857143</v>
      </c>
      <c r="J115" s="38" t="n">
        <f aca="false">IF(OR(H115="",I115=""),"",I115-H115)</f>
        <v>-0.00417985714285718</v>
      </c>
    </row>
    <row r="116" customFormat="false" ht="15" hidden="false" customHeight="false" outlineLevel="0" collapsed="false">
      <c r="A116" s="36" t="s">
        <v>17</v>
      </c>
      <c r="B116" s="36" t="s">
        <v>421</v>
      </c>
      <c r="C116" s="30" t="n">
        <v>92.36395</v>
      </c>
      <c r="D116" s="37" t="n">
        <f aca="false">INDEX('تحليل التكلفة والسعر'!$C$2:$C$700,MATCH($B116,'تحليل التكلفة والسعر'!$B$2:$B$700,0))</f>
        <v>91.6693</v>
      </c>
      <c r="E116" s="37" t="n">
        <f aca="false">D116-C116</f>
        <v>-0.69465000000001</v>
      </c>
      <c r="F116" s="38" t="n">
        <f aca="false">IF(C116=0,"",D116/C116-1)</f>
        <v>-0.00752079139101358</v>
      </c>
      <c r="G116" s="37" t="n">
        <f aca="false">INDEX('تحليل التكلفة والسعر'!$D$2:$D$700,MATCH($B116,'تحليل التكلفة والسعر'!$B$2:$B$700,0))</f>
        <v>190</v>
      </c>
      <c r="H116" s="38" t="n">
        <f aca="false">IF(OR(G116="",G116=0),"",C116/G116)</f>
        <v>0.486126052631579</v>
      </c>
      <c r="I116" s="38" t="n">
        <f aca="false">IF(OR(G116="",G116=0),"",D116/G116)</f>
        <v>0.48247</v>
      </c>
      <c r="J116" s="38" t="n">
        <f aca="false">IF(OR(H116="",I116=""),"",I116-H116)</f>
        <v>-0.00365605263157903</v>
      </c>
    </row>
    <row r="117" customFormat="false" ht="15" hidden="false" customHeight="false" outlineLevel="0" collapsed="false">
      <c r="A117" s="36" t="s">
        <v>18</v>
      </c>
      <c r="B117" s="36" t="s">
        <v>422</v>
      </c>
      <c r="C117" s="30" t="n">
        <v>42.045</v>
      </c>
      <c r="D117" s="37" t="n">
        <f aca="false">INDEX('تحليل التكلفة والسعر'!$C$2:$C$700,MATCH($B117,'تحليل التكلفة والسعر'!$B$2:$B$700,0))</f>
        <v>42.3526</v>
      </c>
      <c r="E117" s="37" t="n">
        <f aca="false">D117-C117</f>
        <v>0.307600000000001</v>
      </c>
      <c r="F117" s="38" t="n">
        <f aca="false">IF(C117=0,"",D117/C117-1)</f>
        <v>0.00731597098347003</v>
      </c>
      <c r="G117" s="37" t="n">
        <f aca="false">INDEX('تحليل التكلفة والسعر'!$D$2:$D$700,MATCH($B117,'تحليل التكلفة والسعر'!$B$2:$B$700,0))</f>
        <v>130</v>
      </c>
      <c r="H117" s="38" t="n">
        <f aca="false">IF(OR(G117="",G117=0),"",C117/G117)</f>
        <v>0.323423076923077</v>
      </c>
      <c r="I117" s="38" t="n">
        <f aca="false">IF(OR(G117="",G117=0),"",D117/G117)</f>
        <v>0.325789230769231</v>
      </c>
      <c r="J117" s="38" t="n">
        <f aca="false">IF(OR(H117="",I117=""),"",I117-H117)</f>
        <v>0.00236615384615385</v>
      </c>
    </row>
    <row r="118" customFormat="false" ht="15" hidden="false" customHeight="false" outlineLevel="0" collapsed="false">
      <c r="A118" s="36" t="s">
        <v>17</v>
      </c>
      <c r="B118" s="36" t="s">
        <v>423</v>
      </c>
      <c r="C118" s="30" t="n">
        <v>89.06395</v>
      </c>
      <c r="D118" s="37" t="n">
        <f aca="false">INDEX('تحليل التكلفة والسعر'!$C$2:$C$700,MATCH($B118,'تحليل التكلفة والسعر'!$B$2:$B$700,0))</f>
        <v>88.45195</v>
      </c>
      <c r="E118" s="37" t="n">
        <f aca="false">D118-C118</f>
        <v>-0.612000000000009</v>
      </c>
      <c r="F118" s="38" t="n">
        <f aca="false">IF(C118=0,"",D118/C118-1)</f>
        <v>-0.00687146707506248</v>
      </c>
      <c r="G118" s="37" t="n">
        <f aca="false">INDEX('تحليل التكلفة والسعر'!$D$2:$D$700,MATCH($B118,'تحليل التكلفة والسعر'!$B$2:$B$700,0))</f>
        <v>210</v>
      </c>
      <c r="H118" s="38" t="n">
        <f aca="false">IF(OR(G118="",G118=0),"",C118/G118)</f>
        <v>0.424114047619048</v>
      </c>
      <c r="I118" s="38" t="n">
        <f aca="false">IF(OR(G118="",G118=0),"",D118/G118)</f>
        <v>0.421199761904762</v>
      </c>
      <c r="J118" s="38" t="n">
        <f aca="false">IF(OR(H118="",I118=""),"",I118-H118)</f>
        <v>-0.00291428571428576</v>
      </c>
    </row>
    <row r="119" customFormat="false" ht="15" hidden="false" customHeight="false" outlineLevel="0" collapsed="false">
      <c r="A119" s="36" t="s">
        <v>9</v>
      </c>
      <c r="B119" s="36" t="s">
        <v>424</v>
      </c>
      <c r="C119" s="30" t="n">
        <v>71.4291</v>
      </c>
      <c r="D119" s="37" t="n">
        <f aca="false">INDEX('تحليل التكلفة والسعر'!$C$2:$C$700,MATCH($B119,'تحليل التكلفة والسعر'!$B$2:$B$700,0))</f>
        <v>71.916</v>
      </c>
      <c r="E119" s="37" t="n">
        <f aca="false">D119-C119</f>
        <v>0.486899999999991</v>
      </c>
      <c r="F119" s="38" t="n">
        <f aca="false">IF(C119=0,"",D119/C119-1)</f>
        <v>0.00681654955753319</v>
      </c>
      <c r="G119" s="37" t="n">
        <f aca="false">INDEX('تحليل التكلفة والسعر'!$D$2:$D$700,MATCH($B119,'تحليل التكلفة والسعر'!$B$2:$B$700,0))</f>
        <v>120</v>
      </c>
      <c r="H119" s="38" t="n">
        <f aca="false">IF(OR(G119="",G119=0),"",C119/G119)</f>
        <v>0.5952425</v>
      </c>
      <c r="I119" s="38" t="n">
        <f aca="false">IF(OR(G119="",G119=0),"",D119/G119)</f>
        <v>0.5993</v>
      </c>
      <c r="J119" s="38" t="n">
        <f aca="false">IF(OR(H119="",I119=""),"",I119-H119)</f>
        <v>0.00405749999999994</v>
      </c>
    </row>
    <row r="120" customFormat="false" ht="15" hidden="false" customHeight="false" outlineLevel="0" collapsed="false">
      <c r="A120" s="36" t="s">
        <v>16</v>
      </c>
      <c r="B120" s="36" t="s">
        <v>425</v>
      </c>
      <c r="C120" s="30" t="n">
        <v>76.9291</v>
      </c>
      <c r="D120" s="37" t="n">
        <f aca="false">INDEX('تحليل التكلفة والسعر'!$C$2:$C$700,MATCH($B120,'تحليل التكلفة والسعر'!$B$2:$B$700,0))</f>
        <v>77.446</v>
      </c>
      <c r="E120" s="37" t="n">
        <f aca="false">D120-C120</f>
        <v>0.516899999999993</v>
      </c>
      <c r="F120" s="38" t="n">
        <f aca="false">IF(C120=0,"",D120/C120-1)</f>
        <v>0.00671917388868448</v>
      </c>
      <c r="G120" s="37" t="n">
        <f aca="false">INDEX('تحليل التكلفة والسعر'!$D$2:$D$700,MATCH($B120,'تحليل التكلفة والسعر'!$B$2:$B$700,0))</f>
        <v>170</v>
      </c>
      <c r="H120" s="38" t="n">
        <f aca="false">IF(OR(G120="",G120=0),"",C120/G120)</f>
        <v>0.452524117647059</v>
      </c>
      <c r="I120" s="38" t="n">
        <f aca="false">IF(OR(G120="",G120=0),"",D120/G120)</f>
        <v>0.455564705882353</v>
      </c>
      <c r="J120" s="38" t="n">
        <f aca="false">IF(OR(H120="",I120=""),"",I120-H120)</f>
        <v>0.00304058823529407</v>
      </c>
    </row>
    <row r="121" customFormat="false" ht="15" hidden="false" customHeight="false" outlineLevel="0" collapsed="false">
      <c r="A121" s="36" t="s">
        <v>310</v>
      </c>
      <c r="B121" s="36" t="s">
        <v>426</v>
      </c>
      <c r="C121" s="30" t="n">
        <v>95.62</v>
      </c>
      <c r="D121" s="37" t="n">
        <f aca="false">INDEX('تحليل التكلفة والسعر'!$C$2:$C$700,MATCH($B121,'تحليل التكلفة والسعر'!$B$2:$B$700,0))</f>
        <v>95</v>
      </c>
      <c r="E121" s="37" t="n">
        <f aca="false">D121-C121</f>
        <v>-0.620000000000005</v>
      </c>
      <c r="F121" s="38" t="n">
        <f aca="false">IF(C121=0,"",D121/C121-1)</f>
        <v>-0.00648399916335496</v>
      </c>
      <c r="G121" s="37" t="n">
        <f aca="false">INDEX('تحليل التكلفة والسعر'!$D$2:$D$700,MATCH($B121,'تحليل التكلفة والسعر'!$B$2:$B$700,0))</f>
        <v>130</v>
      </c>
      <c r="H121" s="38" t="n">
        <f aca="false">IF(OR(G121="",G121=0),"",C121/G121)</f>
        <v>0.735538461538462</v>
      </c>
      <c r="I121" s="38" t="n">
        <f aca="false">IF(OR(G121="",G121=0),"",D121/G121)</f>
        <v>0.730769230769231</v>
      </c>
      <c r="J121" s="38" t="n">
        <f aca="false">IF(OR(H121="",I121=""),"",I121-H121)</f>
        <v>-0.00476923076923086</v>
      </c>
    </row>
    <row r="122" customFormat="false" ht="15" hidden="false" customHeight="false" outlineLevel="0" collapsed="false">
      <c r="A122" s="36" t="s">
        <v>16</v>
      </c>
      <c r="B122" s="36" t="s">
        <v>427</v>
      </c>
      <c r="C122" s="30" t="n">
        <v>47.84215</v>
      </c>
      <c r="D122" s="37" t="n">
        <f aca="false">INDEX('تحليل التكلفة والسعر'!$C$2:$C$700,MATCH($B122,'تحليل التكلفة والسعر'!$B$2:$B$700,0))</f>
        <v>48.151</v>
      </c>
      <c r="E122" s="37" t="n">
        <f aca="false">D122-C122</f>
        <v>0.30885</v>
      </c>
      <c r="F122" s="38" t="n">
        <f aca="false">IF(C122=0,"",D122/C122-1)</f>
        <v>0.00645560452446214</v>
      </c>
      <c r="G122" s="37" t="n">
        <f aca="false">INDEX('تحليل التكلفة والسعر'!$D$2:$D$700,MATCH($B122,'تحليل التكلفة والسعر'!$B$2:$B$700,0))</f>
        <v>110</v>
      </c>
      <c r="H122" s="38" t="n">
        <f aca="false">IF(OR(G122="",G122=0),"",C122/G122)</f>
        <v>0.434928636363636</v>
      </c>
      <c r="I122" s="38" t="n">
        <f aca="false">IF(OR(G122="",G122=0),"",D122/G122)</f>
        <v>0.437736363636364</v>
      </c>
      <c r="J122" s="38" t="n">
        <f aca="false">IF(OR(H122="",I122=""),"",I122-H122)</f>
        <v>0.00280772727272727</v>
      </c>
    </row>
    <row r="123" customFormat="false" ht="15" hidden="false" customHeight="false" outlineLevel="0" collapsed="false">
      <c r="A123" s="36" t="s">
        <v>17</v>
      </c>
      <c r="B123" s="36" t="s">
        <v>428</v>
      </c>
      <c r="C123" s="30" t="n">
        <v>85.76395</v>
      </c>
      <c r="D123" s="37" t="n">
        <f aca="false">INDEX('تحليل التكلفة والسعر'!$C$2:$C$700,MATCH($B123,'تحليل التكلفة والسعر'!$B$2:$B$700,0))</f>
        <v>85.2346</v>
      </c>
      <c r="E123" s="37" t="n">
        <f aca="false">D123-C123</f>
        <v>-0.529349999999994</v>
      </c>
      <c r="F123" s="38" t="n">
        <f aca="false">IF(C123=0,"",D123/C123-1)</f>
        <v>-0.00617217373966561</v>
      </c>
      <c r="G123" s="37" t="n">
        <f aca="false">INDEX('تحليل التكلفة والسعر'!$D$2:$D$700,MATCH($B123,'تحليل التكلفة والسعر'!$B$2:$B$700,0))</f>
        <v>180</v>
      </c>
      <c r="H123" s="38" t="n">
        <f aca="false">IF(OR(G123="",G123=0),"",C123/G123)</f>
        <v>0.476466388888889</v>
      </c>
      <c r="I123" s="38" t="n">
        <f aca="false">IF(OR(G123="",G123=0),"",D123/G123)</f>
        <v>0.473525555555556</v>
      </c>
      <c r="J123" s="38" t="n">
        <f aca="false">IF(OR(H123="",I123=""),"",I123-H123)</f>
        <v>-0.00294083333333334</v>
      </c>
    </row>
    <row r="124" customFormat="false" ht="15" hidden="false" customHeight="false" outlineLevel="0" collapsed="false">
      <c r="A124" s="36" t="s">
        <v>21</v>
      </c>
      <c r="B124" s="36" t="s">
        <v>429</v>
      </c>
      <c r="C124" s="30" t="n">
        <v>36.0707</v>
      </c>
      <c r="D124" s="37" t="n">
        <f aca="false">INDEX('تحليل التكلفة والسعر'!$C$2:$C$700,MATCH($B124,'تحليل التكلفة والسعر'!$B$2:$B$700,0))</f>
        <v>35.8566558333333</v>
      </c>
      <c r="E124" s="37" t="n">
        <f aca="false">D124-C124</f>
        <v>-0.214044166666667</v>
      </c>
      <c r="F124" s="38" t="n">
        <f aca="false">IF(C124=0,"",D124/C124-1)</f>
        <v>-0.00593401754517287</v>
      </c>
      <c r="G124" s="37" t="n">
        <f aca="false">INDEX('تحليل التكلفة والسعر'!$D$2:$D$700,MATCH($B124,'تحليل التكلفة والسعر'!$B$2:$B$700,0))</f>
        <v>80</v>
      </c>
      <c r="H124" s="38" t="n">
        <f aca="false">IF(OR(G124="",G124=0),"",C124/G124)</f>
        <v>0.45088375</v>
      </c>
      <c r="I124" s="38" t="n">
        <f aca="false">IF(OR(G124="",G124=0),"",D124/G124)</f>
        <v>0.448208197916667</v>
      </c>
      <c r="J124" s="38" t="n">
        <f aca="false">IF(OR(H124="",I124=""),"",I124-H124)</f>
        <v>-0.00267555208333337</v>
      </c>
    </row>
    <row r="125" customFormat="false" ht="15" hidden="false" customHeight="false" outlineLevel="0" collapsed="false">
      <c r="A125" s="36" t="s">
        <v>10</v>
      </c>
      <c r="B125" s="36" t="s">
        <v>430</v>
      </c>
      <c r="C125" s="30" t="n">
        <v>129.0503</v>
      </c>
      <c r="D125" s="37" t="n">
        <f aca="false">INDEX('تحليل التكلفة والسعر'!$C$2:$C$700,MATCH($B125,'تحليل التكلفة والسعر'!$B$2:$B$700,0))</f>
        <v>128.296</v>
      </c>
      <c r="E125" s="37" t="n">
        <f aca="false">D125-C125</f>
        <v>-0.754300000000001</v>
      </c>
      <c r="F125" s="38" t="n">
        <f aca="false">IF(C125=0,"",D125/C125-1)</f>
        <v>-0.0058450077217953</v>
      </c>
      <c r="G125" s="37" t="n">
        <f aca="false">INDEX('تحليل التكلفة والسعر'!$D$2:$D$700,MATCH($B125,'تحليل التكلفة والسعر'!$B$2:$B$700,0))</f>
        <v>240</v>
      </c>
      <c r="H125" s="38" t="n">
        <f aca="false">IF(OR(G125="",G125=0),"",C125/G125)</f>
        <v>0.537709583333333</v>
      </c>
      <c r="I125" s="38" t="n">
        <f aca="false">IF(OR(G125="",G125=0),"",D125/G125)</f>
        <v>0.534566666666667</v>
      </c>
      <c r="J125" s="38" t="n">
        <f aca="false">IF(OR(H125="",I125=""),"",I125-H125)</f>
        <v>-0.00314291666666666</v>
      </c>
    </row>
    <row r="126" customFormat="false" ht="15" hidden="false" customHeight="false" outlineLevel="0" collapsed="false">
      <c r="A126" s="36" t="s">
        <v>17</v>
      </c>
      <c r="B126" s="36" t="s">
        <v>431</v>
      </c>
      <c r="C126" s="30" t="n">
        <v>129.0503</v>
      </c>
      <c r="D126" s="37" t="n">
        <f aca="false">INDEX('تحليل التكلفة والسعر'!$C$2:$C$700,MATCH($B126,'تحليل التكلفة والسعر'!$B$2:$B$700,0))</f>
        <v>128.296</v>
      </c>
      <c r="E126" s="37" t="n">
        <f aca="false">D126-C126</f>
        <v>-0.754300000000001</v>
      </c>
      <c r="F126" s="38" t="n">
        <f aca="false">IF(C126=0,"",D126/C126-1)</f>
        <v>-0.0058450077217953</v>
      </c>
      <c r="G126" s="37" t="n">
        <f aca="false">INDEX('تحليل التكلفة والسعر'!$D$2:$D$700,MATCH($B126,'تحليل التكلفة والسعر'!$B$2:$B$700,0))</f>
        <v>230</v>
      </c>
      <c r="H126" s="38" t="n">
        <f aca="false">IF(OR(G126="",G126=0),"",C126/G126)</f>
        <v>0.561088260869565</v>
      </c>
      <c r="I126" s="38" t="n">
        <f aca="false">IF(OR(G126="",G126=0),"",D126/G126)</f>
        <v>0.557808695652174</v>
      </c>
      <c r="J126" s="38" t="n">
        <f aca="false">IF(OR(H126="",I126=""),"",I126-H126)</f>
        <v>-0.00327956521739137</v>
      </c>
    </row>
    <row r="127" customFormat="false" ht="15" hidden="false" customHeight="false" outlineLevel="0" collapsed="false">
      <c r="A127" s="36" t="s">
        <v>16</v>
      </c>
      <c r="B127" s="36" t="s">
        <v>432</v>
      </c>
      <c r="C127" s="30" t="n">
        <v>65.7291</v>
      </c>
      <c r="D127" s="37" t="n">
        <f aca="false">INDEX('تحليل التكلفة والسعر'!$C$2:$C$700,MATCH($B127,'تحليل التكلفة والسعر'!$B$2:$B$700,0))</f>
        <v>66.1082</v>
      </c>
      <c r="E127" s="37" t="n">
        <f aca="false">D127-C127</f>
        <v>0.379099999999994</v>
      </c>
      <c r="F127" s="38" t="n">
        <f aca="false">IF(C127=0,"",D127/C127-1)</f>
        <v>0.00576761282293536</v>
      </c>
      <c r="G127" s="37" t="n">
        <f aca="false">INDEX('تحليل التكلفة والسعر'!$D$2:$D$700,MATCH($B127,'تحليل التكلفة والسعر'!$B$2:$B$700,0))</f>
        <v>120</v>
      </c>
      <c r="H127" s="38" t="n">
        <f aca="false">IF(OR(G127="",G127=0),"",C127/G127)</f>
        <v>0.5477425</v>
      </c>
      <c r="I127" s="38" t="n">
        <f aca="false">IF(OR(G127="",G127=0),"",D127/G127)</f>
        <v>0.550901666666667</v>
      </c>
      <c r="J127" s="38" t="n">
        <f aca="false">IF(OR(H127="",I127=""),"",I127-H127)</f>
        <v>0.0031591666666666</v>
      </c>
    </row>
    <row r="128" customFormat="false" ht="15" hidden="false" customHeight="false" outlineLevel="0" collapsed="false">
      <c r="A128" s="36" t="s">
        <v>20</v>
      </c>
      <c r="B128" s="36" t="s">
        <v>433</v>
      </c>
      <c r="C128" s="30" t="n">
        <v>132.24</v>
      </c>
      <c r="D128" s="37" t="n">
        <f aca="false">INDEX('تحليل التكلفة والسعر'!$C$2:$C$700,MATCH($B128,'تحليل التكلفة والسعر'!$B$2:$B$700,0))</f>
        <v>131.53</v>
      </c>
      <c r="E128" s="37" t="n">
        <f aca="false">D128-C128</f>
        <v>-0.710000000000008</v>
      </c>
      <c r="F128" s="38" t="n">
        <f aca="false">IF(C128=0,"",D128/C128-1)</f>
        <v>-0.00536902601330924</v>
      </c>
      <c r="G128" s="37" t="n">
        <f aca="false">INDEX('تحليل التكلفة والسعر'!$D$2:$D$700,MATCH($B128,'تحليل التكلفة والسعر'!$B$2:$B$700,0))</f>
        <v>250</v>
      </c>
      <c r="H128" s="38" t="n">
        <f aca="false">IF(OR(G128="",G128=0),"",C128/G128)</f>
        <v>0.52896</v>
      </c>
      <c r="I128" s="38" t="n">
        <f aca="false">IF(OR(G128="",G128=0),"",D128/G128)</f>
        <v>0.52612</v>
      </c>
      <c r="J128" s="38" t="n">
        <f aca="false">IF(OR(H128="",I128=""),"",I128-H128)</f>
        <v>-0.00283999999999995</v>
      </c>
    </row>
    <row r="129" customFormat="false" ht="15" hidden="false" customHeight="false" outlineLevel="0" collapsed="false">
      <c r="A129" s="36" t="s">
        <v>12</v>
      </c>
      <c r="B129" s="36" t="s">
        <v>434</v>
      </c>
      <c r="C129" s="30" t="n">
        <v>87.4964</v>
      </c>
      <c r="D129" s="37" t="n">
        <f aca="false">INDEX('تحليل التكلفة والسعر'!$C$2:$C$700,MATCH($B129,'تحليل التكلفة والسعر'!$B$2:$B$700,0))</f>
        <v>87.0537</v>
      </c>
      <c r="E129" s="37" t="n">
        <f aca="false">D129-C129</f>
        <v>-0.442699999999988</v>
      </c>
      <c r="F129" s="38" t="n">
        <f aca="false">IF(C129=0,"",D129/C129-1)</f>
        <v>-0.00505963673933996</v>
      </c>
      <c r="G129" s="37" t="n">
        <f aca="false">INDEX('تحليل التكلفة والسعر'!$D$2:$D$700,MATCH($B129,'تحليل التكلفة والسعر'!$B$2:$B$700,0))</f>
        <v>150</v>
      </c>
      <c r="H129" s="38" t="n">
        <f aca="false">IF(OR(G129="",G129=0),"",C129/G129)</f>
        <v>0.583309333333333</v>
      </c>
      <c r="I129" s="38" t="n">
        <f aca="false">IF(OR(G129="",G129=0),"",D129/G129)</f>
        <v>0.580358</v>
      </c>
      <c r="J129" s="38" t="n">
        <f aca="false">IF(OR(H129="",I129=""),"",I129-H129)</f>
        <v>-0.00295133333333331</v>
      </c>
    </row>
    <row r="130" customFormat="false" ht="15" hidden="false" customHeight="false" outlineLevel="0" collapsed="false">
      <c r="A130" s="36" t="s">
        <v>13</v>
      </c>
      <c r="B130" s="36" t="s">
        <v>435</v>
      </c>
      <c r="C130" s="30" t="n">
        <v>140.14</v>
      </c>
      <c r="D130" s="37" t="n">
        <f aca="false">INDEX('تحليل التكلفة والسعر'!$C$2:$C$700,MATCH($B130,'تحليل التكلفة والسعر'!$B$2:$B$700,0))</f>
        <v>139.443635</v>
      </c>
      <c r="E130" s="37" t="n">
        <f aca="false">D130-C130</f>
        <v>-0.696364999999986</v>
      </c>
      <c r="F130" s="38" t="n">
        <f aca="false">IF(C130=0,"",D130/C130-1)</f>
        <v>-0.00496906664763797</v>
      </c>
      <c r="G130" s="37" t="n">
        <f aca="false">INDEX('تحليل التكلفة والسعر'!$D$2:$D$700,MATCH($B130,'تحليل التكلفة والسعر'!$B$2:$B$700,0))</f>
        <v>250</v>
      </c>
      <c r="H130" s="38" t="n">
        <f aca="false">IF(OR(G130="",G130=0),"",C130/G130)</f>
        <v>0.56056</v>
      </c>
      <c r="I130" s="38" t="n">
        <f aca="false">IF(OR(G130="",G130=0),"",D130/G130)</f>
        <v>0.55777454</v>
      </c>
      <c r="J130" s="38" t="n">
        <f aca="false">IF(OR(H130="",I130=""),"",I130-H130)</f>
        <v>-0.00278545999999991</v>
      </c>
    </row>
    <row r="131" customFormat="false" ht="15" hidden="false" customHeight="false" outlineLevel="0" collapsed="false">
      <c r="A131" s="36" t="s">
        <v>16</v>
      </c>
      <c r="B131" s="36" t="s">
        <v>436</v>
      </c>
      <c r="C131" s="30" t="n">
        <v>63.59215</v>
      </c>
      <c r="D131" s="37" t="n">
        <f aca="false">INDEX('تحليل التكلفة والسعر'!$C$2:$C$700,MATCH($B131,'تحليل التكلفة والسعر'!$B$2:$B$700,0))</f>
        <v>63.901</v>
      </c>
      <c r="E131" s="37" t="n">
        <f aca="false">D131-C131</f>
        <v>0.30885</v>
      </c>
      <c r="F131" s="38" t="n">
        <f aca="false">IF(C131=0,"",D131/C131-1)</f>
        <v>0.00485673153054278</v>
      </c>
      <c r="G131" s="37" t="n">
        <f aca="false">INDEX('تحليل التكلفة والسعر'!$D$2:$D$700,MATCH($B131,'تحليل التكلفة والسعر'!$B$2:$B$700,0))</f>
        <v>180</v>
      </c>
      <c r="H131" s="38" t="n">
        <f aca="false">IF(OR(G131="",G131=0),"",C131/G131)</f>
        <v>0.353289722222222</v>
      </c>
      <c r="I131" s="38" t="n">
        <f aca="false">IF(OR(G131="",G131=0),"",D131/G131)</f>
        <v>0.355005555555556</v>
      </c>
      <c r="J131" s="38" t="n">
        <f aca="false">IF(OR(H131="",I131=""),"",I131-H131)</f>
        <v>0.00171583333333331</v>
      </c>
    </row>
    <row r="132" customFormat="false" ht="15" hidden="false" customHeight="false" outlineLevel="0" collapsed="false">
      <c r="A132" s="36" t="s">
        <v>10</v>
      </c>
      <c r="B132" s="36" t="s">
        <v>437</v>
      </c>
      <c r="C132" s="30" t="n">
        <v>78.6803</v>
      </c>
      <c r="D132" s="37" t="n">
        <f aca="false">INDEX('تحليل التكلفة والسعر'!$C$2:$C$700,MATCH($B132,'تحليل التكلفة والسعر'!$B$2:$B$700,0))</f>
        <v>79.046</v>
      </c>
      <c r="E132" s="37" t="n">
        <f aca="false">D132-C132</f>
        <v>0.365700000000004</v>
      </c>
      <c r="F132" s="38" t="n">
        <f aca="false">IF(C132=0,"",D132/C132-1)</f>
        <v>0.00464792330481711</v>
      </c>
      <c r="G132" s="37" t="n">
        <f aca="false">INDEX('تحليل التكلفة والسعر'!$D$2:$D$700,MATCH($B132,'تحليل التكلفة والسعر'!$B$2:$B$700,0))</f>
        <v>135</v>
      </c>
      <c r="H132" s="38" t="n">
        <f aca="false">IF(OR(G132="",G132=0),"",C132/G132)</f>
        <v>0.582817037037037</v>
      </c>
      <c r="I132" s="38" t="n">
        <f aca="false">IF(OR(G132="",G132=0),"",D132/G132)</f>
        <v>0.585525925925926</v>
      </c>
      <c r="J132" s="38" t="n">
        <f aca="false">IF(OR(H132="",I132=""),"",I132-H132)</f>
        <v>0.00270888888888898</v>
      </c>
    </row>
    <row r="133" customFormat="false" ht="15" hidden="false" customHeight="false" outlineLevel="0" collapsed="false">
      <c r="A133" s="36" t="s">
        <v>17</v>
      </c>
      <c r="B133" s="36" t="s">
        <v>438</v>
      </c>
      <c r="C133" s="30" t="n">
        <v>109.16395</v>
      </c>
      <c r="D133" s="37" t="n">
        <f aca="false">INDEX('تحليل التكلفة والسعر'!$C$2:$C$700,MATCH($B133,'تحليل التكلفة والسعر'!$B$2:$B$700,0))</f>
        <v>108.676</v>
      </c>
      <c r="E133" s="37" t="n">
        <f aca="false">D133-C133</f>
        <v>-0.487949999999998</v>
      </c>
      <c r="F133" s="38" t="n">
        <f aca="false">IF(C133=0,"",D133/C133-1)</f>
        <v>-0.00446988222760347</v>
      </c>
      <c r="G133" s="37" t="n">
        <f aca="false">INDEX('تحليل التكلفة والسعر'!$D$2:$D$700,MATCH($B133,'تحليل التكلفة والسعر'!$B$2:$B$700,0))</f>
        <v>240</v>
      </c>
      <c r="H133" s="38" t="n">
        <f aca="false">IF(OR(G133="",G133=0),"",C133/G133)</f>
        <v>0.454849791666667</v>
      </c>
      <c r="I133" s="38" t="n">
        <f aca="false">IF(OR(G133="",G133=0),"",D133/G133)</f>
        <v>0.452816666666667</v>
      </c>
      <c r="J133" s="38" t="n">
        <f aca="false">IF(OR(H133="",I133=""),"",I133-H133)</f>
        <v>-0.00203312499999997</v>
      </c>
    </row>
    <row r="134" customFormat="false" ht="15" hidden="false" customHeight="false" outlineLevel="0" collapsed="false">
      <c r="A134" s="36" t="s">
        <v>17</v>
      </c>
      <c r="B134" s="36" t="s">
        <v>439</v>
      </c>
      <c r="C134" s="30" t="n">
        <v>33.4303</v>
      </c>
      <c r="D134" s="37" t="n">
        <f aca="false">INDEX('تحليل التكلفة والسعر'!$C$2:$C$700,MATCH($B134,'تحليل التكلفة والسعر'!$B$2:$B$700,0))</f>
        <v>33.296</v>
      </c>
      <c r="E134" s="37" t="n">
        <f aca="false">D134-C134</f>
        <v>-0.134300000000003</v>
      </c>
      <c r="F134" s="38" t="n">
        <f aca="false">IF(C134=0,"",D134/C134-1)</f>
        <v>-0.00401731363463698</v>
      </c>
      <c r="G134" s="37" t="n">
        <f aca="false">INDEX('تحليل التكلفة والسعر'!$D$2:$D$700,MATCH($B134,'تحليل التكلفة والسعر'!$B$2:$B$700,0))</f>
        <v>80</v>
      </c>
      <c r="H134" s="38" t="n">
        <f aca="false">IF(OR(G134="",G134=0),"",C134/G134)</f>
        <v>0.41787875</v>
      </c>
      <c r="I134" s="38" t="n">
        <f aca="false">IF(OR(G134="",G134=0),"",D134/G134)</f>
        <v>0.4162</v>
      </c>
      <c r="J134" s="38" t="n">
        <f aca="false">IF(OR(H134="",I134=""),"",I134-H134)</f>
        <v>-0.00167875000000001</v>
      </c>
    </row>
    <row r="135" customFormat="false" ht="15" hidden="false" customHeight="false" outlineLevel="0" collapsed="false">
      <c r="A135" s="36" t="s">
        <v>17</v>
      </c>
      <c r="B135" s="36" t="s">
        <v>440</v>
      </c>
      <c r="C135" s="30" t="n">
        <v>64.2303</v>
      </c>
      <c r="D135" s="37" t="n">
        <f aca="false">INDEX('تحليل التكلفة والسعر'!$C$2:$C$700,MATCH($B135,'تحليل التكلفة والسعر'!$B$2:$B$700,0))</f>
        <v>63.9882</v>
      </c>
      <c r="E135" s="37" t="n">
        <f aca="false">D135-C135</f>
        <v>-0.242099999999994</v>
      </c>
      <c r="F135" s="38" t="n">
        <f aca="false">IF(C135=0,"",D135/C135-1)</f>
        <v>-0.00376924909271781</v>
      </c>
      <c r="G135" s="37" t="n">
        <f aca="false">INDEX('تحليل التكلفة والسعر'!$D$2:$D$700,MATCH($B135,'تحليل التكلفة والسعر'!$B$2:$B$700,0))</f>
        <v>120</v>
      </c>
      <c r="H135" s="38" t="n">
        <f aca="false">IF(OR(G135="",G135=0),"",C135/G135)</f>
        <v>0.5352525</v>
      </c>
      <c r="I135" s="38" t="n">
        <f aca="false">IF(OR(G135="",G135=0),"",D135/G135)</f>
        <v>0.533235</v>
      </c>
      <c r="J135" s="38" t="n">
        <f aca="false">IF(OR(H135="",I135=""),"",I135-H135)</f>
        <v>-0.00201750000000001</v>
      </c>
    </row>
    <row r="136" customFormat="false" ht="15" hidden="false" customHeight="false" outlineLevel="0" collapsed="false">
      <c r="A136" s="36" t="s">
        <v>16</v>
      </c>
      <c r="B136" s="36" t="s">
        <v>441</v>
      </c>
      <c r="C136" s="30" t="n">
        <v>87.44215</v>
      </c>
      <c r="D136" s="37" t="n">
        <f aca="false">INDEX('تحليل التكلفة والسعر'!$C$2:$C$700,MATCH($B136,'تحليل التكلفة والسعر'!$B$2:$B$700,0))</f>
        <v>87.7546</v>
      </c>
      <c r="E136" s="37" t="n">
        <f aca="false">D136-C136</f>
        <v>0.312449999999998</v>
      </c>
      <c r="F136" s="38" t="n">
        <f aca="false">IF(C136=0,"",D136/C136-1)</f>
        <v>0.00357321955144063</v>
      </c>
      <c r="G136" s="37" t="n">
        <f aca="false">INDEX('تحليل التكلفة والسعر'!$D$2:$D$700,MATCH($B136,'تحليل التكلفة والسعر'!$B$2:$B$700,0))</f>
        <v>180</v>
      </c>
      <c r="H136" s="38" t="n">
        <f aca="false">IF(OR(G136="",G136=0),"",C136/G136)</f>
        <v>0.485789722222222</v>
      </c>
      <c r="I136" s="38" t="n">
        <f aca="false">IF(OR(G136="",G136=0),"",D136/G136)</f>
        <v>0.487525555555556</v>
      </c>
      <c r="J136" s="38" t="n">
        <f aca="false">IF(OR(H136="",I136=""),"",I136-H136)</f>
        <v>0.00173583333333333</v>
      </c>
    </row>
    <row r="137" customFormat="false" ht="15" hidden="false" customHeight="false" outlineLevel="0" collapsed="false">
      <c r="A137" s="36" t="s">
        <v>12</v>
      </c>
      <c r="B137" s="36" t="s">
        <v>442</v>
      </c>
      <c r="C137" s="30" t="n">
        <v>97.0347</v>
      </c>
      <c r="D137" s="37" t="n">
        <f aca="false">INDEX('تحليل التكلفة والسعر'!$C$2:$C$700,MATCH($B137,'تحليل التكلفة والسعر'!$B$2:$B$700,0))</f>
        <v>97.36926</v>
      </c>
      <c r="E137" s="37" t="n">
        <f aca="false">D137-C137</f>
        <v>0.334559999999996</v>
      </c>
      <c r="F137" s="38" t="n">
        <f aca="false">IF(C137=0,"",D137/C137-1)</f>
        <v>0.00344783876283428</v>
      </c>
      <c r="G137" s="37" t="n">
        <f aca="false">INDEX('تحليل التكلفة والسعر'!$D$2:$D$700,MATCH($B137,'تحليل التكلفة والسعر'!$B$2:$B$700,0))</f>
        <v>160</v>
      </c>
      <c r="H137" s="38" t="n">
        <f aca="false">IF(OR(G137="",G137=0),"",C137/G137)</f>
        <v>0.606466875</v>
      </c>
      <c r="I137" s="38" t="n">
        <f aca="false">IF(OR(G137="",G137=0),"",D137/G137)</f>
        <v>0.608557875</v>
      </c>
      <c r="J137" s="38" t="n">
        <f aca="false">IF(OR(H137="",I137=""),"",I137-H137)</f>
        <v>0.00209100000000007</v>
      </c>
    </row>
    <row r="138" customFormat="false" ht="15" hidden="false" customHeight="false" outlineLevel="0" collapsed="false">
      <c r="A138" s="36" t="s">
        <v>16</v>
      </c>
      <c r="B138" s="36" t="s">
        <v>443</v>
      </c>
      <c r="C138" s="30" t="n">
        <v>191.27215</v>
      </c>
      <c r="D138" s="37" t="n">
        <f aca="false">INDEX('تحليل التكلفة والسعر'!$C$2:$C$700,MATCH($B138,'تحليل التكلفة والسعر'!$B$2:$B$700,0))</f>
        <v>190.651</v>
      </c>
      <c r="E138" s="37" t="n">
        <f aca="false">D138-C138</f>
        <v>-0.62115</v>
      </c>
      <c r="F138" s="38" t="n">
        <f aca="false">IF(C138=0,"",D138/C138-1)</f>
        <v>-0.0032474670253877</v>
      </c>
      <c r="G138" s="37" t="n">
        <f aca="false">INDEX('تحليل التكلفة والسعر'!$D$2:$D$700,MATCH($B138,'تحليل التكلفة والسعر'!$B$2:$B$700,0))</f>
        <v>350</v>
      </c>
      <c r="H138" s="38" t="n">
        <f aca="false">IF(OR(G138="",G138=0),"",C138/G138)</f>
        <v>0.546491857142857</v>
      </c>
      <c r="I138" s="38" t="n">
        <f aca="false">IF(OR(G138="",G138=0),"",D138/G138)</f>
        <v>0.544717142857143</v>
      </c>
      <c r="J138" s="38" t="n">
        <f aca="false">IF(OR(H138="",I138=""),"",I138-H138)</f>
        <v>-0.0017747142857143</v>
      </c>
    </row>
    <row r="139" customFormat="false" ht="15" hidden="false" customHeight="false" outlineLevel="0" collapsed="false">
      <c r="A139" s="36" t="s">
        <v>16</v>
      </c>
      <c r="B139" s="36" t="s">
        <v>444</v>
      </c>
      <c r="C139" s="30" t="n">
        <v>110.84215</v>
      </c>
      <c r="D139" s="37" t="n">
        <f aca="false">INDEX('تحليل التكلفة والسعر'!$C$2:$C$700,MATCH($B139,'تحليل التكلفة والسعر'!$B$2:$B$700,0))</f>
        <v>111.196</v>
      </c>
      <c r="E139" s="37" t="n">
        <f aca="false">D139-C139</f>
        <v>0.353849999999994</v>
      </c>
      <c r="F139" s="38" t="n">
        <f aca="false">IF(C139=0,"",D139/C139-1)</f>
        <v>0.00319237762890734</v>
      </c>
      <c r="G139" s="37" t="n">
        <f aca="false">INDEX('تحليل التكلفة والسعر'!$D$2:$D$700,MATCH($B139,'تحليل التكلفة والسعر'!$B$2:$B$700,0))</f>
        <v>240</v>
      </c>
      <c r="H139" s="38" t="n">
        <f aca="false">IF(OR(G139="",G139=0),"",C139/G139)</f>
        <v>0.461842291666667</v>
      </c>
      <c r="I139" s="38" t="n">
        <f aca="false">IF(OR(G139="",G139=0),"",D139/G139)</f>
        <v>0.463316666666667</v>
      </c>
      <c r="J139" s="38" t="n">
        <f aca="false">IF(OR(H139="",I139=""),"",I139-H139)</f>
        <v>0.00147437499999997</v>
      </c>
    </row>
    <row r="140" customFormat="false" ht="15" hidden="false" customHeight="false" outlineLevel="0" collapsed="false">
      <c r="A140" s="36" t="s">
        <v>9</v>
      </c>
      <c r="B140" s="36" t="s">
        <v>445</v>
      </c>
      <c r="C140" s="30" t="n">
        <v>90.57215</v>
      </c>
      <c r="D140" s="37" t="n">
        <f aca="false">INDEX('تحليل التكلفة والسعر'!$C$2:$C$700,MATCH($B140,'تحليل التكلفة والسعر'!$B$2:$B$700,0))</f>
        <v>90.2867</v>
      </c>
      <c r="E140" s="37" t="n">
        <f aca="false">D140-C140</f>
        <v>-0.285449999999997</v>
      </c>
      <c r="F140" s="38" t="n">
        <f aca="false">IF(C140=0,"",D140/C140-1)</f>
        <v>-0.00315163104773375</v>
      </c>
      <c r="G140" s="37" t="n">
        <f aca="false">INDEX('تحليل التكلفة والسعر'!$D$2:$D$700,MATCH($B140,'تحليل التكلفة والسعر'!$B$2:$B$700,0))</f>
        <v>180</v>
      </c>
      <c r="H140" s="38" t="n">
        <f aca="false">IF(OR(G140="",G140=0),"",C140/G140)</f>
        <v>0.503178611111111</v>
      </c>
      <c r="I140" s="38" t="n">
        <f aca="false">IF(OR(G140="",G140=0),"",D140/G140)</f>
        <v>0.501592777777778</v>
      </c>
      <c r="J140" s="38" t="n">
        <f aca="false">IF(OR(H140="",I140=""),"",I140-H140)</f>
        <v>-0.00158583333333329</v>
      </c>
    </row>
    <row r="141" customFormat="false" ht="15" hidden="false" customHeight="false" outlineLevel="0" collapsed="false">
      <c r="A141" s="36" t="s">
        <v>17</v>
      </c>
      <c r="B141" s="36" t="s">
        <v>446</v>
      </c>
      <c r="C141" s="30" t="n">
        <v>43.9303</v>
      </c>
      <c r="D141" s="37" t="n">
        <f aca="false">INDEX('تحليل التكلفة والسعر'!$C$2:$C$700,MATCH($B141,'تحليل التكلفة والسعر'!$B$2:$B$700,0))</f>
        <v>43.796</v>
      </c>
      <c r="E141" s="37" t="n">
        <f aca="false">D141-C141</f>
        <v>-0.134300000000003</v>
      </c>
      <c r="F141" s="38" t="n">
        <f aca="false">IF(C141=0,"",D141/C141-1)</f>
        <v>-0.00305711547610654</v>
      </c>
      <c r="G141" s="37" t="n">
        <f aca="false">INDEX('تحليل التكلفة والسعر'!$D$2:$D$700,MATCH($B141,'تحليل التكلفة والسعر'!$B$2:$B$700,0))</f>
        <v>120</v>
      </c>
      <c r="H141" s="38" t="n">
        <f aca="false">IF(OR(G141="",G141=0),"",C141/G141)</f>
        <v>0.366085833333333</v>
      </c>
      <c r="I141" s="38" t="n">
        <f aca="false">IF(OR(G141="",G141=0),"",D141/G141)</f>
        <v>0.364966666666667</v>
      </c>
      <c r="J141" s="38" t="n">
        <f aca="false">IF(OR(H141="",I141=""),"",I141-H141)</f>
        <v>-0.00111916666666667</v>
      </c>
    </row>
    <row r="142" customFormat="false" ht="15" hidden="false" customHeight="false" outlineLevel="0" collapsed="false">
      <c r="A142" s="36" t="s">
        <v>17</v>
      </c>
      <c r="B142" s="36" t="s">
        <v>447</v>
      </c>
      <c r="C142" s="30" t="n">
        <v>62.0303</v>
      </c>
      <c r="D142" s="37" t="n">
        <f aca="false">INDEX('تحليل التكلفة والسعر'!$C$2:$C$700,MATCH($B142,'تحليل التكلفة والسعر'!$B$2:$B$700,0))</f>
        <v>61.8433</v>
      </c>
      <c r="E142" s="37" t="n">
        <f aca="false">D142-C142</f>
        <v>-0.186999999999998</v>
      </c>
      <c r="F142" s="38" t="n">
        <f aca="false">IF(C142=0,"",D142/C142-1)</f>
        <v>-0.00301465574082338</v>
      </c>
      <c r="G142" s="37" t="n">
        <f aca="false">INDEX('تحليل التكلفة والسعر'!$D$2:$D$700,MATCH($B142,'تحليل التكلفة والسعر'!$B$2:$B$700,0))</f>
        <v>150</v>
      </c>
      <c r="H142" s="38" t="n">
        <f aca="false">IF(OR(G142="",G142=0),"",C142/G142)</f>
        <v>0.413535333333333</v>
      </c>
      <c r="I142" s="38" t="n">
        <f aca="false">IF(OR(G142="",G142=0),"",D142/G142)</f>
        <v>0.412288666666667</v>
      </c>
      <c r="J142" s="38" t="n">
        <f aca="false">IF(OR(H142="",I142=""),"",I142-H142)</f>
        <v>-0.00124666666666667</v>
      </c>
    </row>
    <row r="143" customFormat="false" ht="15" hidden="false" customHeight="false" outlineLevel="0" collapsed="false">
      <c r="A143" s="36" t="s">
        <v>310</v>
      </c>
      <c r="B143" s="36" t="s">
        <v>448</v>
      </c>
      <c r="C143" s="30" t="n">
        <v>22.94</v>
      </c>
      <c r="D143" s="37" t="n">
        <f aca="false">INDEX('تحليل التكلفة والسعر'!$C$2:$C$700,MATCH($B143,'تحليل التكلفة والسعر'!$B$2:$B$700,0))</f>
        <v>23</v>
      </c>
      <c r="E143" s="37" t="n">
        <f aca="false">D143-C143</f>
        <v>0.0599999999999987</v>
      </c>
      <c r="F143" s="38" t="n">
        <f aca="false">IF(C143=0,"",D143/C143-1)</f>
        <v>0.0026155187445509</v>
      </c>
      <c r="G143" s="37" t="n">
        <f aca="false">INDEX('تحليل التكلفة والسعر'!$D$2:$D$700,MATCH($B143,'تحليل التكلفة والسعر'!$B$2:$B$700,0))</f>
        <v>40</v>
      </c>
      <c r="H143" s="38" t="n">
        <f aca="false">IF(OR(G143="",G143=0),"",C143/G143)</f>
        <v>0.5735</v>
      </c>
      <c r="I143" s="38" t="n">
        <f aca="false">IF(OR(G143="",G143=0),"",D143/G143)</f>
        <v>0.575</v>
      </c>
      <c r="J143" s="38" t="n">
        <f aca="false">IF(OR(H143="",I143=""),"",I143-H143)</f>
        <v>0.00149999999999995</v>
      </c>
    </row>
    <row r="144" customFormat="false" ht="15" hidden="false" customHeight="false" outlineLevel="0" collapsed="false">
      <c r="A144" s="36" t="s">
        <v>310</v>
      </c>
      <c r="B144" s="36" t="s">
        <v>449</v>
      </c>
      <c r="C144" s="30" t="n">
        <v>45.88</v>
      </c>
      <c r="D144" s="37" t="n">
        <f aca="false">INDEX('تحليل التكلفة والسعر'!$C$2:$C$700,MATCH($B144,'تحليل التكلفة والسعر'!$B$2:$B$700,0))</f>
        <v>46</v>
      </c>
      <c r="E144" s="37" t="n">
        <f aca="false">D144-C144</f>
        <v>0.119999999999997</v>
      </c>
      <c r="F144" s="38" t="n">
        <f aca="false">IF(C144=0,"",D144/C144-1)</f>
        <v>0.0026155187445509</v>
      </c>
      <c r="G144" s="37" t="n">
        <f aca="false">INDEX('تحليل التكلفة والسعر'!$D$2:$D$700,MATCH($B144,'تحليل التكلفة والسعر'!$B$2:$B$700,0))</f>
        <v>80</v>
      </c>
      <c r="H144" s="38" t="n">
        <f aca="false">IF(OR(G144="",G144=0),"",C144/G144)</f>
        <v>0.5735</v>
      </c>
      <c r="I144" s="38" t="n">
        <f aca="false">IF(OR(G144="",G144=0),"",D144/G144)</f>
        <v>0.575</v>
      </c>
      <c r="J144" s="38" t="n">
        <f aca="false">IF(OR(H144="",I144=""),"",I144-H144)</f>
        <v>0.00149999999999995</v>
      </c>
    </row>
    <row r="145" customFormat="false" ht="15" hidden="false" customHeight="false" outlineLevel="0" collapsed="false">
      <c r="A145" s="36" t="s">
        <v>20</v>
      </c>
      <c r="B145" s="36" t="s">
        <v>450</v>
      </c>
      <c r="C145" s="30" t="n">
        <v>36.62</v>
      </c>
      <c r="D145" s="37" t="n">
        <f aca="false">INDEX('تحليل التكلفة والسعر'!$C$2:$C$700,MATCH($B145,'تحليل التكلفة والسعر'!$B$2:$B$700,0))</f>
        <v>36.53</v>
      </c>
      <c r="E145" s="37" t="n">
        <f aca="false">D145-C145</f>
        <v>-0.0899999999999963</v>
      </c>
      <c r="F145" s="38" t="n">
        <f aca="false">IF(C145=0,"",D145/C145-1)</f>
        <v>-0.00245767340251224</v>
      </c>
      <c r="G145" s="37" t="n">
        <f aca="false">INDEX('تحليل التكلفة والسعر'!$D$2:$D$700,MATCH($B145,'تحليل التكلفة والسعر'!$B$2:$B$700,0))</f>
        <v>90</v>
      </c>
      <c r="H145" s="38" t="n">
        <f aca="false">IF(OR(G145="",G145=0),"",C145/G145)</f>
        <v>0.406888888888889</v>
      </c>
      <c r="I145" s="38" t="n">
        <f aca="false">IF(OR(G145="",G145=0),"",D145/G145)</f>
        <v>0.405888888888889</v>
      </c>
      <c r="J145" s="38" t="n">
        <f aca="false">IF(OR(H145="",I145=""),"",I145-H145)</f>
        <v>-0.000999999999999945</v>
      </c>
    </row>
    <row r="146" customFormat="false" ht="15" hidden="false" customHeight="false" outlineLevel="0" collapsed="false">
      <c r="A146" s="36" t="s">
        <v>17</v>
      </c>
      <c r="B146" s="36" t="s">
        <v>451</v>
      </c>
      <c r="C146" s="30" t="n">
        <v>59.8303</v>
      </c>
      <c r="D146" s="37" t="n">
        <f aca="false">INDEX('تحليل التكلفة والسعر'!$C$2:$C$700,MATCH($B146,'تحليل التكلفة والسعر'!$B$2:$B$700,0))</f>
        <v>59.6984</v>
      </c>
      <c r="E146" s="37" t="n">
        <f aca="false">D146-C146</f>
        <v>-0.131900000000002</v>
      </c>
      <c r="F146" s="38" t="n">
        <f aca="false">IF(C146=0,"",D146/C146-1)</f>
        <v>-0.00220456858815687</v>
      </c>
      <c r="G146" s="37" t="n">
        <f aca="false">INDEX('تحليل التكلفة والسعر'!$D$2:$D$700,MATCH($B146,'تحليل التكلفة والسعر'!$B$2:$B$700,0))</f>
        <v>110</v>
      </c>
      <c r="H146" s="38" t="n">
        <f aca="false">IF(OR(G146="",G146=0),"",C146/G146)</f>
        <v>0.543911818181818</v>
      </c>
      <c r="I146" s="38" t="n">
        <f aca="false">IF(OR(G146="",G146=0),"",D146/G146)</f>
        <v>0.542712727272727</v>
      </c>
      <c r="J146" s="38" t="n">
        <f aca="false">IF(OR(H146="",I146=""),"",I146-H146)</f>
        <v>-0.00119909090909098</v>
      </c>
    </row>
    <row r="147" customFormat="false" ht="15" hidden="false" customHeight="false" outlineLevel="0" collapsed="false">
      <c r="A147" s="36" t="s">
        <v>10</v>
      </c>
      <c r="B147" s="36" t="s">
        <v>452</v>
      </c>
      <c r="C147" s="30" t="n">
        <v>113.41395</v>
      </c>
      <c r="D147" s="37" t="n">
        <f aca="false">INDEX('تحليل التكلفة والسعر'!$C$2:$C$700,MATCH($B147,'تحليل التكلفة والسعر'!$B$2:$B$700,0))</f>
        <v>113.631</v>
      </c>
      <c r="E147" s="37" t="n">
        <f aca="false">D147-C147</f>
        <v>0.21705</v>
      </c>
      <c r="F147" s="38" t="n">
        <f aca="false">IF(C147=0,"",D147/C147-1)</f>
        <v>0.00191378573799783</v>
      </c>
      <c r="G147" s="37" t="n">
        <f aca="false">INDEX('تحليل التكلفة والسعر'!$D$2:$D$700,MATCH($B147,'تحليل التكلفة والسعر'!$B$2:$B$700,0))</f>
        <v>200</v>
      </c>
      <c r="H147" s="38" t="n">
        <f aca="false">IF(OR(G147="",G147=0),"",C147/G147)</f>
        <v>0.56706975</v>
      </c>
      <c r="I147" s="38" t="n">
        <f aca="false">IF(OR(G147="",G147=0),"",D147/G147)</f>
        <v>0.568155</v>
      </c>
      <c r="J147" s="38" t="n">
        <f aca="false">IF(OR(H147="",I147=""),"",I147-H147)</f>
        <v>0.00108524999999993</v>
      </c>
    </row>
    <row r="148" customFormat="false" ht="15" hidden="false" customHeight="false" outlineLevel="0" collapsed="false">
      <c r="A148" s="36" t="s">
        <v>10</v>
      </c>
      <c r="B148" s="36" t="s">
        <v>453</v>
      </c>
      <c r="C148" s="30" t="n">
        <v>76.4303</v>
      </c>
      <c r="D148" s="37" t="n">
        <f aca="false">INDEX('تحليل التكلفة والسعر'!$C$2:$C$700,MATCH($B148,'تحليل التكلفة والسعر'!$B$2:$B$700,0))</f>
        <v>76.296</v>
      </c>
      <c r="E148" s="37" t="n">
        <f aca="false">D148-C148</f>
        <v>-0.134299999999996</v>
      </c>
      <c r="F148" s="38" t="n">
        <f aca="false">IF(C148=0,"",D148/C148-1)</f>
        <v>-0.00175715652038522</v>
      </c>
      <c r="G148" s="37" t="n">
        <f aca="false">INDEX('تحليل التكلفة والسعر'!$D$2:$D$700,MATCH($B148,'تحليل التكلفة والسعر'!$B$2:$B$700,0))</f>
        <v>120</v>
      </c>
      <c r="H148" s="38" t="n">
        <f aca="false">IF(OR(G148="",G148=0),"",C148/G148)</f>
        <v>0.636919166666667</v>
      </c>
      <c r="I148" s="38" t="n">
        <f aca="false">IF(OR(G148="",G148=0),"",D148/G148)</f>
        <v>0.6358</v>
      </c>
      <c r="J148" s="38" t="n">
        <f aca="false">IF(OR(H148="",I148=""),"",I148-H148)</f>
        <v>-0.00111916666666667</v>
      </c>
    </row>
    <row r="149" customFormat="false" ht="15" hidden="false" customHeight="false" outlineLevel="0" collapsed="false">
      <c r="A149" s="36" t="s">
        <v>16</v>
      </c>
      <c r="B149" s="36" t="s">
        <v>454</v>
      </c>
      <c r="C149" s="30" t="n">
        <v>94.04215</v>
      </c>
      <c r="D149" s="37" t="n">
        <f aca="false">INDEX('تحليل التكلفة والسعر'!$C$2:$C$700,MATCH($B149,'تحليل التكلفة والسعر'!$B$2:$B$700,0))</f>
        <v>94.1893</v>
      </c>
      <c r="E149" s="37" t="n">
        <f aca="false">D149-C149</f>
        <v>0.147149999999996</v>
      </c>
      <c r="F149" s="38" t="n">
        <f aca="false">IF(C149=0,"",D149/C149-1)</f>
        <v>0.00156472390305829</v>
      </c>
      <c r="G149" s="37" t="n">
        <f aca="false">INDEX('تحليل التكلفة والسعر'!$D$2:$D$700,MATCH($B149,'تحليل التكلفة والسعر'!$B$2:$B$700,0))</f>
        <v>190</v>
      </c>
      <c r="H149" s="38" t="n">
        <f aca="false">IF(OR(G149="",G149=0),"",C149/G149)</f>
        <v>0.494958684210526</v>
      </c>
      <c r="I149" s="38" t="n">
        <f aca="false">IF(OR(G149="",G149=0),"",D149/G149)</f>
        <v>0.495733157894737</v>
      </c>
      <c r="J149" s="38" t="n">
        <f aca="false">IF(OR(H149="",I149=""),"",I149-H149)</f>
        <v>0.000774473684210519</v>
      </c>
    </row>
    <row r="150" customFormat="false" ht="15" hidden="false" customHeight="false" outlineLevel="0" collapsed="false">
      <c r="A150" s="36" t="s">
        <v>17</v>
      </c>
      <c r="B150" s="36" t="s">
        <v>455</v>
      </c>
      <c r="C150" s="30" t="n">
        <v>75.4303</v>
      </c>
      <c r="D150" s="37" t="n">
        <f aca="false">INDEX('تحليل التكلفة والسعر'!$C$2:$C$700,MATCH($B150,'تحليل التكلفة والسعر'!$B$2:$B$700,0))</f>
        <v>75.326</v>
      </c>
      <c r="E150" s="37" t="n">
        <f aca="false">D150-C150</f>
        <v>-0.104299999999995</v>
      </c>
      <c r="F150" s="38" t="n">
        <f aca="false">IF(C150=0,"",D150/C150-1)</f>
        <v>-0.00138273346387319</v>
      </c>
      <c r="G150" s="37" t="n">
        <f aca="false">INDEX('تحليل التكلفة والسعر'!$D$2:$D$700,MATCH($B150,'تحليل التكلفة والسعر'!$B$2:$B$700,0))</f>
        <v>170</v>
      </c>
      <c r="H150" s="38" t="n">
        <f aca="false">IF(OR(G150="",G150=0),"",C150/G150)</f>
        <v>0.443707647058824</v>
      </c>
      <c r="I150" s="38" t="n">
        <f aca="false">IF(OR(G150="",G150=0),"",D150/G150)</f>
        <v>0.443094117647059</v>
      </c>
      <c r="J150" s="38" t="n">
        <f aca="false">IF(OR(H150="",I150=""),"",I150-H150)</f>
        <v>-0.00061352941176468</v>
      </c>
    </row>
    <row r="151" customFormat="false" ht="15" hidden="false" customHeight="false" outlineLevel="0" collapsed="false">
      <c r="A151" s="36" t="s">
        <v>20</v>
      </c>
      <c r="B151" s="36" t="s">
        <v>456</v>
      </c>
      <c r="C151" s="30" t="n">
        <v>67.42</v>
      </c>
      <c r="D151" s="37" t="n">
        <f aca="false">INDEX('تحليل التكلفة والسعر'!$C$2:$C$700,MATCH($B151,'تحليل التكلفة والسعر'!$B$2:$B$700,0))</f>
        <v>67.3328</v>
      </c>
      <c r="E151" s="37" t="n">
        <f aca="false">D151-C151</f>
        <v>-0.0871999999999957</v>
      </c>
      <c r="F151" s="38" t="n">
        <f aca="false">IF(C151=0,"",D151/C151-1)</f>
        <v>-0.00129338475229901</v>
      </c>
      <c r="G151" s="37" t="n">
        <f aca="false">INDEX('تحليل التكلفة والسعر'!$D$2:$D$700,MATCH($B151,'تحليل التكلفة والسعر'!$B$2:$B$700,0))</f>
        <v>120</v>
      </c>
      <c r="H151" s="38" t="n">
        <f aca="false">IF(OR(G151="",G151=0),"",C151/G151)</f>
        <v>0.561833333333333</v>
      </c>
      <c r="I151" s="38" t="n">
        <f aca="false">IF(OR(G151="",G151=0),"",D151/G151)</f>
        <v>0.561106666666667</v>
      </c>
      <c r="J151" s="38" t="n">
        <f aca="false">IF(OR(H151="",I151=""),"",I151-H151)</f>
        <v>-0.000726666666666542</v>
      </c>
    </row>
    <row r="152" customFormat="false" ht="15" hidden="false" customHeight="false" outlineLevel="0" collapsed="false">
      <c r="A152" s="36" t="s">
        <v>16</v>
      </c>
      <c r="B152" s="36" t="s">
        <v>457</v>
      </c>
      <c r="C152" s="30" t="n">
        <v>130.5491</v>
      </c>
      <c r="D152" s="37" t="n">
        <f aca="false">INDEX('تحليل التكلفة والسعر'!$C$2:$C$700,MATCH($B152,'تحليل التكلفة والسعر'!$B$2:$B$700,0))</f>
        <v>130.416</v>
      </c>
      <c r="E152" s="37" t="n">
        <f aca="false">D152-C152</f>
        <v>-0.133100000000013</v>
      </c>
      <c r="F152" s="38" t="n">
        <f aca="false">IF(C152=0,"",D152/C152-1)</f>
        <v>-0.00101953977469027</v>
      </c>
      <c r="G152" s="37" t="n">
        <f aca="false">INDEX('تحليل التكلفة والسعر'!$D$2:$D$700,MATCH($B152,'تحليل التكلفة والسعر'!$B$2:$B$700,0))</f>
        <v>230</v>
      </c>
      <c r="H152" s="38" t="n">
        <f aca="false">IF(OR(G152="",G152=0),"",C152/G152)</f>
        <v>0.567604782608696</v>
      </c>
      <c r="I152" s="38" t="n">
        <f aca="false">IF(OR(G152="",G152=0),"",D152/G152)</f>
        <v>0.567026086956522</v>
      </c>
      <c r="J152" s="38" t="n">
        <f aca="false">IF(OR(H152="",I152=""),"",I152-H152)</f>
        <v>-0.000578695652174055</v>
      </c>
    </row>
    <row r="153" customFormat="false" ht="15" hidden="false" customHeight="false" outlineLevel="0" collapsed="false">
      <c r="A153" s="36" t="s">
        <v>9</v>
      </c>
      <c r="B153" s="36" t="s">
        <v>458</v>
      </c>
      <c r="C153" s="30" t="n">
        <v>133.0491</v>
      </c>
      <c r="D153" s="37" t="n">
        <f aca="false">INDEX('تحليل التكلفة والسعر'!$C$2:$C$700,MATCH($B153,'تحليل التكلفة والسعر'!$B$2:$B$700,0))</f>
        <v>132.916</v>
      </c>
      <c r="E153" s="37" t="n">
        <f aca="false">D153-C153</f>
        <v>-0.133100000000013</v>
      </c>
      <c r="F153" s="38" t="n">
        <f aca="false">IF(C153=0,"",D153/C153-1)</f>
        <v>-0.00100038256553414</v>
      </c>
      <c r="G153" s="37" t="n">
        <f aca="false">INDEX('تحليل التكلفة والسعر'!$D$2:$D$700,MATCH($B153,'تحليل التكلفة والسعر'!$B$2:$B$700,0))</f>
        <v>230</v>
      </c>
      <c r="H153" s="38" t="n">
        <f aca="false">IF(OR(G153="",G153=0),"",C153/G153)</f>
        <v>0.578474347826087</v>
      </c>
      <c r="I153" s="38" t="n">
        <f aca="false">IF(OR(G153="",G153=0),"",D153/G153)</f>
        <v>0.577895652173913</v>
      </c>
      <c r="J153" s="38" t="n">
        <f aca="false">IF(OR(H153="",I153=""),"",I153-H153)</f>
        <v>-0.000578695652173944</v>
      </c>
    </row>
    <row r="154" customFormat="false" ht="15" hidden="false" customHeight="false" outlineLevel="0" collapsed="false">
      <c r="A154" s="36" t="s">
        <v>13</v>
      </c>
      <c r="B154" s="36" t="s">
        <v>459</v>
      </c>
      <c r="C154" s="30" t="n">
        <v>78.52</v>
      </c>
      <c r="D154" s="37" t="n">
        <f aca="false">INDEX('تحليل التكلفة والسعر'!$C$2:$C$700,MATCH($B154,'تحليل التكلفة والسعر'!$B$2:$B$700,0))</f>
        <v>78.443635</v>
      </c>
      <c r="E154" s="37" t="n">
        <f aca="false">D154-C154</f>
        <v>-0.0763649999999956</v>
      </c>
      <c r="F154" s="38" t="n">
        <f aca="false">IF(C154=0,"",D154/C154-1)</f>
        <v>-0.000972554763117639</v>
      </c>
      <c r="G154" s="37" t="n">
        <f aca="false">INDEX('تحليل التكلفة والسعر'!$D$2:$D$700,MATCH($B154,'تحليل التكلفة والسعر'!$B$2:$B$700,0))</f>
        <v>130</v>
      </c>
      <c r="H154" s="38" t="n">
        <f aca="false">IF(OR(G154="",G154=0),"",C154/G154)</f>
        <v>0.604</v>
      </c>
      <c r="I154" s="38" t="n">
        <f aca="false">IF(OR(G154="",G154=0),"",D154/G154)</f>
        <v>0.603412576923077</v>
      </c>
      <c r="J154" s="38" t="n">
        <f aca="false">IF(OR(H154="",I154=""),"",I154-H154)</f>
        <v>-0.000587423076923055</v>
      </c>
    </row>
    <row r="155" customFormat="false" ht="15" hidden="false" customHeight="false" outlineLevel="0" collapsed="false">
      <c r="A155" s="36" t="s">
        <v>12</v>
      </c>
      <c r="B155" s="36" t="s">
        <v>460</v>
      </c>
      <c r="C155" s="30" t="n">
        <v>79.2887</v>
      </c>
      <c r="D155" s="37" t="n">
        <f aca="false">INDEX('تحليل التكلفة والسعر'!$C$2:$C$700,MATCH($B155,'تحليل التكلفة والسعر'!$B$2:$B$700,0))</f>
        <v>79.226</v>
      </c>
      <c r="E155" s="37" t="n">
        <f aca="false">D155-C155</f>
        <v>-0.0627000000000066</v>
      </c>
      <c r="F155" s="38" t="n">
        <f aca="false">IF(C155=0,"",D155/C155-1)</f>
        <v>-0.000790781031849486</v>
      </c>
      <c r="G155" s="37" t="n">
        <f aca="false">INDEX('تحليل التكلفة والسعر'!$D$2:$D$700,MATCH($B155,'تحليل التكلفة والسعر'!$B$2:$B$700,0))</f>
        <v>150</v>
      </c>
      <c r="H155" s="38" t="n">
        <f aca="false">IF(OR(G155="",G155=0),"",C155/G155)</f>
        <v>0.528591333333333</v>
      </c>
      <c r="I155" s="38" t="n">
        <f aca="false">IF(OR(G155="",G155=0),"",D155/G155)</f>
        <v>0.528173333333333</v>
      </c>
      <c r="J155" s="38" t="n">
        <f aca="false">IF(OR(H155="",I155=""),"",I155-H155)</f>
        <v>-0.000418000000000141</v>
      </c>
    </row>
    <row r="156" customFormat="false" ht="15" hidden="false" customHeight="false" outlineLevel="0" collapsed="false">
      <c r="A156" s="36" t="s">
        <v>9</v>
      </c>
      <c r="B156" s="36" t="s">
        <v>461</v>
      </c>
      <c r="C156" s="30" t="n">
        <v>162.33215</v>
      </c>
      <c r="D156" s="37" t="n">
        <f aca="false">INDEX('تحليل التكلفة والسعر'!$C$2:$C$700,MATCH($B156,'تحليل التكلفة والسعر'!$B$2:$B$700,0))</f>
        <v>162.4593</v>
      </c>
      <c r="E156" s="37" t="n">
        <f aca="false">D156-C156</f>
        <v>0.127149999999972</v>
      </c>
      <c r="F156" s="38" t="n">
        <f aca="false">IF(C156=0,"",D156/C156-1)</f>
        <v>0.000783270596736108</v>
      </c>
      <c r="G156" s="37" t="n">
        <f aca="false">INDEX('تحليل التكلفة والسعر'!$D$2:$D$700,MATCH($B156,'تحليل التكلفة والسعر'!$B$2:$B$700,0))</f>
        <v>330</v>
      </c>
      <c r="H156" s="38" t="n">
        <f aca="false">IF(OR(G156="",G156=0),"",C156/G156)</f>
        <v>0.491915606060606</v>
      </c>
      <c r="I156" s="38" t="n">
        <f aca="false">IF(OR(G156="",G156=0),"",D156/G156)</f>
        <v>0.492300909090909</v>
      </c>
      <c r="J156" s="38" t="n">
        <f aca="false">IF(OR(H156="",I156=""),"",I156-H156)</f>
        <v>0.000385303030302986</v>
      </c>
    </row>
    <row r="157" customFormat="false" ht="15" hidden="false" customHeight="false" outlineLevel="0" collapsed="false">
      <c r="A157" s="36" t="s">
        <v>310</v>
      </c>
      <c r="B157" s="36" t="s">
        <v>462</v>
      </c>
      <c r="C157" s="30" t="n">
        <v>42</v>
      </c>
      <c r="D157" s="37" t="n">
        <f aca="false">INDEX('تحليل التكلفة والسعر'!$C$2:$C$700,MATCH($B157,'تحليل التكلفة والسعر'!$B$2:$B$700,0))</f>
        <v>42.03</v>
      </c>
      <c r="E157" s="37" t="n">
        <f aca="false">D157-C157</f>
        <v>0.0300000000000011</v>
      </c>
      <c r="F157" s="38" t="n">
        <f aca="false">IF(C157=0,"",D157/C157-1)</f>
        <v>0.000714285714285667</v>
      </c>
      <c r="G157" s="37" t="n">
        <f aca="false">INDEX('تحليل التكلفة والسعر'!$D$2:$D$700,MATCH($B157,'تحليل التكلفة والسعر'!$B$2:$B$700,0))</f>
        <v>70</v>
      </c>
      <c r="H157" s="38" t="n">
        <f aca="false">IF(OR(G157="",G157=0),"",C157/G157)</f>
        <v>0.6</v>
      </c>
      <c r="I157" s="38" t="n">
        <f aca="false">IF(OR(G157="",G157=0),"",D157/G157)</f>
        <v>0.600428571428571</v>
      </c>
      <c r="J157" s="38" t="n">
        <f aca="false">IF(OR(H157="",I157=""),"",I157-H157)</f>
        <v>0.000428571428571445</v>
      </c>
    </row>
    <row r="158" customFormat="false" ht="15" hidden="false" customHeight="false" outlineLevel="0" collapsed="false">
      <c r="A158" s="36" t="s">
        <v>12</v>
      </c>
      <c r="B158" s="36" t="s">
        <v>463</v>
      </c>
      <c r="C158" s="30" t="n">
        <v>95.2424</v>
      </c>
      <c r="D158" s="37" t="n">
        <f aca="false">INDEX('تحليل التكلفة والسعر'!$C$2:$C$700,MATCH($B158,'تحليل التكلفة والسعر'!$B$2:$B$700,0))</f>
        <v>95.19696</v>
      </c>
      <c r="E158" s="37" t="n">
        <f aca="false">D158-C158</f>
        <v>-0.0454399999999993</v>
      </c>
      <c r="F158" s="38" t="n">
        <f aca="false">IF(C158=0,"",D158/C158-1)</f>
        <v>-0.000477098435150758</v>
      </c>
      <c r="G158" s="37" t="n">
        <f aca="false">INDEX('تحليل التكلفة والسعر'!$D$2:$D$700,MATCH($B158,'تحليل التكلفة والسعر'!$B$2:$B$700,0))</f>
        <v>160</v>
      </c>
      <c r="H158" s="38" t="n">
        <f aca="false">IF(OR(G158="",G158=0),"",C158/G158)</f>
        <v>0.595265</v>
      </c>
      <c r="I158" s="38" t="n">
        <f aca="false">IF(OR(G158="",G158=0),"",D158/G158)</f>
        <v>0.594981</v>
      </c>
      <c r="J158" s="38" t="n">
        <f aca="false">IF(OR(H158="",I158=""),"",I158-H158)</f>
        <v>-0.000284000000000062</v>
      </c>
    </row>
    <row r="159" customFormat="false" ht="15" hidden="false" customHeight="false" outlineLevel="0" collapsed="false">
      <c r="A159" s="36" t="s">
        <v>310</v>
      </c>
      <c r="B159" s="36" t="s">
        <v>464</v>
      </c>
      <c r="C159" s="30" t="n">
        <v>14</v>
      </c>
      <c r="D159" s="37" t="n">
        <f aca="false">INDEX('تحليل التكلفة والسعر'!$C$2:$C$700,MATCH($B159,'تحليل التكلفة والسعر'!$B$2:$B$700,0))</f>
        <v>14</v>
      </c>
      <c r="E159" s="37" t="n">
        <f aca="false">D159-C159</f>
        <v>0</v>
      </c>
      <c r="F159" s="38" t="n">
        <f aca="false">IF(C159=0,"",D159/C159-1)</f>
        <v>0</v>
      </c>
      <c r="G159" s="37" t="n">
        <f aca="false">INDEX('تحليل التكلفة والسعر'!$D$2:$D$700,MATCH($B159,'تحليل التكلفة والسعر'!$B$2:$B$700,0))</f>
        <v>30.92</v>
      </c>
      <c r="H159" s="38" t="n">
        <f aca="false">IF(OR(G159="",G159=0),"",C159/G159)</f>
        <v>0.452781371280724</v>
      </c>
      <c r="I159" s="38" t="n">
        <f aca="false">IF(OR(G159="",G159=0),"",D159/G159)</f>
        <v>0.452781371280724</v>
      </c>
      <c r="J159" s="38" t="n">
        <f aca="false">IF(OR(H159="",I159=""),"",I159-H159)</f>
        <v>0</v>
      </c>
    </row>
    <row r="160" customFormat="false" ht="15" hidden="false" customHeight="false" outlineLevel="0" collapsed="false">
      <c r="A160" s="36" t="s">
        <v>310</v>
      </c>
      <c r="B160" s="36" t="s">
        <v>465</v>
      </c>
      <c r="C160" s="30" t="n">
        <v>21</v>
      </c>
      <c r="D160" s="37" t="n">
        <f aca="false">INDEX('تحليل التكلفة والسعر'!$C$2:$C$700,MATCH($B160,'تحليل التكلفة والسعر'!$B$2:$B$700,0))</f>
        <v>21</v>
      </c>
      <c r="E160" s="37" t="n">
        <f aca="false">D160-C160</f>
        <v>0</v>
      </c>
      <c r="F160" s="38" t="n">
        <f aca="false">IF(C160=0,"",D160/C160-1)</f>
        <v>0</v>
      </c>
      <c r="G160" s="37" t="n">
        <f aca="false">INDEX('تحليل التكلفة والسعر'!$D$2:$D$700,MATCH($B160,'تحليل التكلفة والسعر'!$B$2:$B$700,0))</f>
        <v>45.56</v>
      </c>
      <c r="H160" s="38" t="n">
        <f aca="false">IF(OR(G160="",G160=0),"",C160/G160)</f>
        <v>0.460930640913082</v>
      </c>
      <c r="I160" s="38" t="n">
        <f aca="false">IF(OR(G160="",G160=0),"",D160/G160)</f>
        <v>0.460930640913082</v>
      </c>
      <c r="J160" s="38" t="n">
        <f aca="false">IF(OR(H160="",I160=""),"",I160-H160)</f>
        <v>0</v>
      </c>
    </row>
    <row r="161" customFormat="false" ht="15" hidden="false" customHeight="false" outlineLevel="0" collapsed="false">
      <c r="A161" s="36" t="s">
        <v>310</v>
      </c>
      <c r="B161" s="36" t="s">
        <v>466</v>
      </c>
      <c r="C161" s="30" t="n">
        <v>14</v>
      </c>
      <c r="D161" s="37" t="n">
        <f aca="false">INDEX('تحليل التكلفة والسعر'!$C$2:$C$700,MATCH($B161,'تحليل التكلفة والسعر'!$B$2:$B$700,0))</f>
        <v>14</v>
      </c>
      <c r="E161" s="37" t="n">
        <f aca="false">D161-C161</f>
        <v>0</v>
      </c>
      <c r="F161" s="38" t="n">
        <f aca="false">IF(C161=0,"",D161/C161-1)</f>
        <v>0</v>
      </c>
      <c r="G161" s="37" t="n">
        <f aca="false">INDEX('تحليل التكلفة والسعر'!$D$2:$D$700,MATCH($B161,'تحليل التكلفة والسعر'!$B$2:$B$700,0))</f>
        <v>30.71</v>
      </c>
      <c r="H161" s="38" t="n">
        <f aca="false">IF(OR(G161="",G161=0),"",C161/G161)</f>
        <v>0.455877564311299</v>
      </c>
      <c r="I161" s="38" t="n">
        <f aca="false">IF(OR(G161="",G161=0),"",D161/G161)</f>
        <v>0.455877564311299</v>
      </c>
      <c r="J161" s="38" t="n">
        <f aca="false">IF(OR(H161="",I161=""),"",I161-H161)</f>
        <v>0</v>
      </c>
    </row>
    <row r="162" customFormat="false" ht="15" hidden="false" customHeight="false" outlineLevel="0" collapsed="false">
      <c r="A162" s="36" t="s">
        <v>310</v>
      </c>
      <c r="B162" s="36" t="s">
        <v>467</v>
      </c>
      <c r="C162" s="30" t="n">
        <v>17.5</v>
      </c>
      <c r="D162" s="37" t="n">
        <f aca="false">INDEX('تحليل التكلفة والسعر'!$C$2:$C$700,MATCH($B162,'تحليل التكلفة والسعر'!$B$2:$B$700,0))</f>
        <v>17.5</v>
      </c>
      <c r="E162" s="37" t="n">
        <f aca="false">D162-C162</f>
        <v>0</v>
      </c>
      <c r="F162" s="38" t="n">
        <f aca="false">IF(C162=0,"",D162/C162-1)</f>
        <v>0</v>
      </c>
      <c r="G162" s="37" t="n">
        <f aca="false">INDEX('تحليل التكلفة والسعر'!$D$2:$D$700,MATCH($B162,'تحليل التكلفة والسعر'!$B$2:$B$700,0))</f>
        <v>30.62</v>
      </c>
      <c r="H162" s="38" t="n">
        <f aca="false">IF(OR(G162="",G162=0),"",C162/G162)</f>
        <v>0.571521881123449</v>
      </c>
      <c r="I162" s="38" t="n">
        <f aca="false">IF(OR(G162="",G162=0),"",D162/G162)</f>
        <v>0.571521881123449</v>
      </c>
      <c r="J162" s="38" t="n">
        <f aca="false">IF(OR(H162="",I162=""),"",I162-H162)</f>
        <v>0</v>
      </c>
    </row>
    <row r="163" customFormat="false" ht="15" hidden="false" customHeight="false" outlineLevel="0" collapsed="false">
      <c r="A163" s="36" t="s">
        <v>310</v>
      </c>
      <c r="B163" s="36" t="s">
        <v>468</v>
      </c>
      <c r="C163" s="30" t="n">
        <v>25</v>
      </c>
      <c r="D163" s="37" t="n">
        <f aca="false">INDEX('تحليل التكلفة والسعر'!$C$2:$C$700,MATCH($B163,'تحليل التكلفة والسعر'!$B$2:$B$700,0))</f>
        <v>25</v>
      </c>
      <c r="E163" s="37" t="n">
        <f aca="false">D163-C163</f>
        <v>0</v>
      </c>
      <c r="F163" s="38" t="n">
        <f aca="false">IF(C163=0,"",D163/C163-1)</f>
        <v>0</v>
      </c>
      <c r="G163" s="37" t="n">
        <f aca="false">INDEX('تحليل التكلفة والسعر'!$D$2:$D$700,MATCH($B163,'تحليل التكلفة والسعر'!$B$2:$B$700,0))</f>
        <v>45</v>
      </c>
      <c r="H163" s="38" t="n">
        <f aca="false">IF(OR(G163="",G163=0),"",C163/G163)</f>
        <v>0.555555555555556</v>
      </c>
      <c r="I163" s="38" t="n">
        <f aca="false">IF(OR(G163="",G163=0),"",D163/G163)</f>
        <v>0.555555555555556</v>
      </c>
      <c r="J163" s="38" t="n">
        <f aca="false">IF(OR(H163="",I163=""),"",I163-H163)</f>
        <v>0</v>
      </c>
    </row>
    <row r="164" customFormat="false" ht="15" hidden="false" customHeight="false" outlineLevel="0" collapsed="false">
      <c r="A164" s="36" t="s">
        <v>310</v>
      </c>
      <c r="B164" s="36" t="s">
        <v>469</v>
      </c>
      <c r="C164" s="30" t="n">
        <v>20</v>
      </c>
      <c r="D164" s="37" t="n">
        <f aca="false">INDEX('تحليل التكلفة والسعر'!$C$2:$C$700,MATCH($B164,'تحليل التكلفة والسعر'!$B$2:$B$700,0))</f>
        <v>20</v>
      </c>
      <c r="E164" s="37" t="n">
        <f aca="false">D164-C164</f>
        <v>0</v>
      </c>
      <c r="F164" s="38" t="n">
        <f aca="false">IF(C164=0,"",D164/C164-1)</f>
        <v>0</v>
      </c>
      <c r="G164" s="37" t="n">
        <f aca="false">INDEX('تحليل التكلفة والسعر'!$D$2:$D$700,MATCH($B164,'تحليل التكلفة والسعر'!$B$2:$B$700,0))</f>
        <v>31.25</v>
      </c>
      <c r="H164" s="38" t="n">
        <f aca="false">IF(OR(G164="",G164=0),"",C164/G164)</f>
        <v>0.64</v>
      </c>
      <c r="I164" s="38" t="n">
        <f aca="false">IF(OR(G164="",G164=0),"",D164/G164)</f>
        <v>0.64</v>
      </c>
      <c r="J164" s="38" t="n">
        <f aca="false">IF(OR(H164="",I164=""),"",I164-H164)</f>
        <v>0</v>
      </c>
    </row>
    <row r="165" customFormat="false" ht="15" hidden="false" customHeight="false" outlineLevel="0" collapsed="false">
      <c r="A165" s="36" t="s">
        <v>310</v>
      </c>
      <c r="B165" s="36" t="s">
        <v>470</v>
      </c>
      <c r="C165" s="30" t="n">
        <v>9</v>
      </c>
      <c r="D165" s="37" t="n">
        <f aca="false">INDEX('تحليل التكلفة والسعر'!$C$2:$C$700,MATCH($B165,'تحليل التكلفة والسعر'!$B$2:$B$700,0))</f>
        <v>9</v>
      </c>
      <c r="E165" s="37" t="n">
        <f aca="false">D165-C165</f>
        <v>0</v>
      </c>
      <c r="F165" s="38" t="n">
        <f aca="false">IF(C165=0,"",D165/C165-1)</f>
        <v>0</v>
      </c>
      <c r="G165" s="37" t="n">
        <f aca="false">INDEX('تحليل التكلفة والسعر'!$D$2:$D$700,MATCH($B165,'تحليل التكلفة والسعر'!$B$2:$B$700,0))</f>
        <v>30</v>
      </c>
      <c r="H165" s="38" t="n">
        <f aca="false">IF(OR(G165="",G165=0),"",C165/G165)</f>
        <v>0.3</v>
      </c>
      <c r="I165" s="38" t="n">
        <f aca="false">IF(OR(G165="",G165=0),"",D165/G165)</f>
        <v>0.3</v>
      </c>
      <c r="J165" s="38" t="n">
        <f aca="false">IF(OR(H165="",I165=""),"",I165-H165)</f>
        <v>0</v>
      </c>
    </row>
    <row r="166" customFormat="false" ht="15" hidden="false" customHeight="false" outlineLevel="0" collapsed="false">
      <c r="A166" s="36" t="s">
        <v>310</v>
      </c>
      <c r="B166" s="36" t="s">
        <v>471</v>
      </c>
      <c r="C166" s="30" t="n">
        <v>9</v>
      </c>
      <c r="D166" s="37" t="n">
        <f aca="false">INDEX('تحليل التكلفة والسعر'!$C$2:$C$700,MATCH($B166,'تحليل التكلفة والسعر'!$B$2:$B$700,0))</f>
        <v>9</v>
      </c>
      <c r="E166" s="37" t="n">
        <f aca="false">D166-C166</f>
        <v>0</v>
      </c>
      <c r="F166" s="38" t="n">
        <f aca="false">IF(C166=0,"",D166/C166-1)</f>
        <v>0</v>
      </c>
      <c r="G166" s="37" t="n">
        <f aca="false">INDEX('تحليل التكلفة والسعر'!$D$2:$D$700,MATCH($B166,'تحليل التكلفة والسعر'!$B$2:$B$700,0))</f>
        <v>30</v>
      </c>
      <c r="H166" s="38" t="n">
        <f aca="false">IF(OR(G166="",G166=0),"",C166/G166)</f>
        <v>0.3</v>
      </c>
      <c r="I166" s="38" t="n">
        <f aca="false">IF(OR(G166="",G166=0),"",D166/G166)</f>
        <v>0.3</v>
      </c>
      <c r="J166" s="38" t="n">
        <f aca="false">IF(OR(H166="",I166=""),"",I166-H166)</f>
        <v>0</v>
      </c>
    </row>
    <row r="167" customFormat="false" ht="15" hidden="false" customHeight="false" outlineLevel="0" collapsed="false">
      <c r="A167" s="36" t="s">
        <v>310</v>
      </c>
      <c r="B167" s="36" t="s">
        <v>472</v>
      </c>
      <c r="C167" s="30" t="n">
        <v>13.5</v>
      </c>
      <c r="D167" s="37" t="n">
        <f aca="false">INDEX('تحليل التكلفة والسعر'!$C$2:$C$700,MATCH($B167,'تحليل التكلفة والسعر'!$B$2:$B$700,0))</f>
        <v>13.5</v>
      </c>
      <c r="E167" s="37" t="n">
        <f aca="false">D167-C167</f>
        <v>0</v>
      </c>
      <c r="F167" s="38" t="n">
        <f aca="false">IF(C167=0,"",D167/C167-1)</f>
        <v>0</v>
      </c>
      <c r="G167" s="37" t="n">
        <f aca="false">INDEX('تحليل التكلفة والسعر'!$D$2:$D$700,MATCH($B167,'تحليل التكلفة والسعر'!$B$2:$B$700,0))</f>
        <v>45</v>
      </c>
      <c r="H167" s="38" t="n">
        <f aca="false">IF(OR(G167="",G167=0),"",C167/G167)</f>
        <v>0.3</v>
      </c>
      <c r="I167" s="38" t="n">
        <f aca="false">IF(OR(G167="",G167=0),"",D167/G167)</f>
        <v>0.3</v>
      </c>
      <c r="J167" s="38" t="n">
        <f aca="false">IF(OR(H167="",I167=""),"",I167-H167)</f>
        <v>0</v>
      </c>
    </row>
    <row r="168" customFormat="false" ht="15" hidden="false" customHeight="false" outlineLevel="0" collapsed="false">
      <c r="A168" s="36" t="s">
        <v>310</v>
      </c>
      <c r="B168" s="36" t="s">
        <v>473</v>
      </c>
      <c r="C168" s="30" t="n">
        <v>21</v>
      </c>
      <c r="D168" s="37" t="n">
        <f aca="false">INDEX('تحليل التكلفة والسعر'!$C$2:$C$700,MATCH($B168,'تحليل التكلفة والسعر'!$B$2:$B$700,0))</f>
        <v>21</v>
      </c>
      <c r="E168" s="37" t="n">
        <f aca="false">D168-C168</f>
        <v>0</v>
      </c>
      <c r="F168" s="38" t="n">
        <f aca="false">IF(C168=0,"",D168/C168-1)</f>
        <v>0</v>
      </c>
      <c r="G168" s="37" t="n">
        <f aca="false">INDEX('تحليل التكلفة والسعر'!$D$2:$D$700,MATCH($B168,'تحليل التكلفة والسعر'!$B$2:$B$700,0))</f>
        <v>50</v>
      </c>
      <c r="H168" s="38" t="n">
        <f aca="false">IF(OR(G168="",G168=0),"",C168/G168)</f>
        <v>0.42</v>
      </c>
      <c r="I168" s="38" t="n">
        <f aca="false">IF(OR(G168="",G168=0),"",D168/G168)</f>
        <v>0.42</v>
      </c>
      <c r="J168" s="38" t="n">
        <f aca="false">IF(OR(H168="",I168=""),"",I168-H168)</f>
        <v>0</v>
      </c>
    </row>
    <row r="169" customFormat="false" ht="15" hidden="false" customHeight="false" outlineLevel="0" collapsed="false">
      <c r="A169" s="36" t="s">
        <v>310</v>
      </c>
      <c r="B169" s="36" t="s">
        <v>474</v>
      </c>
      <c r="C169" s="30" t="n">
        <v>21</v>
      </c>
      <c r="D169" s="37" t="n">
        <f aca="false">INDEX('تحليل التكلفة والسعر'!$C$2:$C$700,MATCH($B169,'تحليل التكلفة والسعر'!$B$2:$B$700,0))</f>
        <v>21</v>
      </c>
      <c r="E169" s="37" t="n">
        <f aca="false">D169-C169</f>
        <v>0</v>
      </c>
      <c r="F169" s="38" t="n">
        <f aca="false">IF(C169=0,"",D169/C169-1)</f>
        <v>0</v>
      </c>
      <c r="G169" s="37" t="n">
        <f aca="false">INDEX('تحليل التكلفة والسعر'!$D$2:$D$700,MATCH($B169,'تحليل التكلفة والسعر'!$B$2:$B$700,0))</f>
        <v>50</v>
      </c>
      <c r="H169" s="38" t="n">
        <f aca="false">IF(OR(G169="",G169=0),"",C169/G169)</f>
        <v>0.42</v>
      </c>
      <c r="I169" s="38" t="n">
        <f aca="false">IF(OR(G169="",G169=0),"",D169/G169)</f>
        <v>0.42</v>
      </c>
      <c r="J169" s="38" t="n">
        <f aca="false">IF(OR(H169="",I169=""),"",I169-H169)</f>
        <v>0</v>
      </c>
    </row>
    <row r="170" customFormat="false" ht="15" hidden="false" customHeight="false" outlineLevel="0" collapsed="false">
      <c r="A170" s="36" t="s">
        <v>310</v>
      </c>
      <c r="B170" s="36" t="s">
        <v>475</v>
      </c>
      <c r="C170" s="30" t="n">
        <v>34</v>
      </c>
      <c r="D170" s="37" t="n">
        <f aca="false">INDEX('تحليل التكلفة والسعر'!$C$2:$C$700,MATCH($B170,'تحليل التكلفة والسعر'!$B$2:$B$700,0))</f>
        <v>34</v>
      </c>
      <c r="E170" s="37" t="n">
        <f aca="false">D170-C170</f>
        <v>0</v>
      </c>
      <c r="F170" s="38" t="n">
        <f aca="false">IF(C170=0,"",D170/C170-1)</f>
        <v>0</v>
      </c>
      <c r="G170" s="37" t="n">
        <f aca="false">INDEX('تحليل التكلفة والسعر'!$D$2:$D$700,MATCH($B170,'تحليل التكلفة والسعر'!$B$2:$B$700,0))</f>
        <v>70</v>
      </c>
      <c r="H170" s="38" t="n">
        <f aca="false">IF(OR(G170="",G170=0),"",C170/G170)</f>
        <v>0.485714285714286</v>
      </c>
      <c r="I170" s="38" t="n">
        <f aca="false">IF(OR(G170="",G170=0),"",D170/G170)</f>
        <v>0.485714285714286</v>
      </c>
      <c r="J170" s="38" t="n">
        <f aca="false">IF(OR(H170="",I170=""),"",I170-H170)</f>
        <v>0</v>
      </c>
    </row>
    <row r="171" customFormat="false" ht="15" hidden="false" customHeight="false" outlineLevel="0" collapsed="false">
      <c r="A171" s="36" t="s">
        <v>310</v>
      </c>
      <c r="B171" s="36" t="s">
        <v>476</v>
      </c>
      <c r="C171" s="30" t="n">
        <v>34</v>
      </c>
      <c r="D171" s="37" t="n">
        <f aca="false">INDEX('تحليل التكلفة والسعر'!$C$2:$C$700,MATCH($B171,'تحليل التكلفة والسعر'!$B$2:$B$700,0))</f>
        <v>34</v>
      </c>
      <c r="E171" s="37" t="n">
        <f aca="false">D171-C171</f>
        <v>0</v>
      </c>
      <c r="F171" s="38" t="n">
        <f aca="false">IF(C171=0,"",D171/C171-1)</f>
        <v>0</v>
      </c>
      <c r="G171" s="37" t="n">
        <f aca="false">INDEX('تحليل التكلفة والسعر'!$D$2:$D$700,MATCH($B171,'تحليل التكلفة والسعر'!$B$2:$B$700,0))</f>
        <v>73.33</v>
      </c>
      <c r="H171" s="38" t="n">
        <f aca="false">IF(OR(G171="",G171=0),"",C171/G171)</f>
        <v>0.463657438974499</v>
      </c>
      <c r="I171" s="38" t="n">
        <f aca="false">IF(OR(G171="",G171=0),"",D171/G171)</f>
        <v>0.463657438974499</v>
      </c>
      <c r="J171" s="38" t="n">
        <f aca="false">IF(OR(H171="",I171=""),"",I171-H171)</f>
        <v>0</v>
      </c>
    </row>
    <row r="172" customFormat="false" ht="15" hidden="false" customHeight="false" outlineLevel="0" collapsed="false">
      <c r="A172" s="36" t="s">
        <v>310</v>
      </c>
      <c r="B172" s="36" t="s">
        <v>477</v>
      </c>
      <c r="C172" s="30" t="n">
        <v>20</v>
      </c>
      <c r="D172" s="37" t="n">
        <f aca="false">INDEX('تحليل التكلفة والسعر'!$C$2:$C$700,MATCH($B172,'تحليل التكلفة والسعر'!$B$2:$B$700,0))</f>
        <v>20</v>
      </c>
      <c r="E172" s="37" t="n">
        <f aca="false">D172-C172</f>
        <v>0</v>
      </c>
      <c r="F172" s="38" t="n">
        <f aca="false">IF(C172=0,"",D172/C172-1)</f>
        <v>0</v>
      </c>
      <c r="G172" s="37" t="n">
        <f aca="false">INDEX('تحليل التكلفة والسعر'!$D$2:$D$700,MATCH($B172,'تحليل التكلفة والسعر'!$B$2:$B$700,0))</f>
        <v>30.83</v>
      </c>
      <c r="H172" s="38" t="n">
        <f aca="false">IF(OR(G172="",G172=0),"",C172/G172)</f>
        <v>0.648718780408693</v>
      </c>
      <c r="I172" s="38" t="n">
        <f aca="false">IF(OR(G172="",G172=0),"",D172/G172)</f>
        <v>0.648718780408693</v>
      </c>
      <c r="J172" s="38" t="n">
        <f aca="false">IF(OR(H172="",I172=""),"",I172-H172)</f>
        <v>0</v>
      </c>
    </row>
    <row r="173" customFormat="false" ht="15" hidden="false" customHeight="false" outlineLevel="0" collapsed="false">
      <c r="A173" s="36" t="s">
        <v>310</v>
      </c>
      <c r="B173" s="36" t="s">
        <v>478</v>
      </c>
      <c r="C173" s="30" t="n">
        <v>10</v>
      </c>
      <c r="D173" s="37" t="n">
        <f aca="false">INDEX('تحليل التكلفة والسعر'!$C$2:$C$700,MATCH($B173,'تحليل التكلفة والسعر'!$B$2:$B$700,0))</f>
        <v>10</v>
      </c>
      <c r="E173" s="37" t="n">
        <f aca="false">D173-C173</f>
        <v>0</v>
      </c>
      <c r="F173" s="38" t="n">
        <f aca="false">IF(C173=0,"",D173/C173-1)</f>
        <v>0</v>
      </c>
      <c r="G173" s="37" t="n">
        <f aca="false">INDEX('تحليل التكلفة والسعر'!$D$2:$D$700,MATCH($B173,'تحليل التكلفة والسعر'!$B$2:$B$700,0))</f>
        <v>40</v>
      </c>
      <c r="H173" s="38" t="n">
        <f aca="false">IF(OR(G173="",G173=0),"",C173/G173)</f>
        <v>0.25</v>
      </c>
      <c r="I173" s="38" t="n">
        <f aca="false">IF(OR(G173="",G173=0),"",D173/G173)</f>
        <v>0.25</v>
      </c>
      <c r="J173" s="38" t="n">
        <f aca="false">IF(OR(H173="",I173=""),"",I173-H173)</f>
        <v>0</v>
      </c>
    </row>
    <row r="174" customFormat="false" ht="15" hidden="false" customHeight="false" outlineLevel="0" collapsed="false">
      <c r="A174" s="36" t="s">
        <v>310</v>
      </c>
      <c r="B174" s="36" t="s">
        <v>479</v>
      </c>
      <c r="C174" s="30" t="n">
        <v>10.5</v>
      </c>
      <c r="D174" s="37" t="n">
        <f aca="false">INDEX('تحليل التكلفة والسعر'!$C$2:$C$700,MATCH($B174,'تحليل التكلفة والسعر'!$B$2:$B$700,0))</f>
        <v>10.5</v>
      </c>
      <c r="E174" s="37" t="n">
        <f aca="false">D174-C174</f>
        <v>0</v>
      </c>
      <c r="F174" s="38" t="n">
        <f aca="false">IF(C174=0,"",D174/C174-1)</f>
        <v>0</v>
      </c>
      <c r="G174" s="37" t="n">
        <f aca="false">INDEX('تحليل التكلفة والسعر'!$D$2:$D$700,MATCH($B174,'تحليل التكلفة والسعر'!$B$2:$B$700,0))</f>
        <v>21.47</v>
      </c>
      <c r="H174" s="38" t="n">
        <f aca="false">IF(OR(G174="",G174=0),"",C174/G174)</f>
        <v>0.489054494643689</v>
      </c>
      <c r="I174" s="38" t="n">
        <f aca="false">IF(OR(G174="",G174=0),"",D174/G174)</f>
        <v>0.489054494643689</v>
      </c>
      <c r="J174" s="38" t="n">
        <f aca="false">IF(OR(H174="",I174=""),"",I174-H174)</f>
        <v>0</v>
      </c>
    </row>
    <row r="175" customFormat="false" ht="15" hidden="false" customHeight="false" outlineLevel="0" collapsed="false">
      <c r="A175" s="36" t="s">
        <v>310</v>
      </c>
      <c r="B175" s="36" t="s">
        <v>480</v>
      </c>
      <c r="C175" s="30" t="n">
        <v>15.75</v>
      </c>
      <c r="D175" s="37" t="n">
        <f aca="false">INDEX('تحليل التكلفة والسعر'!$C$2:$C$700,MATCH($B175,'تحليل التكلفة والسعر'!$B$2:$B$700,0))</f>
        <v>15.75</v>
      </c>
      <c r="E175" s="37" t="n">
        <f aca="false">D175-C175</f>
        <v>0</v>
      </c>
      <c r="F175" s="38" t="n">
        <f aca="false">IF(C175=0,"",D175/C175-1)</f>
        <v>0</v>
      </c>
      <c r="G175" s="37" t="n">
        <f aca="false">INDEX('تحليل التكلفة والسعر'!$D$2:$D$700,MATCH($B175,'تحليل التكلفة والسعر'!$B$2:$B$700,0))</f>
        <v>31.25</v>
      </c>
      <c r="H175" s="38" t="n">
        <f aca="false">IF(OR(G175="",G175=0),"",C175/G175)</f>
        <v>0.504</v>
      </c>
      <c r="I175" s="38" t="n">
        <f aca="false">IF(OR(G175="",G175=0),"",D175/G175)</f>
        <v>0.504</v>
      </c>
      <c r="J175" s="38" t="n">
        <f aca="false">IF(OR(H175="",I175=""),"",I175-H175)</f>
        <v>0</v>
      </c>
    </row>
  </sheetData>
  <autoFilter ref="A4:J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481</v>
      </c>
      <c r="B1" s="10" t="s">
        <v>23</v>
      </c>
      <c r="C1" s="10" t="s">
        <v>482</v>
      </c>
    </row>
    <row r="2" customFormat="false" ht="15" hidden="false" customHeight="true" outlineLevel="0" collapsed="false">
      <c r="A2" s="21" t="s">
        <v>9</v>
      </c>
      <c r="B2" s="21" t="s">
        <v>403</v>
      </c>
      <c r="C2" s="23" t="n">
        <v>80</v>
      </c>
    </row>
    <row r="3" customFormat="false" ht="15" hidden="false" customHeight="true" outlineLevel="0" collapsed="false">
      <c r="A3" s="21" t="s">
        <v>9</v>
      </c>
      <c r="B3" s="21" t="s">
        <v>348</v>
      </c>
      <c r="C3" s="23" t="n">
        <v>110</v>
      </c>
    </row>
    <row r="4" customFormat="false" ht="15" hidden="false" customHeight="true" outlineLevel="0" collapsed="false">
      <c r="A4" s="21" t="s">
        <v>9</v>
      </c>
      <c r="B4" s="21" t="s">
        <v>373</v>
      </c>
      <c r="C4" s="23" t="n">
        <v>130</v>
      </c>
    </row>
    <row r="5" customFormat="false" ht="15" hidden="false" customHeight="true" outlineLevel="0" collapsed="false">
      <c r="A5" s="21" t="s">
        <v>9</v>
      </c>
      <c r="B5" s="21" t="s">
        <v>392</v>
      </c>
      <c r="C5" s="23" t="n">
        <v>190</v>
      </c>
    </row>
    <row r="6" customFormat="false" ht="15" hidden="false" customHeight="true" outlineLevel="0" collapsed="false">
      <c r="A6" s="21" t="s">
        <v>9</v>
      </c>
      <c r="B6" s="21" t="s">
        <v>424</v>
      </c>
      <c r="C6" s="23" t="n">
        <v>120</v>
      </c>
    </row>
    <row r="7" customFormat="false" ht="15" hidden="false" customHeight="true" outlineLevel="0" collapsed="false">
      <c r="A7" s="21" t="s">
        <v>9</v>
      </c>
      <c r="B7" s="21" t="s">
        <v>356</v>
      </c>
      <c r="C7" s="23" t="n">
        <v>180</v>
      </c>
    </row>
    <row r="8" customFormat="false" ht="15" hidden="false" customHeight="true" outlineLevel="0" collapsed="false">
      <c r="A8" s="21" t="s">
        <v>9</v>
      </c>
      <c r="B8" s="21" t="s">
        <v>371</v>
      </c>
      <c r="C8" s="23" t="n">
        <v>120</v>
      </c>
    </row>
    <row r="9" customFormat="false" ht="15" hidden="false" customHeight="true" outlineLevel="0" collapsed="false">
      <c r="A9" s="21" t="s">
        <v>9</v>
      </c>
      <c r="B9" s="21" t="s">
        <v>445</v>
      </c>
      <c r="C9" s="23" t="n">
        <v>180</v>
      </c>
    </row>
    <row r="10" customFormat="false" ht="15" hidden="false" customHeight="true" outlineLevel="0" collapsed="false">
      <c r="A10" s="21" t="s">
        <v>9</v>
      </c>
      <c r="B10" s="21" t="s">
        <v>402</v>
      </c>
      <c r="C10" s="23" t="n">
        <v>120</v>
      </c>
    </row>
    <row r="11" customFormat="false" ht="15" hidden="false" customHeight="true" outlineLevel="0" collapsed="false">
      <c r="A11" s="21" t="s">
        <v>9</v>
      </c>
      <c r="B11" s="21" t="s">
        <v>399</v>
      </c>
      <c r="C11" s="23" t="n">
        <v>180</v>
      </c>
    </row>
    <row r="12" customFormat="false" ht="15" hidden="false" customHeight="true" outlineLevel="0" collapsed="false">
      <c r="A12" s="21" t="s">
        <v>9</v>
      </c>
      <c r="B12" s="21" t="s">
        <v>414</v>
      </c>
      <c r="C12" s="23" t="n">
        <v>140</v>
      </c>
    </row>
    <row r="13" customFormat="false" ht="15" hidden="false" customHeight="true" outlineLevel="0" collapsed="false">
      <c r="A13" s="21" t="s">
        <v>9</v>
      </c>
      <c r="B13" s="21" t="s">
        <v>355</v>
      </c>
      <c r="C13" s="23" t="n">
        <v>220</v>
      </c>
    </row>
    <row r="14" customFormat="false" ht="15" hidden="false" customHeight="true" outlineLevel="0" collapsed="false">
      <c r="A14" s="21" t="s">
        <v>9</v>
      </c>
      <c r="B14" s="21" t="s">
        <v>418</v>
      </c>
      <c r="C14" s="23" t="n">
        <v>140</v>
      </c>
    </row>
    <row r="15" customFormat="false" ht="15" hidden="false" customHeight="true" outlineLevel="0" collapsed="false">
      <c r="A15" s="21" t="s">
        <v>9</v>
      </c>
      <c r="B15" s="21" t="s">
        <v>354</v>
      </c>
      <c r="C15" s="23" t="n">
        <v>220</v>
      </c>
    </row>
    <row r="16" customFormat="false" ht="15" hidden="false" customHeight="true" outlineLevel="0" collapsed="false">
      <c r="A16" s="21" t="s">
        <v>9</v>
      </c>
      <c r="B16" s="21" t="s">
        <v>394</v>
      </c>
      <c r="C16" s="23" t="n">
        <v>140</v>
      </c>
    </row>
    <row r="17" customFormat="false" ht="15" hidden="false" customHeight="true" outlineLevel="0" collapsed="false">
      <c r="A17" s="21" t="s">
        <v>9</v>
      </c>
      <c r="B17" s="21" t="s">
        <v>318</v>
      </c>
      <c r="C17" s="23" t="n">
        <v>220</v>
      </c>
    </row>
    <row r="18" customFormat="false" ht="15" hidden="false" customHeight="true" outlineLevel="0" collapsed="false">
      <c r="A18" s="21" t="s">
        <v>9</v>
      </c>
      <c r="B18" s="21" t="s">
        <v>411</v>
      </c>
      <c r="C18" s="23" t="n">
        <v>140</v>
      </c>
    </row>
    <row r="19" customFormat="false" ht="15" hidden="false" customHeight="true" outlineLevel="0" collapsed="false">
      <c r="A19" s="21" t="s">
        <v>9</v>
      </c>
      <c r="B19" s="21" t="s">
        <v>324</v>
      </c>
      <c r="C19" s="23" t="n">
        <v>220</v>
      </c>
    </row>
    <row r="20" customFormat="false" ht="15" hidden="false" customHeight="true" outlineLevel="0" collapsed="false">
      <c r="A20" s="21" t="s">
        <v>9</v>
      </c>
      <c r="B20" s="21" t="s">
        <v>396</v>
      </c>
      <c r="C20" s="23" t="n">
        <v>220</v>
      </c>
    </row>
    <row r="21" customFormat="false" ht="15" hidden="false" customHeight="true" outlineLevel="0" collapsed="false">
      <c r="A21" s="21" t="s">
        <v>9</v>
      </c>
      <c r="B21" s="21" t="s">
        <v>461</v>
      </c>
      <c r="C21" s="23" t="n">
        <v>330</v>
      </c>
    </row>
    <row r="22" customFormat="false" ht="15" hidden="false" customHeight="true" outlineLevel="0" collapsed="false">
      <c r="A22" s="21" t="s">
        <v>9</v>
      </c>
      <c r="B22" s="21" t="s">
        <v>458</v>
      </c>
      <c r="C22" s="23" t="n">
        <v>230</v>
      </c>
    </row>
    <row r="23" customFormat="false" ht="15" hidden="false" customHeight="true" outlineLevel="0" collapsed="false">
      <c r="A23" s="21" t="s">
        <v>9</v>
      </c>
      <c r="B23" s="21" t="s">
        <v>395</v>
      </c>
      <c r="C23" s="23" t="n">
        <v>350</v>
      </c>
    </row>
    <row r="24" customFormat="false" ht="15" hidden="false" customHeight="true" outlineLevel="0" collapsed="false">
      <c r="A24" s="21" t="s">
        <v>10</v>
      </c>
      <c r="B24" s="21" t="s">
        <v>453</v>
      </c>
      <c r="C24" s="23" t="n">
        <v>120</v>
      </c>
    </row>
    <row r="25" customFormat="false" ht="15" hidden="false" customHeight="true" outlineLevel="0" collapsed="false">
      <c r="A25" s="21" t="s">
        <v>10</v>
      </c>
      <c r="B25" s="21" t="s">
        <v>384</v>
      </c>
      <c r="C25" s="23" t="n">
        <v>180</v>
      </c>
    </row>
    <row r="26" customFormat="false" ht="15" hidden="false" customHeight="true" outlineLevel="0" collapsed="false">
      <c r="A26" s="21" t="s">
        <v>10</v>
      </c>
      <c r="B26" s="21" t="s">
        <v>383</v>
      </c>
      <c r="C26" s="23" t="n">
        <v>130</v>
      </c>
    </row>
    <row r="27" customFormat="false" ht="15" hidden="false" customHeight="true" outlineLevel="0" collapsed="false">
      <c r="A27" s="21" t="s">
        <v>10</v>
      </c>
      <c r="B27" s="21" t="s">
        <v>357</v>
      </c>
      <c r="C27" s="23" t="n">
        <v>190</v>
      </c>
    </row>
    <row r="28" customFormat="false" ht="15" hidden="false" customHeight="true" outlineLevel="0" collapsed="false">
      <c r="A28" s="21" t="s">
        <v>10</v>
      </c>
      <c r="B28" s="21" t="s">
        <v>407</v>
      </c>
      <c r="C28" s="23" t="n">
        <v>200</v>
      </c>
    </row>
    <row r="29" customFormat="false" ht="26.25" hidden="false" customHeight="true" outlineLevel="0" collapsed="false">
      <c r="A29" s="21" t="s">
        <v>10</v>
      </c>
      <c r="B29" s="21" t="s">
        <v>405</v>
      </c>
      <c r="C29" s="23" t="n">
        <v>320</v>
      </c>
    </row>
    <row r="30" customFormat="false" ht="15" hidden="false" customHeight="true" outlineLevel="0" collapsed="false">
      <c r="A30" s="21" t="s">
        <v>10</v>
      </c>
      <c r="B30" s="21" t="s">
        <v>437</v>
      </c>
      <c r="C30" s="23" t="n">
        <v>135</v>
      </c>
    </row>
    <row r="31" customFormat="false" ht="15" hidden="false" customHeight="true" outlineLevel="0" collapsed="false">
      <c r="A31" s="21" t="s">
        <v>10</v>
      </c>
      <c r="B31" s="21" t="s">
        <v>452</v>
      </c>
      <c r="C31" s="23" t="n">
        <v>200</v>
      </c>
    </row>
    <row r="32" customFormat="false" ht="15" hidden="false" customHeight="true" outlineLevel="0" collapsed="false">
      <c r="A32" s="21" t="s">
        <v>10</v>
      </c>
      <c r="B32" s="21" t="s">
        <v>391</v>
      </c>
      <c r="C32" s="23" t="n">
        <v>150</v>
      </c>
    </row>
    <row r="33" customFormat="false" ht="15" hidden="false" customHeight="true" outlineLevel="0" collapsed="false">
      <c r="A33" s="21" t="s">
        <v>10</v>
      </c>
      <c r="B33" s="21" t="s">
        <v>377</v>
      </c>
      <c r="C33" s="23" t="n">
        <v>240</v>
      </c>
    </row>
    <row r="34" customFormat="false" ht="15" hidden="false" customHeight="true" outlineLevel="0" collapsed="false">
      <c r="A34" s="21" t="s">
        <v>10</v>
      </c>
      <c r="B34" s="21" t="s">
        <v>393</v>
      </c>
      <c r="C34" s="23" t="n">
        <v>150</v>
      </c>
    </row>
    <row r="35" customFormat="false" ht="15" hidden="false" customHeight="true" outlineLevel="0" collapsed="false">
      <c r="A35" s="21" t="s">
        <v>10</v>
      </c>
      <c r="B35" s="21" t="s">
        <v>378</v>
      </c>
      <c r="C35" s="23" t="n">
        <v>240</v>
      </c>
    </row>
    <row r="36" customFormat="false" ht="15" hidden="false" customHeight="true" outlineLevel="0" collapsed="false">
      <c r="A36" s="21" t="s">
        <v>10</v>
      </c>
      <c r="B36" s="21" t="s">
        <v>375</v>
      </c>
      <c r="C36" s="23" t="n">
        <v>140</v>
      </c>
    </row>
    <row r="37" customFormat="false" ht="15" hidden="false" customHeight="true" outlineLevel="0" collapsed="false">
      <c r="A37" s="21" t="s">
        <v>10</v>
      </c>
      <c r="B37" s="21" t="s">
        <v>322</v>
      </c>
      <c r="C37" s="23" t="n">
        <v>220</v>
      </c>
    </row>
    <row r="38" customFormat="false" ht="15" hidden="false" customHeight="true" outlineLevel="0" collapsed="false">
      <c r="A38" s="21" t="s">
        <v>10</v>
      </c>
      <c r="B38" s="21" t="s">
        <v>389</v>
      </c>
      <c r="C38" s="23" t="n">
        <v>140</v>
      </c>
    </row>
    <row r="39" customFormat="false" ht="15" hidden="false" customHeight="true" outlineLevel="0" collapsed="false">
      <c r="A39" s="21" t="s">
        <v>10</v>
      </c>
      <c r="B39" s="21" t="s">
        <v>327</v>
      </c>
      <c r="C39" s="23" t="n">
        <v>220</v>
      </c>
    </row>
    <row r="40" customFormat="false" ht="15" hidden="false" customHeight="true" outlineLevel="0" collapsed="false">
      <c r="A40" s="21" t="s">
        <v>10</v>
      </c>
      <c r="B40" s="21" t="s">
        <v>409</v>
      </c>
      <c r="C40" s="23" t="n">
        <v>220</v>
      </c>
    </row>
    <row r="41" customFormat="false" ht="15" hidden="false" customHeight="true" outlineLevel="0" collapsed="false">
      <c r="A41" s="21" t="s">
        <v>10</v>
      </c>
      <c r="B41" s="21" t="s">
        <v>406</v>
      </c>
      <c r="C41" s="23" t="n">
        <v>330</v>
      </c>
    </row>
    <row r="42" customFormat="false" ht="15" hidden="false" customHeight="true" outlineLevel="0" collapsed="false">
      <c r="A42" s="21" t="s">
        <v>10</v>
      </c>
      <c r="B42" s="21" t="s">
        <v>390</v>
      </c>
      <c r="C42" s="23" t="n">
        <v>60</v>
      </c>
    </row>
    <row r="43" customFormat="false" ht="15" hidden="false" customHeight="true" outlineLevel="0" collapsed="false">
      <c r="A43" s="21" t="s">
        <v>10</v>
      </c>
      <c r="B43" s="21" t="s">
        <v>398</v>
      </c>
      <c r="C43" s="23" t="n">
        <v>100</v>
      </c>
    </row>
    <row r="44" customFormat="false" ht="15" hidden="false" customHeight="true" outlineLevel="0" collapsed="false">
      <c r="A44" s="21" t="s">
        <v>10</v>
      </c>
      <c r="B44" s="21" t="s">
        <v>404</v>
      </c>
      <c r="C44" s="23" t="n">
        <v>160</v>
      </c>
    </row>
    <row r="45" customFormat="false" ht="15" hidden="false" customHeight="true" outlineLevel="0" collapsed="false">
      <c r="A45" s="21" t="s">
        <v>10</v>
      </c>
      <c r="B45" s="21" t="s">
        <v>430</v>
      </c>
      <c r="C45" s="23" t="n">
        <v>240</v>
      </c>
    </row>
    <row r="46" customFormat="false" ht="15" hidden="false" customHeight="true" outlineLevel="0" collapsed="false">
      <c r="A46" s="21" t="s">
        <v>10</v>
      </c>
      <c r="B46" s="21" t="s">
        <v>419</v>
      </c>
      <c r="C46" s="23" t="n">
        <v>350</v>
      </c>
    </row>
    <row r="47" customFormat="false" ht="15" hidden="false" customHeight="true" outlineLevel="0" collapsed="false">
      <c r="A47" s="21" t="s">
        <v>11</v>
      </c>
      <c r="B47" s="21" t="s">
        <v>365</v>
      </c>
      <c r="C47" s="23" t="n">
        <v>40</v>
      </c>
    </row>
    <row r="48" customFormat="false" ht="15" hidden="false" customHeight="true" outlineLevel="0" collapsed="false">
      <c r="A48" s="21" t="s">
        <v>11</v>
      </c>
      <c r="B48" s="21" t="s">
        <v>372</v>
      </c>
      <c r="C48" s="23" t="n">
        <v>65</v>
      </c>
    </row>
    <row r="49" customFormat="false" ht="15" hidden="false" customHeight="true" outlineLevel="0" collapsed="false">
      <c r="A49" s="21" t="s">
        <v>11</v>
      </c>
      <c r="B49" s="21" t="s">
        <v>340</v>
      </c>
      <c r="C49" s="23" t="n">
        <v>130</v>
      </c>
    </row>
    <row r="50" customFormat="false" ht="15" hidden="false" customHeight="true" outlineLevel="0" collapsed="false">
      <c r="A50" s="21" t="s">
        <v>11</v>
      </c>
      <c r="B50" s="21" t="s">
        <v>331</v>
      </c>
      <c r="C50" s="23" t="n">
        <v>90</v>
      </c>
    </row>
    <row r="51" customFormat="false" ht="15" hidden="false" customHeight="true" outlineLevel="0" collapsed="false">
      <c r="A51" s="21" t="s">
        <v>11</v>
      </c>
      <c r="B51" s="21" t="s">
        <v>358</v>
      </c>
      <c r="C51" s="23" t="n">
        <v>250</v>
      </c>
    </row>
    <row r="52" customFormat="false" ht="15" hidden="false" customHeight="true" outlineLevel="0" collapsed="false">
      <c r="A52" s="21" t="s">
        <v>11</v>
      </c>
      <c r="B52" s="21" t="s">
        <v>362</v>
      </c>
      <c r="C52" s="23" t="n">
        <v>150</v>
      </c>
    </row>
    <row r="53" customFormat="false" ht="15" hidden="false" customHeight="true" outlineLevel="0" collapsed="false">
      <c r="A53" s="21" t="s">
        <v>12</v>
      </c>
      <c r="B53" s="21" t="s">
        <v>460</v>
      </c>
      <c r="C53" s="23" t="n">
        <v>150</v>
      </c>
    </row>
    <row r="54" customFormat="false" ht="15" hidden="false" customHeight="true" outlineLevel="0" collapsed="false">
      <c r="A54" s="21" t="s">
        <v>12</v>
      </c>
      <c r="B54" s="21" t="s">
        <v>434</v>
      </c>
      <c r="C54" s="23" t="n">
        <v>150</v>
      </c>
    </row>
    <row r="55" customFormat="false" ht="15" hidden="false" customHeight="true" outlineLevel="0" collapsed="false">
      <c r="A55" s="21" t="s">
        <v>12</v>
      </c>
      <c r="B55" s="21" t="s">
        <v>442</v>
      </c>
      <c r="C55" s="23" t="n">
        <v>160</v>
      </c>
    </row>
    <row r="56" customFormat="false" ht="15" hidden="false" customHeight="true" outlineLevel="0" collapsed="false">
      <c r="A56" s="21" t="s">
        <v>12</v>
      </c>
      <c r="B56" s="21" t="s">
        <v>463</v>
      </c>
      <c r="C56" s="23" t="n">
        <v>160</v>
      </c>
    </row>
    <row r="57" customFormat="false" ht="15" hidden="false" customHeight="true" outlineLevel="0" collapsed="false">
      <c r="A57" s="21" t="s">
        <v>12</v>
      </c>
      <c r="B57" s="21" t="s">
        <v>326</v>
      </c>
      <c r="C57" s="23" t="n">
        <v>320</v>
      </c>
    </row>
    <row r="58" customFormat="false" ht="15" hidden="false" customHeight="true" outlineLevel="0" collapsed="false">
      <c r="A58" s="21" t="s">
        <v>12</v>
      </c>
      <c r="B58" s="21" t="s">
        <v>412</v>
      </c>
      <c r="C58" s="23" t="n">
        <v>140</v>
      </c>
    </row>
    <row r="59" customFormat="false" ht="15" hidden="false" customHeight="true" outlineLevel="0" collapsed="false">
      <c r="A59" s="21" t="s">
        <v>13</v>
      </c>
      <c r="B59" s="21" t="s">
        <v>336</v>
      </c>
      <c r="C59" s="23" t="n">
        <v>150</v>
      </c>
    </row>
    <row r="60" customFormat="false" ht="15" hidden="false" customHeight="true" outlineLevel="0" collapsed="false">
      <c r="A60" s="21" t="s">
        <v>13</v>
      </c>
      <c r="B60" s="21" t="s">
        <v>397</v>
      </c>
      <c r="C60" s="23" t="n">
        <v>170</v>
      </c>
    </row>
    <row r="61" customFormat="false" ht="15" hidden="false" customHeight="true" outlineLevel="0" collapsed="false">
      <c r="A61" s="21" t="s">
        <v>13</v>
      </c>
      <c r="B61" s="21" t="s">
        <v>382</v>
      </c>
      <c r="C61" s="23" t="n">
        <v>170</v>
      </c>
    </row>
    <row r="62" customFormat="false" ht="15" hidden="false" customHeight="true" outlineLevel="0" collapsed="false">
      <c r="A62" s="21" t="s">
        <v>13</v>
      </c>
      <c r="B62" s="21" t="s">
        <v>435</v>
      </c>
      <c r="C62" s="23" t="n">
        <v>250</v>
      </c>
    </row>
    <row r="63" customFormat="false" ht="15" hidden="false" customHeight="true" outlineLevel="0" collapsed="false">
      <c r="A63" s="21" t="s">
        <v>13</v>
      </c>
      <c r="B63" s="21" t="s">
        <v>459</v>
      </c>
      <c r="C63" s="23" t="n">
        <v>130</v>
      </c>
    </row>
    <row r="64" customFormat="false" ht="15" hidden="false" customHeight="true" outlineLevel="0" collapsed="false">
      <c r="A64" s="21" t="s">
        <v>13</v>
      </c>
      <c r="B64" s="21" t="s">
        <v>385</v>
      </c>
      <c r="C64" s="23" t="n">
        <v>130</v>
      </c>
    </row>
    <row r="65" customFormat="false" ht="15" hidden="false" customHeight="true" outlineLevel="0" collapsed="false">
      <c r="A65" s="21" t="s">
        <v>14</v>
      </c>
      <c r="B65" s="21" t="s">
        <v>364</v>
      </c>
      <c r="C65" s="23" t="n">
        <v>115</v>
      </c>
    </row>
    <row r="66" customFormat="false" ht="15" hidden="false" customHeight="true" outlineLevel="0" collapsed="false">
      <c r="A66" s="21" t="s">
        <v>14</v>
      </c>
      <c r="B66" s="21" t="s">
        <v>366</v>
      </c>
      <c r="C66" s="23" t="n">
        <v>115</v>
      </c>
    </row>
    <row r="67" customFormat="false" ht="15" hidden="false" customHeight="true" outlineLevel="0" collapsed="false">
      <c r="A67" s="21" t="s">
        <v>14</v>
      </c>
      <c r="B67" s="21" t="s">
        <v>368</v>
      </c>
      <c r="C67" s="23" t="n">
        <v>100</v>
      </c>
    </row>
    <row r="68" customFormat="false" ht="15" hidden="false" customHeight="true" outlineLevel="0" collapsed="false">
      <c r="A68" s="21" t="s">
        <v>14</v>
      </c>
      <c r="B68" s="21" t="s">
        <v>379</v>
      </c>
      <c r="C68" s="23" t="n">
        <v>100</v>
      </c>
    </row>
    <row r="69" customFormat="false" ht="15" hidden="false" customHeight="true" outlineLevel="0" collapsed="false">
      <c r="A69" s="21" t="s">
        <v>14</v>
      </c>
      <c r="B69" s="21" t="s">
        <v>380</v>
      </c>
      <c r="C69" s="23" t="n">
        <v>110</v>
      </c>
    </row>
    <row r="70" customFormat="false" ht="15" hidden="false" customHeight="true" outlineLevel="0" collapsed="false">
      <c r="A70" s="21" t="s">
        <v>14</v>
      </c>
      <c r="B70" s="21" t="s">
        <v>361</v>
      </c>
      <c r="C70" s="23" t="n">
        <v>5</v>
      </c>
    </row>
    <row r="71" customFormat="false" ht="15" hidden="false" customHeight="true" outlineLevel="0" collapsed="false">
      <c r="A71" s="21" t="s">
        <v>15</v>
      </c>
      <c r="B71" s="21" t="s">
        <v>400</v>
      </c>
      <c r="C71" s="23" t="n">
        <v>30</v>
      </c>
    </row>
    <row r="72" customFormat="false" ht="15" hidden="false" customHeight="true" outlineLevel="0" collapsed="false">
      <c r="A72" s="21" t="s">
        <v>15</v>
      </c>
      <c r="B72" s="21" t="s">
        <v>386</v>
      </c>
      <c r="C72" s="23" t="n">
        <v>50</v>
      </c>
    </row>
    <row r="73" customFormat="false" ht="15" hidden="false" customHeight="true" outlineLevel="0" collapsed="false">
      <c r="A73" s="21" t="s">
        <v>15</v>
      </c>
      <c r="B73" s="21" t="s">
        <v>374</v>
      </c>
      <c r="C73" s="23" t="n">
        <v>40</v>
      </c>
    </row>
    <row r="74" customFormat="false" ht="15" hidden="false" customHeight="true" outlineLevel="0" collapsed="false">
      <c r="A74" s="21" t="s">
        <v>15</v>
      </c>
      <c r="B74" s="21" t="s">
        <v>370</v>
      </c>
      <c r="C74" s="23" t="n">
        <v>60</v>
      </c>
    </row>
    <row r="75" customFormat="false" ht="15" hidden="false" customHeight="true" outlineLevel="0" collapsed="false">
      <c r="A75" s="21" t="s">
        <v>321</v>
      </c>
      <c r="B75" s="21" t="s">
        <v>136</v>
      </c>
      <c r="C75" s="23" t="n">
        <v>20</v>
      </c>
    </row>
    <row r="76" customFormat="false" ht="15" hidden="false" customHeight="true" outlineLevel="0" collapsed="false">
      <c r="A76" s="21" t="s">
        <v>321</v>
      </c>
      <c r="B76" s="21" t="s">
        <v>138</v>
      </c>
      <c r="C76" s="23" t="n">
        <v>35</v>
      </c>
    </row>
    <row r="77" customFormat="false" ht="15" hidden="false" customHeight="true" outlineLevel="0" collapsed="false">
      <c r="A77" s="21" t="s">
        <v>16</v>
      </c>
      <c r="B77" s="21" t="s">
        <v>401</v>
      </c>
      <c r="C77" s="23" t="n">
        <v>80</v>
      </c>
    </row>
    <row r="78" customFormat="false" ht="15" hidden="false" customHeight="true" outlineLevel="0" collapsed="false">
      <c r="A78" s="21" t="s">
        <v>16</v>
      </c>
      <c r="B78" s="21" t="s">
        <v>427</v>
      </c>
      <c r="C78" s="23" t="n">
        <v>110</v>
      </c>
    </row>
    <row r="79" customFormat="false" ht="15" hidden="false" customHeight="true" outlineLevel="0" collapsed="false">
      <c r="A79" s="21" t="s">
        <v>16</v>
      </c>
      <c r="B79" s="21" t="s">
        <v>325</v>
      </c>
      <c r="C79" s="23" t="n">
        <v>105</v>
      </c>
    </row>
    <row r="80" customFormat="false" ht="15" hidden="false" customHeight="true" outlineLevel="0" collapsed="false">
      <c r="A80" s="21" t="s">
        <v>16</v>
      </c>
      <c r="B80" s="21" t="s">
        <v>320</v>
      </c>
      <c r="C80" s="23" t="n">
        <v>160</v>
      </c>
    </row>
    <row r="81" customFormat="false" ht="15" hidden="false" customHeight="true" outlineLevel="0" collapsed="false">
      <c r="A81" s="21" t="s">
        <v>16</v>
      </c>
      <c r="B81" s="21" t="s">
        <v>417</v>
      </c>
      <c r="C81" s="23" t="n">
        <v>110</v>
      </c>
    </row>
    <row r="82" customFormat="false" ht="15" hidden="false" customHeight="true" outlineLevel="0" collapsed="false">
      <c r="A82" s="21" t="s">
        <v>16</v>
      </c>
      <c r="B82" s="21" t="s">
        <v>441</v>
      </c>
      <c r="C82" s="23" t="n">
        <v>180</v>
      </c>
    </row>
    <row r="83" customFormat="false" ht="15" hidden="false" customHeight="true" outlineLevel="0" collapsed="false">
      <c r="A83" s="21" t="s">
        <v>16</v>
      </c>
      <c r="B83" s="21" t="s">
        <v>432</v>
      </c>
      <c r="C83" s="23" t="n">
        <v>120</v>
      </c>
    </row>
    <row r="84" customFormat="false" ht="15" hidden="false" customHeight="true" outlineLevel="0" collapsed="false">
      <c r="A84" s="21" t="s">
        <v>16</v>
      </c>
      <c r="B84" s="21" t="s">
        <v>454</v>
      </c>
      <c r="C84" s="23" t="n">
        <v>190</v>
      </c>
    </row>
    <row r="85" customFormat="false" ht="15" hidden="false" customHeight="true" outlineLevel="0" collapsed="false">
      <c r="A85" s="21" t="s">
        <v>16</v>
      </c>
      <c r="B85" s="21" t="s">
        <v>410</v>
      </c>
      <c r="C85" s="23" t="n">
        <v>120</v>
      </c>
    </row>
    <row r="86" customFormat="false" ht="15" hidden="false" customHeight="true" outlineLevel="0" collapsed="false">
      <c r="A86" s="21" t="s">
        <v>16</v>
      </c>
      <c r="B86" s="21" t="s">
        <v>436</v>
      </c>
      <c r="C86" s="23" t="n">
        <v>180</v>
      </c>
    </row>
    <row r="87" customFormat="false" ht="15" hidden="false" customHeight="true" outlineLevel="0" collapsed="false">
      <c r="A87" s="21" t="s">
        <v>16</v>
      </c>
      <c r="B87" s="21" t="s">
        <v>341</v>
      </c>
      <c r="C87" s="23" t="n">
        <v>145</v>
      </c>
    </row>
    <row r="88" customFormat="false" ht="15" hidden="false" customHeight="true" outlineLevel="0" collapsed="false">
      <c r="A88" s="21" t="s">
        <v>16</v>
      </c>
      <c r="B88" s="21" t="s">
        <v>342</v>
      </c>
      <c r="C88" s="23" t="n">
        <v>220</v>
      </c>
    </row>
    <row r="89" customFormat="false" ht="15" hidden="false" customHeight="true" outlineLevel="0" collapsed="false">
      <c r="A89" s="21" t="s">
        <v>16</v>
      </c>
      <c r="B89" s="21" t="s">
        <v>457</v>
      </c>
      <c r="C89" s="23" t="n">
        <v>230</v>
      </c>
    </row>
    <row r="90" customFormat="false" ht="15" hidden="false" customHeight="true" outlineLevel="0" collapsed="false">
      <c r="A90" s="21" t="s">
        <v>16</v>
      </c>
      <c r="B90" s="21" t="s">
        <v>443</v>
      </c>
      <c r="C90" s="23" t="n">
        <v>350</v>
      </c>
    </row>
    <row r="91" customFormat="false" ht="15" hidden="false" customHeight="true" outlineLevel="0" collapsed="false">
      <c r="A91" s="21" t="s">
        <v>16</v>
      </c>
      <c r="B91" s="21" t="s">
        <v>425</v>
      </c>
      <c r="C91" s="23" t="n">
        <v>170</v>
      </c>
    </row>
    <row r="92" customFormat="false" ht="15" hidden="false" customHeight="true" outlineLevel="0" collapsed="false">
      <c r="A92" s="21" t="s">
        <v>16</v>
      </c>
      <c r="B92" s="21" t="s">
        <v>444</v>
      </c>
      <c r="C92" s="23" t="n">
        <v>240</v>
      </c>
    </row>
    <row r="93" customFormat="false" ht="26.25" hidden="false" customHeight="true" outlineLevel="0" collapsed="false">
      <c r="A93" s="21" t="s">
        <v>17</v>
      </c>
      <c r="B93" s="21" t="s">
        <v>439</v>
      </c>
      <c r="C93" s="23" t="n">
        <v>80</v>
      </c>
    </row>
    <row r="94" customFormat="false" ht="26.25" hidden="false" customHeight="true" outlineLevel="0" collapsed="false">
      <c r="A94" s="21" t="s">
        <v>17</v>
      </c>
      <c r="B94" s="21" t="s">
        <v>408</v>
      </c>
      <c r="C94" s="23" t="n">
        <v>110</v>
      </c>
    </row>
    <row r="95" customFormat="false" ht="26.25" hidden="false" customHeight="true" outlineLevel="0" collapsed="false">
      <c r="A95" s="21" t="s">
        <v>17</v>
      </c>
      <c r="B95" s="21" t="s">
        <v>319</v>
      </c>
      <c r="C95" s="23" t="n">
        <v>105</v>
      </c>
    </row>
    <row r="96" customFormat="false" ht="26.25" hidden="false" customHeight="true" outlineLevel="0" collapsed="false">
      <c r="A96" s="21" t="s">
        <v>17</v>
      </c>
      <c r="B96" s="21" t="s">
        <v>317</v>
      </c>
      <c r="C96" s="23" t="n">
        <v>160</v>
      </c>
    </row>
    <row r="97" customFormat="false" ht="26.25" hidden="false" customHeight="true" outlineLevel="0" collapsed="false">
      <c r="A97" s="21" t="s">
        <v>17</v>
      </c>
      <c r="B97" s="21" t="s">
        <v>451</v>
      </c>
      <c r="C97" s="23" t="n">
        <v>110</v>
      </c>
    </row>
    <row r="98" customFormat="false" ht="26.25" hidden="false" customHeight="true" outlineLevel="0" collapsed="false">
      <c r="A98" s="21" t="s">
        <v>17</v>
      </c>
      <c r="B98" s="21" t="s">
        <v>428</v>
      </c>
      <c r="C98" s="23" t="n">
        <v>180</v>
      </c>
    </row>
    <row r="99" customFormat="false" ht="26.25" hidden="false" customHeight="true" outlineLevel="0" collapsed="false">
      <c r="A99" s="21" t="s">
        <v>17</v>
      </c>
      <c r="B99" s="21" t="s">
        <v>440</v>
      </c>
      <c r="C99" s="23" t="n">
        <v>120</v>
      </c>
    </row>
    <row r="100" customFormat="false" ht="26.25" hidden="false" customHeight="true" outlineLevel="0" collapsed="false">
      <c r="A100" s="21" t="s">
        <v>17</v>
      </c>
      <c r="B100" s="21" t="s">
        <v>421</v>
      </c>
      <c r="C100" s="23" t="n">
        <v>190</v>
      </c>
    </row>
    <row r="101" customFormat="false" ht="26.25" hidden="false" customHeight="true" outlineLevel="0" collapsed="false">
      <c r="A101" s="21" t="s">
        <v>17</v>
      </c>
      <c r="B101" s="21" t="s">
        <v>447</v>
      </c>
      <c r="C101" s="23" t="n">
        <v>150</v>
      </c>
    </row>
    <row r="102" customFormat="false" ht="26.25" hidden="false" customHeight="true" outlineLevel="0" collapsed="false">
      <c r="A102" s="21" t="s">
        <v>17</v>
      </c>
      <c r="B102" s="21" t="s">
        <v>423</v>
      </c>
      <c r="C102" s="23" t="n">
        <v>210</v>
      </c>
    </row>
    <row r="103" customFormat="false" ht="26.25" hidden="false" customHeight="true" outlineLevel="0" collapsed="false">
      <c r="A103" s="21" t="s">
        <v>17</v>
      </c>
      <c r="B103" s="21" t="s">
        <v>446</v>
      </c>
      <c r="C103" s="23" t="n">
        <v>120</v>
      </c>
    </row>
    <row r="104" customFormat="false" ht="26.25" hidden="false" customHeight="true" outlineLevel="0" collapsed="false">
      <c r="A104" s="21" t="s">
        <v>17</v>
      </c>
      <c r="B104" s="21" t="s">
        <v>415</v>
      </c>
      <c r="C104" s="23" t="n">
        <v>180</v>
      </c>
    </row>
    <row r="105" customFormat="false" ht="26.25" hidden="false" customHeight="true" outlineLevel="0" collapsed="false">
      <c r="A105" s="21" t="s">
        <v>17</v>
      </c>
      <c r="B105" s="21" t="s">
        <v>349</v>
      </c>
      <c r="C105" s="23" t="n">
        <v>145</v>
      </c>
    </row>
    <row r="106" customFormat="false" ht="26.25" hidden="false" customHeight="true" outlineLevel="0" collapsed="false">
      <c r="A106" s="21" t="s">
        <v>17</v>
      </c>
      <c r="B106" s="21" t="s">
        <v>350</v>
      </c>
      <c r="C106" s="23" t="n">
        <v>220</v>
      </c>
    </row>
    <row r="107" customFormat="false" ht="26.25" hidden="false" customHeight="true" outlineLevel="0" collapsed="false">
      <c r="A107" s="21" t="s">
        <v>17</v>
      </c>
      <c r="B107" s="21" t="s">
        <v>431</v>
      </c>
      <c r="C107" s="23" t="n">
        <v>230</v>
      </c>
    </row>
    <row r="108" customFormat="false" ht="26.25" hidden="false" customHeight="true" outlineLevel="0" collapsed="false">
      <c r="A108" s="21" t="s">
        <v>17</v>
      </c>
      <c r="B108" s="21" t="s">
        <v>420</v>
      </c>
      <c r="C108" s="23" t="n">
        <v>350</v>
      </c>
    </row>
    <row r="109" customFormat="false" ht="26.25" hidden="false" customHeight="true" outlineLevel="0" collapsed="false">
      <c r="A109" s="21" t="s">
        <v>17</v>
      </c>
      <c r="B109" s="21" t="s">
        <v>455</v>
      </c>
      <c r="C109" s="23" t="n">
        <v>170</v>
      </c>
    </row>
    <row r="110" customFormat="false" ht="26.25" hidden="false" customHeight="true" outlineLevel="0" collapsed="false">
      <c r="A110" s="21" t="s">
        <v>17</v>
      </c>
      <c r="B110" s="21" t="s">
        <v>438</v>
      </c>
      <c r="C110" s="23" t="n">
        <v>240</v>
      </c>
    </row>
    <row r="111" customFormat="false" ht="15" hidden="false" customHeight="true" outlineLevel="0" collapsed="false">
      <c r="A111" s="21" t="s">
        <v>18</v>
      </c>
      <c r="B111" s="21" t="s">
        <v>353</v>
      </c>
      <c r="C111" s="23" t="n">
        <v>40</v>
      </c>
    </row>
    <row r="112" customFormat="false" ht="15" hidden="false" customHeight="true" outlineLevel="0" collapsed="false">
      <c r="A112" s="21" t="s">
        <v>18</v>
      </c>
      <c r="B112" s="21" t="s">
        <v>369</v>
      </c>
      <c r="C112" s="23" t="n">
        <v>60</v>
      </c>
    </row>
    <row r="113" customFormat="false" ht="15" hidden="false" customHeight="true" outlineLevel="0" collapsed="false">
      <c r="A113" s="21" t="s">
        <v>18</v>
      </c>
      <c r="B113" s="21" t="s">
        <v>329</v>
      </c>
      <c r="C113" s="23" t="n">
        <v>90</v>
      </c>
    </row>
    <row r="114" customFormat="false" ht="15" hidden="false" customHeight="true" outlineLevel="0" collapsed="false">
      <c r="A114" s="21" t="s">
        <v>18</v>
      </c>
      <c r="B114" s="21" t="s">
        <v>422</v>
      </c>
      <c r="C114" s="23" t="n">
        <v>130</v>
      </c>
    </row>
    <row r="115" customFormat="false" ht="15" hidden="false" customHeight="true" outlineLevel="0" collapsed="false">
      <c r="A115" s="21" t="s">
        <v>19</v>
      </c>
      <c r="B115" s="21" t="s">
        <v>376</v>
      </c>
      <c r="C115" s="23" t="n">
        <v>150</v>
      </c>
    </row>
    <row r="116" customFormat="false" ht="15" hidden="false" customHeight="true" outlineLevel="0" collapsed="false">
      <c r="A116" s="21" t="s">
        <v>19</v>
      </c>
      <c r="B116" s="21" t="s">
        <v>335</v>
      </c>
      <c r="C116" s="23" t="n">
        <v>150</v>
      </c>
    </row>
    <row r="117" customFormat="false" ht="15" hidden="false" customHeight="true" outlineLevel="0" collapsed="false">
      <c r="A117" s="21" t="s">
        <v>19</v>
      </c>
      <c r="B117" s="21" t="s">
        <v>381</v>
      </c>
      <c r="C117" s="23" t="n">
        <v>160</v>
      </c>
    </row>
    <row r="118" customFormat="false" ht="15" hidden="false" customHeight="true" outlineLevel="0" collapsed="false">
      <c r="A118" s="21" t="s">
        <v>19</v>
      </c>
      <c r="B118" s="21" t="s">
        <v>337</v>
      </c>
      <c r="C118" s="23" t="n">
        <v>160</v>
      </c>
    </row>
    <row r="119" customFormat="false" ht="15" hidden="false" customHeight="true" outlineLevel="0" collapsed="false">
      <c r="A119" s="21" t="s">
        <v>20</v>
      </c>
      <c r="B119" s="21" t="s">
        <v>450</v>
      </c>
      <c r="C119" s="23" t="n">
        <v>90</v>
      </c>
    </row>
    <row r="120" customFormat="false" ht="15" hidden="false" customHeight="true" outlineLevel="0" collapsed="false">
      <c r="A120" s="21" t="s">
        <v>20</v>
      </c>
      <c r="B120" s="21" t="s">
        <v>328</v>
      </c>
      <c r="C120" s="23" t="n">
        <v>120</v>
      </c>
    </row>
    <row r="121" customFormat="false" ht="15" hidden="false" customHeight="true" outlineLevel="0" collapsed="false">
      <c r="A121" s="21" t="s">
        <v>20</v>
      </c>
      <c r="B121" s="21" t="s">
        <v>456</v>
      </c>
      <c r="C121" s="23" t="n">
        <v>120</v>
      </c>
    </row>
    <row r="122" customFormat="false" ht="15" hidden="false" customHeight="true" outlineLevel="0" collapsed="false">
      <c r="A122" s="21" t="s">
        <v>20</v>
      </c>
      <c r="B122" s="21" t="s">
        <v>352</v>
      </c>
      <c r="C122" s="23" t="n">
        <v>150</v>
      </c>
    </row>
    <row r="123" customFormat="false" ht="15" hidden="false" customHeight="true" outlineLevel="0" collapsed="false">
      <c r="A123" s="21" t="s">
        <v>20</v>
      </c>
      <c r="B123" s="21" t="s">
        <v>433</v>
      </c>
      <c r="C123" s="23" t="n">
        <v>250</v>
      </c>
    </row>
    <row r="124" customFormat="false" ht="15" hidden="false" customHeight="true" outlineLevel="0" collapsed="false">
      <c r="A124" s="21" t="s">
        <v>21</v>
      </c>
      <c r="B124" s="21" t="s">
        <v>429</v>
      </c>
      <c r="C124" s="23" t="n">
        <v>80</v>
      </c>
    </row>
    <row r="125" customFormat="false" ht="15" hidden="false" customHeight="true" outlineLevel="0" collapsed="false">
      <c r="A125" s="21" t="s">
        <v>21</v>
      </c>
      <c r="B125" s="21" t="s">
        <v>351</v>
      </c>
      <c r="C125" s="23" t="n">
        <v>115</v>
      </c>
    </row>
    <row r="126" customFormat="false" ht="15" hidden="false" customHeight="true" outlineLevel="0" collapsed="false">
      <c r="A126" s="21" t="s">
        <v>21</v>
      </c>
      <c r="B126" s="21" t="s">
        <v>416</v>
      </c>
      <c r="C126" s="23" t="n">
        <v>100</v>
      </c>
    </row>
    <row r="127" customFormat="false" ht="15" hidden="false" customHeight="true" outlineLevel="0" collapsed="false">
      <c r="A127" s="21" t="s">
        <v>21</v>
      </c>
      <c r="B127" s="21" t="s">
        <v>413</v>
      </c>
      <c r="C127" s="23" t="n">
        <v>180</v>
      </c>
    </row>
    <row r="128" customFormat="false" ht="15" hidden="false" customHeight="true" outlineLevel="0" collapsed="false">
      <c r="A128" s="21" t="s">
        <v>310</v>
      </c>
      <c r="B128" s="21" t="s">
        <v>464</v>
      </c>
      <c r="C128" s="23" t="n">
        <v>30.92</v>
      </c>
    </row>
    <row r="129" customFormat="false" ht="15" hidden="false" customHeight="true" outlineLevel="0" collapsed="false">
      <c r="A129" s="21" t="s">
        <v>310</v>
      </c>
      <c r="B129" s="21" t="s">
        <v>465</v>
      </c>
      <c r="C129" s="23" t="n">
        <v>45.56</v>
      </c>
    </row>
    <row r="130" customFormat="false" ht="15" hidden="false" customHeight="true" outlineLevel="0" collapsed="false">
      <c r="A130" s="21" t="s">
        <v>310</v>
      </c>
      <c r="B130" s="21" t="s">
        <v>466</v>
      </c>
      <c r="C130" s="23" t="n">
        <v>30.71</v>
      </c>
    </row>
    <row r="131" customFormat="false" ht="15" hidden="false" customHeight="true" outlineLevel="0" collapsed="false">
      <c r="A131" s="21" t="s">
        <v>310</v>
      </c>
      <c r="B131" s="21" t="s">
        <v>467</v>
      </c>
      <c r="C131" s="23" t="n">
        <v>30.62</v>
      </c>
    </row>
    <row r="132" customFormat="false" ht="15" hidden="false" customHeight="true" outlineLevel="0" collapsed="false">
      <c r="A132" s="21" t="s">
        <v>310</v>
      </c>
      <c r="B132" s="21" t="s">
        <v>468</v>
      </c>
      <c r="C132" s="23" t="n">
        <v>45</v>
      </c>
    </row>
    <row r="133" customFormat="false" ht="15" hidden="false" customHeight="true" outlineLevel="0" collapsed="false">
      <c r="A133" s="21" t="s">
        <v>310</v>
      </c>
      <c r="B133" s="21" t="s">
        <v>469</v>
      </c>
      <c r="C133" s="23" t="n">
        <v>31.25</v>
      </c>
    </row>
    <row r="134" customFormat="false" ht="15" hidden="false" customHeight="true" outlineLevel="0" collapsed="false">
      <c r="A134" s="21" t="s">
        <v>310</v>
      </c>
      <c r="B134" s="21" t="s">
        <v>332</v>
      </c>
      <c r="C134" s="23" t="n">
        <v>60</v>
      </c>
    </row>
    <row r="135" customFormat="false" ht="15" hidden="false" customHeight="true" outlineLevel="0" collapsed="false">
      <c r="A135" s="21" t="s">
        <v>310</v>
      </c>
      <c r="B135" s="21" t="s">
        <v>470</v>
      </c>
      <c r="C135" s="23" t="n">
        <v>30</v>
      </c>
    </row>
    <row r="136" customFormat="false" ht="15" hidden="false" customHeight="true" outlineLevel="0" collapsed="false">
      <c r="A136" s="21" t="s">
        <v>310</v>
      </c>
      <c r="B136" s="21" t="s">
        <v>471</v>
      </c>
      <c r="C136" s="23" t="n">
        <v>30</v>
      </c>
    </row>
    <row r="137" customFormat="false" ht="15" hidden="false" customHeight="true" outlineLevel="0" collapsed="false">
      <c r="A137" s="21" t="s">
        <v>310</v>
      </c>
      <c r="B137" s="21" t="s">
        <v>472</v>
      </c>
      <c r="C137" s="23" t="n">
        <v>45</v>
      </c>
    </row>
    <row r="138" customFormat="false" ht="15" hidden="false" customHeight="true" outlineLevel="0" collapsed="false">
      <c r="A138" s="21" t="s">
        <v>310</v>
      </c>
      <c r="B138" s="21" t="s">
        <v>448</v>
      </c>
      <c r="C138" s="23" t="n">
        <v>40</v>
      </c>
    </row>
    <row r="139" customFormat="false" ht="15" hidden="false" customHeight="true" outlineLevel="0" collapsed="false">
      <c r="A139" s="21" t="s">
        <v>310</v>
      </c>
      <c r="B139" s="21" t="s">
        <v>449</v>
      </c>
      <c r="C139" s="23" t="n">
        <v>80</v>
      </c>
    </row>
    <row r="140" customFormat="false" ht="15" hidden="false" customHeight="true" outlineLevel="0" collapsed="false">
      <c r="A140" s="21" t="s">
        <v>310</v>
      </c>
      <c r="B140" s="21" t="s">
        <v>316</v>
      </c>
      <c r="C140" s="23" t="n">
        <v>40</v>
      </c>
    </row>
    <row r="141" customFormat="false" ht="15" hidden="false" customHeight="true" outlineLevel="0" collapsed="false">
      <c r="A141" s="21" t="s">
        <v>310</v>
      </c>
      <c r="B141" s="21" t="s">
        <v>323</v>
      </c>
      <c r="C141" s="23" t="n">
        <v>50</v>
      </c>
    </row>
    <row r="142" customFormat="false" ht="15" hidden="false" customHeight="true" outlineLevel="0" collapsed="false">
      <c r="A142" s="21" t="s">
        <v>310</v>
      </c>
      <c r="B142" s="21" t="s">
        <v>473</v>
      </c>
      <c r="C142" s="23" t="n">
        <v>50</v>
      </c>
    </row>
    <row r="143" customFormat="false" ht="15" hidden="false" customHeight="true" outlineLevel="0" collapsed="false">
      <c r="A143" s="21" t="s">
        <v>310</v>
      </c>
      <c r="B143" s="21" t="s">
        <v>474</v>
      </c>
      <c r="C143" s="23" t="n">
        <v>50</v>
      </c>
    </row>
    <row r="144" customFormat="false" ht="15" hidden="false" customHeight="true" outlineLevel="0" collapsed="false">
      <c r="A144" s="21" t="s">
        <v>310</v>
      </c>
      <c r="B144" s="21" t="s">
        <v>475</v>
      </c>
      <c r="C144" s="23" t="n">
        <v>70</v>
      </c>
    </row>
    <row r="145" customFormat="false" ht="15" hidden="false" customHeight="true" outlineLevel="0" collapsed="false">
      <c r="A145" s="21" t="s">
        <v>310</v>
      </c>
      <c r="B145" s="21" t="s">
        <v>476</v>
      </c>
      <c r="C145" s="23" t="n">
        <v>73.33</v>
      </c>
    </row>
    <row r="146" customFormat="false" ht="15" hidden="false" customHeight="true" outlineLevel="0" collapsed="false">
      <c r="A146" s="21" t="s">
        <v>310</v>
      </c>
      <c r="B146" s="21" t="s">
        <v>367</v>
      </c>
      <c r="C146" s="23" t="n">
        <v>90</v>
      </c>
    </row>
    <row r="147" customFormat="false" ht="15" hidden="false" customHeight="true" outlineLevel="0" collapsed="false">
      <c r="A147" s="21" t="s">
        <v>310</v>
      </c>
      <c r="B147" s="21" t="s">
        <v>344</v>
      </c>
      <c r="C147" s="23" t="n">
        <v>70</v>
      </c>
    </row>
    <row r="148" customFormat="false" ht="15" hidden="false" customHeight="true" outlineLevel="0" collapsed="false">
      <c r="A148" s="21" t="s">
        <v>310</v>
      </c>
      <c r="B148" s="21" t="s">
        <v>345</v>
      </c>
      <c r="C148" s="23" t="n">
        <v>70</v>
      </c>
    </row>
    <row r="149" customFormat="false" ht="15" hidden="false" customHeight="true" outlineLevel="0" collapsed="false">
      <c r="A149" s="21" t="s">
        <v>310</v>
      </c>
      <c r="B149" s="21" t="s">
        <v>330</v>
      </c>
      <c r="C149" s="23" t="n">
        <v>90</v>
      </c>
    </row>
    <row r="150" customFormat="false" ht="15" hidden="false" customHeight="true" outlineLevel="0" collapsed="false">
      <c r="A150" s="21" t="s">
        <v>310</v>
      </c>
      <c r="B150" s="21" t="s">
        <v>343</v>
      </c>
      <c r="C150" s="23" t="n">
        <v>50</v>
      </c>
    </row>
    <row r="151" customFormat="false" ht="15" hidden="false" customHeight="true" outlineLevel="0" collapsed="false">
      <c r="A151" s="21" t="s">
        <v>310</v>
      </c>
      <c r="B151" s="21" t="s">
        <v>462</v>
      </c>
      <c r="C151" s="23" t="n">
        <v>70</v>
      </c>
    </row>
    <row r="152" customFormat="false" ht="15" hidden="false" customHeight="true" outlineLevel="0" collapsed="false">
      <c r="A152" s="21" t="s">
        <v>310</v>
      </c>
      <c r="B152" s="21" t="s">
        <v>426</v>
      </c>
      <c r="C152" s="23" t="n">
        <v>130</v>
      </c>
    </row>
    <row r="153" customFormat="false" ht="15" hidden="false" customHeight="true" outlineLevel="0" collapsed="false">
      <c r="A153" s="21" t="s">
        <v>310</v>
      </c>
      <c r="B153" s="21" t="s">
        <v>363</v>
      </c>
      <c r="C153" s="23" t="n">
        <v>70</v>
      </c>
    </row>
    <row r="154" customFormat="false" ht="15" hidden="false" customHeight="true" outlineLevel="0" collapsed="false">
      <c r="A154" s="21" t="s">
        <v>310</v>
      </c>
      <c r="B154" s="21" t="s">
        <v>346</v>
      </c>
      <c r="C154" s="23" t="n">
        <v>120</v>
      </c>
    </row>
    <row r="155" customFormat="false" ht="15" hidden="false" customHeight="true" outlineLevel="0" collapsed="false">
      <c r="A155" s="21" t="s">
        <v>310</v>
      </c>
      <c r="B155" s="21" t="s">
        <v>347</v>
      </c>
      <c r="C155" s="23" t="n">
        <v>120</v>
      </c>
    </row>
    <row r="156" customFormat="false" ht="15" hidden="false" customHeight="true" outlineLevel="0" collapsed="false">
      <c r="A156" s="21" t="s">
        <v>310</v>
      </c>
      <c r="B156" s="21" t="s">
        <v>338</v>
      </c>
      <c r="C156" s="23" t="n">
        <v>90</v>
      </c>
    </row>
    <row r="157" customFormat="false" ht="15" hidden="false" customHeight="true" outlineLevel="0" collapsed="false">
      <c r="A157" s="21" t="s">
        <v>310</v>
      </c>
      <c r="B157" s="21" t="s">
        <v>339</v>
      </c>
      <c r="C157" s="23" t="n">
        <v>70</v>
      </c>
    </row>
    <row r="158" customFormat="false" ht="15" hidden="false" customHeight="true" outlineLevel="0" collapsed="false">
      <c r="A158" s="21" t="s">
        <v>310</v>
      </c>
      <c r="B158" s="21" t="s">
        <v>315</v>
      </c>
      <c r="C158" s="23" t="n">
        <v>120</v>
      </c>
    </row>
    <row r="159" customFormat="false" ht="15" hidden="false" customHeight="true" outlineLevel="0" collapsed="false">
      <c r="A159" s="21" t="s">
        <v>310</v>
      </c>
      <c r="B159" s="21" t="s">
        <v>311</v>
      </c>
      <c r="C159" s="23" t="n">
        <v>30</v>
      </c>
    </row>
    <row r="160" customFormat="false" ht="15" hidden="false" customHeight="true" outlineLevel="0" collapsed="false">
      <c r="A160" s="21" t="s">
        <v>310</v>
      </c>
      <c r="B160" s="21" t="s">
        <v>312</v>
      </c>
      <c r="C160" s="23" t="n">
        <v>45</v>
      </c>
    </row>
    <row r="161" customFormat="false" ht="15" hidden="false" customHeight="true" outlineLevel="0" collapsed="false">
      <c r="A161" s="21" t="s">
        <v>310</v>
      </c>
      <c r="B161" s="21" t="s">
        <v>313</v>
      </c>
      <c r="C161" s="23" t="n">
        <v>30</v>
      </c>
    </row>
    <row r="162" customFormat="false" ht="15" hidden="false" customHeight="true" outlineLevel="0" collapsed="false">
      <c r="A162" s="21" t="s">
        <v>310</v>
      </c>
      <c r="B162" s="21" t="s">
        <v>314</v>
      </c>
      <c r="C162" s="23" t="n">
        <v>45</v>
      </c>
    </row>
    <row r="163" customFormat="false" ht="15" hidden="false" customHeight="true" outlineLevel="0" collapsed="false">
      <c r="A163" s="21" t="s">
        <v>310</v>
      </c>
      <c r="B163" s="21" t="s">
        <v>477</v>
      </c>
      <c r="C163" s="23" t="n">
        <v>30.83</v>
      </c>
    </row>
    <row r="164" customFormat="false" ht="15" hidden="false" customHeight="true" outlineLevel="0" collapsed="false">
      <c r="A164" s="21" t="s">
        <v>310</v>
      </c>
      <c r="B164" s="21" t="s">
        <v>333</v>
      </c>
      <c r="C164" s="23" t="n">
        <v>45</v>
      </c>
    </row>
    <row r="165" customFormat="false" ht="15" hidden="false" customHeight="true" outlineLevel="0" collapsed="false">
      <c r="A165" s="21" t="s">
        <v>310</v>
      </c>
      <c r="B165" s="21" t="s">
        <v>478</v>
      </c>
      <c r="C165" s="23" t="n">
        <v>40</v>
      </c>
    </row>
    <row r="166" customFormat="false" ht="15" hidden="false" customHeight="true" outlineLevel="0" collapsed="false">
      <c r="A166" s="21" t="s">
        <v>310</v>
      </c>
      <c r="B166" s="21" t="s">
        <v>334</v>
      </c>
      <c r="C166" s="23" t="n">
        <v>56.25</v>
      </c>
    </row>
    <row r="167" customFormat="false" ht="15" hidden="false" customHeight="true" outlineLevel="0" collapsed="false">
      <c r="A167" s="21" t="s">
        <v>310</v>
      </c>
      <c r="B167" s="21" t="s">
        <v>479</v>
      </c>
      <c r="C167" s="23" t="n">
        <v>21.47</v>
      </c>
    </row>
    <row r="168" customFormat="false" ht="15" hidden="false" customHeight="true" outlineLevel="0" collapsed="false">
      <c r="A168" s="21" t="s">
        <v>310</v>
      </c>
      <c r="B168" s="21" t="s">
        <v>480</v>
      </c>
      <c r="C168" s="23" t="n">
        <v>31.25</v>
      </c>
    </row>
    <row r="169" customFormat="false" ht="15" hidden="false" customHeight="true" outlineLevel="0" collapsed="false">
      <c r="A169" s="21" t="s">
        <v>310</v>
      </c>
      <c r="B169" s="21" t="s">
        <v>359</v>
      </c>
      <c r="C169" s="23" t="n">
        <v>23.93</v>
      </c>
    </row>
    <row r="170" customFormat="false" ht="15" hidden="false" customHeight="true" outlineLevel="0" collapsed="false">
      <c r="A170" s="21" t="s">
        <v>310</v>
      </c>
      <c r="B170" s="21" t="s">
        <v>360</v>
      </c>
      <c r="C170" s="23" t="n">
        <v>38.57</v>
      </c>
    </row>
    <row r="171" customFormat="false" ht="15" hidden="false" customHeight="true" outlineLevel="0" collapsed="false">
      <c r="A171" s="21" t="s">
        <v>310</v>
      </c>
      <c r="B171" s="21" t="s">
        <v>387</v>
      </c>
      <c r="C171" s="23" t="n">
        <v>24.5</v>
      </c>
    </row>
    <row r="172" customFormat="false" ht="15" hidden="false" customHeight="true" outlineLevel="0" collapsed="false">
      <c r="A172" s="21" t="s">
        <v>310</v>
      </c>
      <c r="B172" s="21" t="s">
        <v>388</v>
      </c>
      <c r="C172" s="23" t="n">
        <v>30</v>
      </c>
    </row>
    <row r="173" customFormat="false" ht="15" hidden="false" customHeight="true" outlineLevel="0" collapsed="false">
      <c r="A173" s="21"/>
      <c r="B173" s="21"/>
      <c r="C173" s="23"/>
    </row>
    <row r="174" customFormat="false" ht="15" hidden="false" customHeight="true" outlineLevel="0" collapsed="false">
      <c r="A174" s="21"/>
      <c r="B174" s="21"/>
      <c r="C174" s="23"/>
    </row>
    <row r="175" customFormat="false" ht="15" hidden="false" customHeight="true" outlineLevel="0" collapsed="false">
      <c r="A175" s="21"/>
      <c r="B175" s="21"/>
      <c r="C175" s="23"/>
    </row>
    <row r="176" customFormat="false" ht="15" hidden="false" customHeight="true" outlineLevel="0" collapsed="false">
      <c r="A176" s="21"/>
      <c r="B176" s="21"/>
      <c r="C176" s="23"/>
    </row>
    <row r="177" customFormat="false" ht="15" hidden="false" customHeight="true" outlineLevel="0" collapsed="false">
      <c r="A177" s="21"/>
      <c r="B177" s="21"/>
      <c r="C177" s="23"/>
    </row>
    <row r="178" customFormat="false" ht="15" hidden="false" customHeight="true" outlineLevel="0" collapsed="false">
      <c r="A178" s="21"/>
      <c r="B178" s="21"/>
      <c r="C178" s="23"/>
    </row>
    <row r="179" customFormat="false" ht="15" hidden="false" customHeight="true" outlineLevel="0" collapsed="false">
      <c r="A179" s="21"/>
      <c r="B179" s="21"/>
      <c r="C179" s="23"/>
    </row>
    <row r="180" customFormat="false" ht="15" hidden="false" customHeight="true" outlineLevel="0" collapsed="false">
      <c r="A180" s="21"/>
      <c r="B180" s="21"/>
      <c r="C180" s="23"/>
    </row>
    <row r="181" customFormat="false" ht="15" hidden="false" customHeight="true" outlineLevel="0" collapsed="false">
      <c r="A181" s="21"/>
      <c r="B181" s="21"/>
      <c r="C181" s="23"/>
    </row>
    <row r="182" customFormat="false" ht="15" hidden="false" customHeight="true" outlineLevel="0" collapsed="false">
      <c r="A182" s="21"/>
      <c r="B182" s="21"/>
      <c r="C182" s="23"/>
    </row>
    <row r="183" customFormat="false" ht="15" hidden="false" customHeight="true" outlineLevel="0" collapsed="false">
      <c r="A183" s="21"/>
      <c r="B183" s="21"/>
      <c r="C183" s="23"/>
    </row>
    <row r="184" customFormat="false" ht="15" hidden="false" customHeight="true" outlineLevel="0" collapsed="false">
      <c r="A184" s="21"/>
      <c r="B184" s="21"/>
      <c r="C184" s="23"/>
    </row>
    <row r="185" customFormat="false" ht="15" hidden="false" customHeight="true" outlineLevel="0" collapsed="false">
      <c r="A185" s="21"/>
      <c r="B185" s="21"/>
      <c r="C185" s="23"/>
    </row>
    <row r="186" customFormat="false" ht="15" hidden="false" customHeight="true" outlineLevel="0" collapsed="false">
      <c r="A186" s="21"/>
      <c r="B186" s="21"/>
      <c r="C186" s="23"/>
    </row>
    <row r="187" customFormat="false" ht="15" hidden="false" customHeight="true" outlineLevel="0" collapsed="false">
      <c r="A187" s="21"/>
      <c r="B187" s="21"/>
      <c r="C187" s="23"/>
    </row>
    <row r="188" customFormat="false" ht="15" hidden="false" customHeight="true" outlineLevel="0" collapsed="false">
      <c r="A188" s="21"/>
      <c r="B188" s="21"/>
      <c r="C188" s="23"/>
    </row>
    <row r="189" customFormat="false" ht="15" hidden="false" customHeight="true" outlineLevel="0" collapsed="false">
      <c r="A189" s="21"/>
      <c r="B189" s="21"/>
      <c r="C189" s="23"/>
    </row>
    <row r="190" customFormat="false" ht="15" hidden="false" customHeight="true" outlineLevel="0" collapsed="false">
      <c r="A190" s="21"/>
      <c r="B190" s="21"/>
      <c r="C190" s="23"/>
    </row>
    <row r="191" customFormat="false" ht="15" hidden="false" customHeight="true" outlineLevel="0" collapsed="false">
      <c r="A191" s="21"/>
      <c r="B191" s="21"/>
      <c r="C191" s="23"/>
    </row>
    <row r="192" customFormat="false" ht="15" hidden="false" customHeight="true" outlineLevel="0" collapsed="false">
      <c r="A192" s="21"/>
      <c r="B192" s="21"/>
      <c r="C192" s="23"/>
    </row>
    <row r="193" customFormat="false" ht="15" hidden="false" customHeight="true" outlineLevel="0" collapsed="false">
      <c r="A193" s="21"/>
      <c r="B193" s="21"/>
      <c r="C193" s="23"/>
    </row>
    <row r="194" customFormat="false" ht="15" hidden="false" customHeight="true" outlineLevel="0" collapsed="false">
      <c r="A194" s="21"/>
      <c r="B194" s="21"/>
      <c r="C194" s="23"/>
    </row>
    <row r="195" customFormat="false" ht="15" hidden="false" customHeight="true" outlineLevel="0" collapsed="false">
      <c r="A195" s="21"/>
      <c r="B195" s="21"/>
      <c r="C195" s="23"/>
    </row>
    <row r="196" customFormat="false" ht="15" hidden="false" customHeight="true" outlineLevel="0" collapsed="false">
      <c r="A196" s="21"/>
      <c r="B196" s="21"/>
      <c r="C196" s="23"/>
    </row>
    <row r="197" customFormat="false" ht="15" hidden="false" customHeight="true" outlineLevel="0" collapsed="false">
      <c r="A197" s="21"/>
      <c r="B197" s="21"/>
      <c r="C197" s="23"/>
    </row>
    <row r="198" customFormat="false" ht="15" hidden="false" customHeight="true" outlineLevel="0" collapsed="false">
      <c r="A198" s="21"/>
      <c r="B198" s="21"/>
      <c r="C198" s="23"/>
    </row>
    <row r="199" customFormat="false" ht="15" hidden="false" customHeight="true" outlineLevel="0" collapsed="false">
      <c r="A199" s="21"/>
      <c r="B199" s="21"/>
      <c r="C199" s="23"/>
    </row>
    <row r="200" customFormat="false" ht="15" hidden="false" customHeight="true" outlineLevel="0" collapsed="false">
      <c r="A200" s="21"/>
      <c r="B200" s="21"/>
      <c r="C200" s="23"/>
    </row>
    <row r="201" customFormat="false" ht="15" hidden="false" customHeight="true" outlineLevel="0" collapsed="false">
      <c r="A201" s="21"/>
      <c r="B201" s="21"/>
      <c r="C201" s="23"/>
    </row>
    <row r="202" customFormat="false" ht="15" hidden="false" customHeight="true" outlineLevel="0" collapsed="false">
      <c r="A202" s="21"/>
      <c r="B202" s="21"/>
      <c r="C202" s="23"/>
    </row>
    <row r="203" customFormat="false" ht="15" hidden="false" customHeight="true" outlineLevel="0" collapsed="false">
      <c r="A203" s="21"/>
      <c r="B203" s="21"/>
      <c r="C203" s="23"/>
    </row>
    <row r="204" customFormat="false" ht="15" hidden="false" customHeight="true" outlineLevel="0" collapsed="false">
      <c r="A204" s="21"/>
      <c r="B204" s="21"/>
      <c r="C204" s="23"/>
    </row>
    <row r="205" customFormat="false" ht="15" hidden="false" customHeight="true" outlineLevel="0" collapsed="false">
      <c r="A205" s="21"/>
      <c r="B205" s="21"/>
      <c r="C205" s="23"/>
    </row>
    <row r="206" customFormat="false" ht="15" hidden="false" customHeight="true" outlineLevel="0" collapsed="false">
      <c r="A206" s="21"/>
      <c r="B206" s="21"/>
      <c r="C206" s="23"/>
    </row>
    <row r="207" customFormat="false" ht="15" hidden="false" customHeight="true" outlineLevel="0" collapsed="false">
      <c r="A207" s="21"/>
      <c r="B207" s="21"/>
      <c r="C207" s="23"/>
    </row>
    <row r="208" customFormat="false" ht="15" hidden="false" customHeight="true" outlineLevel="0" collapsed="false">
      <c r="A208" s="21"/>
      <c r="B208" s="21"/>
      <c r="C208" s="23"/>
    </row>
    <row r="209" customFormat="false" ht="15" hidden="false" customHeight="true" outlineLevel="0" collapsed="false">
      <c r="A209" s="21"/>
      <c r="B209" s="21"/>
      <c r="C209" s="23"/>
    </row>
    <row r="210" customFormat="false" ht="15" hidden="false" customHeight="true" outlineLevel="0" collapsed="false">
      <c r="A210" s="21"/>
      <c r="B210" s="21"/>
      <c r="C210" s="23"/>
    </row>
    <row r="211" customFormat="false" ht="15" hidden="false" customHeight="true" outlineLevel="0" collapsed="false">
      <c r="A211" s="21"/>
      <c r="B211" s="21"/>
      <c r="C211" s="23"/>
    </row>
    <row r="212" customFormat="false" ht="15" hidden="false" customHeight="true" outlineLevel="0" collapsed="false">
      <c r="A212" s="21"/>
      <c r="B212" s="21"/>
      <c r="C212" s="23"/>
    </row>
    <row r="213" customFormat="false" ht="15" hidden="false" customHeight="true" outlineLevel="0" collapsed="false">
      <c r="A213" s="21"/>
      <c r="B213" s="21"/>
      <c r="C213" s="23"/>
    </row>
    <row r="214" customFormat="false" ht="15" hidden="false" customHeight="true" outlineLevel="0" collapsed="false">
      <c r="A214" s="21"/>
      <c r="B214" s="21"/>
      <c r="C214" s="23"/>
    </row>
    <row r="215" customFormat="false" ht="15" hidden="false" customHeight="true" outlineLevel="0" collapsed="false">
      <c r="A215" s="21"/>
      <c r="B215" s="21"/>
      <c r="C215" s="23"/>
    </row>
    <row r="216" customFormat="false" ht="15" hidden="false" customHeight="true" outlineLevel="0" collapsed="false">
      <c r="A216" s="21"/>
      <c r="B216" s="21"/>
      <c r="C216" s="23"/>
    </row>
    <row r="217" customFormat="false" ht="15" hidden="false" customHeight="true" outlineLevel="0" collapsed="false">
      <c r="A217" s="21"/>
      <c r="B217" s="21"/>
      <c r="C217" s="23"/>
    </row>
    <row r="218" customFormat="false" ht="15" hidden="false" customHeight="true" outlineLevel="0" collapsed="false">
      <c r="A218" s="21"/>
      <c r="B218" s="21"/>
      <c r="C218" s="23"/>
    </row>
    <row r="219" customFormat="false" ht="15" hidden="false" customHeight="true" outlineLevel="0" collapsed="false">
      <c r="A219" s="21"/>
      <c r="B219" s="21"/>
      <c r="C219" s="23"/>
    </row>
    <row r="220" customFormat="false" ht="15" hidden="false" customHeight="true" outlineLevel="0" collapsed="false">
      <c r="A220" s="21"/>
      <c r="B220" s="21"/>
      <c r="C220" s="23"/>
    </row>
    <row r="221" customFormat="false" ht="15" hidden="false" customHeight="true" outlineLevel="0" collapsed="false">
      <c r="A221" s="21"/>
      <c r="B221" s="21"/>
      <c r="C221" s="23"/>
    </row>
    <row r="222" customFormat="false" ht="15" hidden="false" customHeight="true" outlineLevel="0" collapsed="false">
      <c r="A222" s="21"/>
      <c r="B222" s="21"/>
      <c r="C222" s="23"/>
    </row>
    <row r="223" customFormat="false" ht="15" hidden="false" customHeight="true" outlineLevel="0" collapsed="false">
      <c r="A223" s="21"/>
      <c r="B223" s="21"/>
      <c r="C223" s="23"/>
    </row>
    <row r="224" customFormat="false" ht="15" hidden="false" customHeight="true" outlineLevel="0" collapsed="false">
      <c r="A224" s="21"/>
      <c r="B224" s="21"/>
      <c r="C224" s="23"/>
    </row>
    <row r="225" customFormat="false" ht="15" hidden="false" customHeight="true" outlineLevel="0" collapsed="false">
      <c r="A225" s="21"/>
      <c r="B225" s="21"/>
      <c r="C225" s="23"/>
    </row>
    <row r="226" customFormat="false" ht="15" hidden="false" customHeight="true" outlineLevel="0" collapsed="false">
      <c r="A226" s="21"/>
      <c r="B226" s="21"/>
      <c r="C226" s="23"/>
    </row>
    <row r="227" customFormat="false" ht="15" hidden="false" customHeight="true" outlineLevel="0" collapsed="false">
      <c r="A227" s="21"/>
      <c r="B227" s="21"/>
      <c r="C227" s="23"/>
    </row>
    <row r="228" customFormat="false" ht="15" hidden="false" customHeight="true" outlineLevel="0" collapsed="false">
      <c r="A228" s="21"/>
      <c r="B228" s="21"/>
      <c r="C228" s="23"/>
    </row>
    <row r="229" customFormat="false" ht="15" hidden="false" customHeight="true" outlineLevel="0" collapsed="false">
      <c r="A229" s="21"/>
      <c r="B229" s="21"/>
      <c r="C229" s="23"/>
    </row>
    <row r="230" customFormat="false" ht="15" hidden="false" customHeight="true" outlineLevel="0" collapsed="false">
      <c r="A230" s="21"/>
      <c r="B230" s="21"/>
      <c r="C230" s="23"/>
    </row>
    <row r="231" customFormat="false" ht="15" hidden="false" customHeight="true" outlineLevel="0" collapsed="false">
      <c r="A231" s="21"/>
      <c r="B231" s="21"/>
      <c r="C231" s="23"/>
    </row>
    <row r="232" customFormat="false" ht="15" hidden="false" customHeight="true" outlineLevel="0" collapsed="false">
      <c r="A232" s="21"/>
      <c r="B232" s="21"/>
      <c r="C232" s="23"/>
    </row>
    <row r="233" customFormat="false" ht="15" hidden="false" customHeight="true" outlineLevel="0" collapsed="false">
      <c r="A233" s="21"/>
      <c r="B233" s="21"/>
      <c r="C233" s="23"/>
    </row>
    <row r="234" customFormat="false" ht="15" hidden="false" customHeight="true" outlineLevel="0" collapsed="false">
      <c r="A234" s="21"/>
      <c r="B234" s="21"/>
      <c r="C234" s="23"/>
    </row>
    <row r="235" customFormat="false" ht="15" hidden="false" customHeight="true" outlineLevel="0" collapsed="false">
      <c r="A235" s="21"/>
      <c r="B235" s="21"/>
      <c r="C235" s="23"/>
    </row>
    <row r="236" customFormat="false" ht="15" hidden="false" customHeight="true" outlineLevel="0" collapsed="false">
      <c r="A236" s="21"/>
      <c r="B236" s="21"/>
      <c r="C236" s="23"/>
    </row>
    <row r="237" customFormat="false" ht="15" hidden="false" customHeight="true" outlineLevel="0" collapsed="false">
      <c r="A237" s="21"/>
      <c r="B237" s="21"/>
      <c r="C237" s="23"/>
    </row>
    <row r="238" customFormat="false" ht="15" hidden="false" customHeight="true" outlineLevel="0" collapsed="false">
      <c r="A238" s="21"/>
      <c r="B238" s="21"/>
      <c r="C238" s="23"/>
    </row>
    <row r="239" customFormat="false" ht="15" hidden="false" customHeight="true" outlineLevel="0" collapsed="false">
      <c r="A239" s="21"/>
      <c r="B239" s="21"/>
      <c r="C239" s="23"/>
    </row>
    <row r="240" customFormat="false" ht="15" hidden="false" customHeight="true" outlineLevel="0" collapsed="false">
      <c r="A240" s="21"/>
      <c r="B240" s="21"/>
      <c r="C240" s="23"/>
    </row>
    <row r="241" customFormat="false" ht="15" hidden="false" customHeight="true" outlineLevel="0" collapsed="false">
      <c r="A241" s="21"/>
      <c r="B241" s="21"/>
      <c r="C241" s="23"/>
    </row>
    <row r="242" customFormat="false" ht="15" hidden="false" customHeight="true" outlineLevel="0" collapsed="false">
      <c r="A242" s="21"/>
      <c r="B242" s="21"/>
      <c r="C242" s="23"/>
    </row>
    <row r="243" customFormat="false" ht="15" hidden="false" customHeight="true" outlineLevel="0" collapsed="false">
      <c r="A243" s="21"/>
      <c r="B243" s="21"/>
      <c r="C243" s="23"/>
    </row>
    <row r="244" customFormat="false" ht="15" hidden="false" customHeight="true" outlineLevel="0" collapsed="false">
      <c r="A244" s="21"/>
      <c r="B244" s="21"/>
      <c r="C244" s="23"/>
    </row>
    <row r="245" customFormat="false" ht="15" hidden="false" customHeight="true" outlineLevel="0" collapsed="false">
      <c r="A245" s="21"/>
      <c r="B245" s="21"/>
      <c r="C245" s="23"/>
    </row>
    <row r="246" customFormat="false" ht="15" hidden="false" customHeight="true" outlineLevel="0" collapsed="false">
      <c r="A246" s="21"/>
      <c r="B246" s="21"/>
      <c r="C246" s="23"/>
    </row>
    <row r="247" customFormat="false" ht="15" hidden="false" customHeight="true" outlineLevel="0" collapsed="false">
      <c r="A247" s="21"/>
      <c r="B247" s="21"/>
      <c r="C247" s="23"/>
    </row>
    <row r="248" customFormat="false" ht="15" hidden="false" customHeight="true" outlineLevel="0" collapsed="false">
      <c r="A248" s="21"/>
      <c r="B248" s="21"/>
      <c r="C248" s="23"/>
    </row>
    <row r="249" customFormat="false" ht="15" hidden="false" customHeight="true" outlineLevel="0" collapsed="false">
      <c r="A249" s="21"/>
      <c r="B249" s="21"/>
      <c r="C249" s="23"/>
    </row>
    <row r="250" customFormat="false" ht="15" hidden="false" customHeight="true" outlineLevel="0" collapsed="false">
      <c r="A250" s="21"/>
      <c r="B250" s="21"/>
      <c r="C250" s="23"/>
    </row>
    <row r="251" customFormat="false" ht="15" hidden="false" customHeight="true" outlineLevel="0" collapsed="false">
      <c r="A251" s="21"/>
      <c r="B251" s="21"/>
      <c r="C251" s="23"/>
    </row>
    <row r="252" customFormat="false" ht="15" hidden="false" customHeight="true" outlineLevel="0" collapsed="false">
      <c r="A252" s="21"/>
      <c r="B252" s="21"/>
      <c r="C252" s="23"/>
    </row>
    <row r="253" customFormat="false" ht="15" hidden="false" customHeight="true" outlineLevel="0" collapsed="false">
      <c r="A253" s="21"/>
      <c r="B253" s="21"/>
      <c r="C253" s="23"/>
    </row>
    <row r="254" customFormat="false" ht="15" hidden="false" customHeight="true" outlineLevel="0" collapsed="false">
      <c r="A254" s="21"/>
      <c r="B254" s="21"/>
      <c r="C254" s="23"/>
    </row>
    <row r="255" customFormat="false" ht="15" hidden="false" customHeight="true" outlineLevel="0" collapsed="false">
      <c r="A255" s="21"/>
      <c r="B255" s="21"/>
      <c r="C255" s="23"/>
    </row>
    <row r="256" customFormat="false" ht="15" hidden="false" customHeight="true" outlineLevel="0" collapsed="false">
      <c r="A256" s="21"/>
      <c r="B256" s="21"/>
      <c r="C256" s="23"/>
    </row>
    <row r="257" customFormat="false" ht="15" hidden="false" customHeight="true" outlineLevel="0" collapsed="false">
      <c r="A257" s="21"/>
      <c r="B257" s="21"/>
      <c r="C257" s="23"/>
    </row>
    <row r="258" customFormat="false" ht="15" hidden="false" customHeight="true" outlineLevel="0" collapsed="false">
      <c r="A258" s="21"/>
      <c r="B258" s="21"/>
      <c r="C258" s="23"/>
    </row>
    <row r="259" customFormat="false" ht="15" hidden="false" customHeight="true" outlineLevel="0" collapsed="false">
      <c r="A259" s="21"/>
      <c r="B259" s="21"/>
      <c r="C259" s="23"/>
    </row>
    <row r="260" customFormat="false" ht="15" hidden="false" customHeight="true" outlineLevel="0" collapsed="false">
      <c r="A260" s="21"/>
      <c r="B260" s="21"/>
      <c r="C260" s="23"/>
    </row>
    <row r="261" customFormat="false" ht="15" hidden="false" customHeight="true" outlineLevel="0" collapsed="false">
      <c r="A261" s="21"/>
      <c r="B261" s="21"/>
      <c r="C261" s="23"/>
    </row>
    <row r="262" customFormat="false" ht="15" hidden="false" customHeight="true" outlineLevel="0" collapsed="false">
      <c r="A262" s="21"/>
      <c r="B262" s="21"/>
      <c r="C262" s="23"/>
    </row>
    <row r="263" customFormat="false" ht="15" hidden="false" customHeight="true" outlineLevel="0" collapsed="false">
      <c r="A263" s="21"/>
      <c r="B263" s="21"/>
      <c r="C263" s="23"/>
    </row>
    <row r="264" customFormat="false" ht="15" hidden="false" customHeight="true" outlineLevel="0" collapsed="false">
      <c r="A264" s="21"/>
      <c r="B264" s="21"/>
      <c r="C264" s="23"/>
    </row>
    <row r="265" customFormat="false" ht="15" hidden="false" customHeight="true" outlineLevel="0" collapsed="false">
      <c r="A265" s="21"/>
      <c r="B265" s="21"/>
      <c r="C265" s="23"/>
    </row>
    <row r="266" customFormat="false" ht="15" hidden="false" customHeight="true" outlineLevel="0" collapsed="false">
      <c r="A266" s="21"/>
      <c r="B266" s="21"/>
      <c r="C266" s="23"/>
    </row>
    <row r="267" customFormat="false" ht="15" hidden="false" customHeight="true" outlineLevel="0" collapsed="false">
      <c r="A267" s="21"/>
      <c r="B267" s="21"/>
      <c r="C267" s="23"/>
    </row>
    <row r="268" customFormat="false" ht="15" hidden="false" customHeight="true" outlineLevel="0" collapsed="false">
      <c r="A268" s="21"/>
      <c r="B268" s="21"/>
      <c r="C268" s="23"/>
    </row>
    <row r="269" customFormat="false" ht="15" hidden="false" customHeight="true" outlineLevel="0" collapsed="false">
      <c r="A269" s="21"/>
      <c r="B269" s="21"/>
      <c r="C269" s="23"/>
    </row>
    <row r="270" customFormat="false" ht="15" hidden="false" customHeight="true" outlineLevel="0" collapsed="false">
      <c r="A270" s="21"/>
      <c r="B270" s="21"/>
      <c r="C270" s="23"/>
    </row>
    <row r="271" customFormat="false" ht="15" hidden="false" customHeight="true" outlineLevel="0" collapsed="false">
      <c r="A271" s="21"/>
      <c r="B271" s="21"/>
      <c r="C271" s="23"/>
    </row>
    <row r="272" customFormat="false" ht="15" hidden="false" customHeight="true" outlineLevel="0" collapsed="false">
      <c r="A272" s="21"/>
      <c r="B272" s="21"/>
      <c r="C272" s="23"/>
    </row>
    <row r="273" customFormat="false" ht="15" hidden="false" customHeight="true" outlineLevel="0" collapsed="false">
      <c r="A273" s="21"/>
      <c r="B273" s="21"/>
      <c r="C273" s="23"/>
    </row>
    <row r="274" customFormat="false" ht="15" hidden="false" customHeight="true" outlineLevel="0" collapsed="false">
      <c r="A274" s="21"/>
      <c r="B274" s="21"/>
      <c r="C274" s="23"/>
    </row>
    <row r="275" customFormat="false" ht="15" hidden="false" customHeight="true" outlineLevel="0" collapsed="false">
      <c r="A275" s="21"/>
      <c r="B275" s="21"/>
      <c r="C275" s="23"/>
    </row>
    <row r="276" customFormat="false" ht="15" hidden="false" customHeight="true" outlineLevel="0" collapsed="false">
      <c r="A276" s="21"/>
      <c r="B276" s="21"/>
      <c r="C276" s="23"/>
    </row>
    <row r="277" customFormat="false" ht="15" hidden="false" customHeight="true" outlineLevel="0" collapsed="false">
      <c r="A277" s="21"/>
      <c r="B277" s="21"/>
      <c r="C277" s="23"/>
    </row>
    <row r="278" customFormat="false" ht="15" hidden="false" customHeight="true" outlineLevel="0" collapsed="false">
      <c r="A278" s="21"/>
      <c r="B278" s="21"/>
      <c r="C278" s="23"/>
    </row>
    <row r="279" customFormat="false" ht="15" hidden="false" customHeight="true" outlineLevel="0" collapsed="false">
      <c r="A279" s="21"/>
      <c r="B279" s="21"/>
      <c r="C279" s="23"/>
    </row>
    <row r="280" customFormat="false" ht="15" hidden="false" customHeight="true" outlineLevel="0" collapsed="false">
      <c r="A280" s="21"/>
      <c r="B280" s="21"/>
      <c r="C280" s="23"/>
    </row>
    <row r="281" customFormat="false" ht="15" hidden="false" customHeight="true" outlineLevel="0" collapsed="false">
      <c r="A281" s="21"/>
      <c r="B281" s="21"/>
      <c r="C281" s="23"/>
    </row>
    <row r="282" customFormat="false" ht="15" hidden="false" customHeight="true" outlineLevel="0" collapsed="false">
      <c r="A282" s="21"/>
      <c r="B282" s="21"/>
      <c r="C282" s="23"/>
    </row>
    <row r="283" customFormat="false" ht="15" hidden="false" customHeight="true" outlineLevel="0" collapsed="false">
      <c r="A283" s="21"/>
      <c r="B283" s="21"/>
      <c r="C283" s="23"/>
    </row>
    <row r="284" customFormat="false" ht="15" hidden="false" customHeight="true" outlineLevel="0" collapsed="false">
      <c r="A284" s="21"/>
      <c r="B284" s="21"/>
      <c r="C284" s="23"/>
    </row>
    <row r="285" customFormat="false" ht="15" hidden="false" customHeight="true" outlineLevel="0" collapsed="false">
      <c r="A285" s="21"/>
      <c r="B285" s="21"/>
      <c r="C285" s="23"/>
    </row>
    <row r="286" customFormat="false" ht="15" hidden="false" customHeight="true" outlineLevel="0" collapsed="false">
      <c r="A286" s="21"/>
      <c r="B286" s="21"/>
      <c r="C286" s="23"/>
    </row>
    <row r="287" customFormat="false" ht="15" hidden="false" customHeight="true" outlineLevel="0" collapsed="false">
      <c r="A287" s="21"/>
      <c r="B287" s="21"/>
      <c r="C287" s="23"/>
    </row>
    <row r="288" customFormat="false" ht="15" hidden="false" customHeight="true" outlineLevel="0" collapsed="false">
      <c r="A288" s="21"/>
      <c r="B288" s="21"/>
      <c r="C288" s="23"/>
    </row>
    <row r="289" customFormat="false" ht="15" hidden="false" customHeight="true" outlineLevel="0" collapsed="false">
      <c r="A289" s="21"/>
      <c r="B289" s="21"/>
      <c r="C289" s="23"/>
    </row>
    <row r="290" customFormat="false" ht="15" hidden="false" customHeight="true" outlineLevel="0" collapsed="false">
      <c r="A290" s="21"/>
      <c r="B290" s="21"/>
      <c r="C290" s="23"/>
    </row>
    <row r="291" customFormat="false" ht="15" hidden="false" customHeight="true" outlineLevel="0" collapsed="false">
      <c r="A291" s="21"/>
      <c r="B291" s="21"/>
      <c r="C291" s="23"/>
    </row>
    <row r="292" customFormat="false" ht="15" hidden="false" customHeight="true" outlineLevel="0" collapsed="false">
      <c r="A292" s="21"/>
      <c r="B292" s="21"/>
      <c r="C292" s="23"/>
    </row>
    <row r="293" customFormat="false" ht="15" hidden="false" customHeight="true" outlineLevel="0" collapsed="false">
      <c r="A293" s="21"/>
      <c r="B293" s="21"/>
      <c r="C293" s="23"/>
    </row>
    <row r="294" customFormat="false" ht="15" hidden="false" customHeight="true" outlineLevel="0" collapsed="false">
      <c r="A294" s="21"/>
      <c r="B294" s="21"/>
      <c r="C294" s="23"/>
    </row>
    <row r="295" customFormat="false" ht="15" hidden="false" customHeight="true" outlineLevel="0" collapsed="false">
      <c r="A295" s="21"/>
      <c r="B295" s="21"/>
      <c r="C295" s="23"/>
    </row>
    <row r="296" customFormat="false" ht="15" hidden="false" customHeight="true" outlineLevel="0" collapsed="false">
      <c r="A296" s="21"/>
      <c r="B296" s="21"/>
      <c r="C296" s="23"/>
    </row>
    <row r="297" customFormat="false" ht="15" hidden="false" customHeight="true" outlineLevel="0" collapsed="false">
      <c r="A297" s="21"/>
      <c r="B297" s="21"/>
      <c r="C297" s="23"/>
    </row>
    <row r="298" customFormat="false" ht="15" hidden="false" customHeight="true" outlineLevel="0" collapsed="false">
      <c r="A298" s="21"/>
      <c r="B298" s="21"/>
      <c r="C298" s="23"/>
    </row>
    <row r="299" customFormat="false" ht="15" hidden="false" customHeight="true" outlineLevel="0" collapsed="false">
      <c r="A299" s="21"/>
      <c r="B299" s="21"/>
      <c r="C299"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483</v>
      </c>
      <c r="B1" s="10" t="s">
        <v>484</v>
      </c>
      <c r="C1" s="10" t="s">
        <v>485</v>
      </c>
      <c r="D1" s="10" t="s">
        <v>288</v>
      </c>
      <c r="E1" s="10" t="s">
        <v>52</v>
      </c>
      <c r="F1" s="10" t="s">
        <v>486</v>
      </c>
    </row>
    <row r="2" customFormat="false" ht="15" hidden="false" customHeight="true" outlineLevel="0" collapsed="false">
      <c r="A2" s="39" t="s">
        <v>403</v>
      </c>
      <c r="B2" s="39" t="s">
        <v>198</v>
      </c>
      <c r="C2" s="39" t="n">
        <v>0.22</v>
      </c>
      <c r="D2" s="40" t="str">
        <f aca="false">IFERROR(INDEX(المكونات!$B$2:$B$500,MATCH($B2,المكونات!$A$2:$A$500,0)),"")</f>
        <v>كجم</v>
      </c>
      <c r="E2" s="41" t="n">
        <f aca="false">IFERROR(INDEX(المكونات!$C$2:$C$500,MATCH($B2,المكونات!$A$2:$A$500,0)),"")</f>
        <v>22</v>
      </c>
      <c r="F2" s="42" t="n">
        <f aca="false">IFERROR($C2*$E2,"")</f>
        <v>4.84</v>
      </c>
    </row>
    <row r="3" customFormat="false" ht="15" hidden="false" customHeight="true" outlineLevel="0" collapsed="false">
      <c r="A3" s="39" t="s">
        <v>403</v>
      </c>
      <c r="B3" s="39" t="s">
        <v>186</v>
      </c>
      <c r="C3" s="39" t="n">
        <v>0.04</v>
      </c>
      <c r="D3" s="40" t="str">
        <f aca="false">IFERROR(INDEX(المكونات!$B$2:$B$500,MATCH($B3,المكونات!$A$2:$A$500,0)),"")</f>
        <v>كجم</v>
      </c>
      <c r="E3" s="41" t="n">
        <f aca="false">IFERROR(INDEX(المكونات!$C$2:$C$500,MATCH($B3,المكونات!$A$2:$A$500,0)),"")</f>
        <v>32</v>
      </c>
      <c r="F3" s="42" t="n">
        <f aca="false">IFERROR($C3*$E3,"")</f>
        <v>1.28</v>
      </c>
    </row>
    <row r="4" customFormat="false" ht="15" hidden="false" customHeight="true" outlineLevel="0" collapsed="false">
      <c r="A4" s="39" t="s">
        <v>403</v>
      </c>
      <c r="B4" s="39" t="s">
        <v>196</v>
      </c>
      <c r="C4" s="39" t="n">
        <v>0.03</v>
      </c>
      <c r="D4" s="40" t="str">
        <f aca="false">IFERROR(INDEX(المكونات!$B$2:$B$500,MATCH($B4,المكونات!$A$2:$A$500,0)),"")</f>
        <v>كجم</v>
      </c>
      <c r="E4" s="41" t="n">
        <f aca="false">IFERROR(INDEX(المكونات!$C$2:$C$500,MATCH($B4,المكونات!$A$2:$A$500,0)),"")</f>
        <v>21</v>
      </c>
      <c r="F4" s="42" t="n">
        <f aca="false">IFERROR($C4*$E4,"")</f>
        <v>0.63</v>
      </c>
    </row>
    <row r="5" customFormat="false" ht="15" hidden="false" customHeight="true" outlineLevel="0" collapsed="false">
      <c r="A5" s="39" t="s">
        <v>403</v>
      </c>
      <c r="B5" s="39" t="s">
        <v>219</v>
      </c>
      <c r="C5" s="39" t="n">
        <v>0.02</v>
      </c>
      <c r="D5" s="40" t="str">
        <f aca="false">IFERROR(INDEX(المكونات!$B$2:$B$500,MATCH($B5,المكونات!$A$2:$A$500,0)),"")</f>
        <v>كجم</v>
      </c>
      <c r="E5" s="41" t="n">
        <f aca="false">IFERROR(INDEX(المكونات!$C$2:$C$500,MATCH($B5,المكونات!$A$2:$A$500,0)),"")</f>
        <v>27</v>
      </c>
      <c r="F5" s="42" t="n">
        <f aca="false">IFERROR($C5*$E5,"")</f>
        <v>0.54</v>
      </c>
    </row>
    <row r="6" customFormat="false" ht="15" hidden="false" customHeight="true" outlineLevel="0" collapsed="false">
      <c r="A6" s="39" t="s">
        <v>403</v>
      </c>
      <c r="B6" s="39" t="s">
        <v>162</v>
      </c>
      <c r="C6" s="39" t="n">
        <v>0.02</v>
      </c>
      <c r="D6" s="40" t="str">
        <f aca="false">IFERROR(INDEX(المكونات!$B$2:$B$500,MATCH($B6,المكونات!$A$2:$A$500,0)),"")</f>
        <v>كجم</v>
      </c>
      <c r="E6" s="41" t="n">
        <f aca="false">IFERROR(INDEX(المكونات!$C$2:$C$500,MATCH($B6,المكونات!$A$2:$A$500,0)),"")</f>
        <v>95</v>
      </c>
      <c r="F6" s="42" t="n">
        <f aca="false">IFERROR($C6*$E6,"")</f>
        <v>1.9</v>
      </c>
    </row>
    <row r="7" customFormat="false" ht="15" hidden="false" customHeight="true" outlineLevel="0" collapsed="false">
      <c r="A7" s="39" t="s">
        <v>403</v>
      </c>
      <c r="B7" s="39" t="s">
        <v>106</v>
      </c>
      <c r="C7" s="39" t="n">
        <v>1</v>
      </c>
      <c r="D7" s="40" t="str">
        <f aca="false">IFERROR(INDEX(المكونات!$B$2:$B$500,MATCH($B7,المكونات!$A$2:$A$500,0)),"")</f>
        <v>قطعة</v>
      </c>
      <c r="E7" s="41" t="n">
        <f aca="false">IFERROR(INDEX(المكونات!$C$2:$C$500,MATCH($B7,المكونات!$A$2:$A$500,0)),"")</f>
        <v>20</v>
      </c>
      <c r="F7" s="42" t="n">
        <f aca="false">IFERROR($C7*$E7,"")</f>
        <v>20</v>
      </c>
    </row>
    <row r="8" customFormat="false" ht="15" hidden="false" customHeight="true" outlineLevel="0" collapsed="false">
      <c r="A8" s="39" t="s">
        <v>403</v>
      </c>
      <c r="B8" s="39" t="s">
        <v>206</v>
      </c>
      <c r="C8" s="39" t="n">
        <v>1</v>
      </c>
      <c r="D8" s="40" t="str">
        <f aca="false">IFERROR(INDEX(المكونات!$B$2:$B$500,MATCH($B8,المكونات!$A$2:$A$500,0)),"")</f>
        <v>قطعة</v>
      </c>
      <c r="E8" s="41" t="n">
        <f aca="false">IFERROR(INDEX(المكونات!$C$2:$C$500,MATCH($B8,المكونات!$A$2:$A$500,0)),"")</f>
        <v>4.5</v>
      </c>
      <c r="F8" s="42" t="n">
        <f aca="false">IFERROR($C8*$E8,"")</f>
        <v>4.5</v>
      </c>
    </row>
    <row r="9" customFormat="false" ht="15" hidden="false" customHeight="true" outlineLevel="0" collapsed="false">
      <c r="A9" s="39" t="s">
        <v>403</v>
      </c>
      <c r="B9" s="39" t="s">
        <v>225</v>
      </c>
      <c r="C9" s="39" t="n">
        <v>2</v>
      </c>
      <c r="D9" s="40" t="str">
        <f aca="false">IFERROR(INDEX(المكونات!$B$2:$B$500,MATCH($B9,المكونات!$A$2:$A$500,0)),"")</f>
        <v>قطعة</v>
      </c>
      <c r="E9" s="41" t="n">
        <f aca="false">IFERROR(INDEX(المكونات!$C$2:$C$500,MATCH($B9,المكونات!$A$2:$A$500,0)),"")</f>
        <v>0.3</v>
      </c>
      <c r="F9" s="42" t="n">
        <f aca="false">IFERROR($C9*$E9,"")</f>
        <v>0.6</v>
      </c>
    </row>
    <row r="10" customFormat="false" ht="15" hidden="false" customHeight="true" outlineLevel="0" collapsed="false">
      <c r="A10" s="39" t="s">
        <v>403</v>
      </c>
      <c r="B10" s="39" t="s">
        <v>254</v>
      </c>
      <c r="C10" s="39" t="n">
        <v>1</v>
      </c>
      <c r="D10" s="40" t="str">
        <f aca="false">IFERROR(INDEX(المكونات!$B$2:$B$500,MATCH($B10,المكونات!$A$2:$A$500,0)),"")</f>
        <v>قطعة (ورقة)</v>
      </c>
      <c r="E10" s="41" t="n">
        <f aca="false">IFERROR(INDEX(المكونات!$C$2:$C$500,MATCH($B10,المكونات!$A$2:$A$500,0)),"")</f>
        <v>0.3665</v>
      </c>
      <c r="F10" s="42" t="n">
        <f aca="false">IFERROR($C10*$E10,"")</f>
        <v>0.3665</v>
      </c>
    </row>
    <row r="11" customFormat="false" ht="15" hidden="false" customHeight="true" outlineLevel="0" collapsed="false">
      <c r="A11" s="39" t="s">
        <v>403</v>
      </c>
      <c r="B11" s="39" t="s">
        <v>67</v>
      </c>
      <c r="C11" s="39" t="n">
        <v>1</v>
      </c>
      <c r="D11" s="40" t="str">
        <f aca="false">IFERROR(INDEX(المكونات!$B$2:$B$500,MATCH($B11,المكونات!$A$2:$A$500,0)),"")</f>
        <v>قطعة (كيس)</v>
      </c>
      <c r="E11" s="41" t="n">
        <f aca="false">IFERROR(INDEX(المكونات!$C$2:$C$500,MATCH($B11,المكونات!$A$2:$A$500,0)),"")</f>
        <v>1.4</v>
      </c>
      <c r="F11" s="42" t="n">
        <f aca="false">IFERROR($C11*$E11,"")</f>
        <v>1.4</v>
      </c>
    </row>
    <row r="12" customFormat="false" ht="15" hidden="false" customHeight="true" outlineLevel="0" collapsed="false">
      <c r="A12" s="39" t="s">
        <v>403</v>
      </c>
      <c r="B12" s="39" t="s">
        <v>228</v>
      </c>
      <c r="C12" s="39" t="n">
        <v>1</v>
      </c>
      <c r="D12" s="40" t="str">
        <f aca="false">IFERROR(INDEX(المكونات!$B$2:$B$500,MATCH($B12,المكونات!$A$2:$A$500,0)),"")</f>
        <v>قطعة</v>
      </c>
      <c r="E12" s="41" t="n">
        <f aca="false">IFERROR(INDEX(المكونات!$C$2:$C$500,MATCH($B12,المكونات!$A$2:$A$500,0)),"")</f>
        <v>0.5</v>
      </c>
      <c r="F12" s="42" t="n">
        <f aca="false">IFERROR($C12*$E12,"")</f>
        <v>0.5</v>
      </c>
    </row>
    <row r="13" customFormat="false" ht="15" hidden="false" customHeight="true" outlineLevel="0" collapsed="false">
      <c r="A13" s="39" t="s">
        <v>403</v>
      </c>
      <c r="B13" s="39" t="s">
        <v>145</v>
      </c>
      <c r="C13" s="39" t="n">
        <v>2</v>
      </c>
      <c r="D13" s="40" t="str">
        <f aca="false">IFERROR(INDEX(المكونات!$B$2:$B$500,MATCH($B13,المكونات!$A$2:$A$500,0)),"")</f>
        <v>قطعة (جلفز)</v>
      </c>
      <c r="E13" s="41" t="n">
        <f aca="false">IFERROR(INDEX(المكونات!$C$2:$C$500,MATCH($B13,المكونات!$A$2:$A$500,0)),"")</f>
        <v>0.18</v>
      </c>
      <c r="F13" s="42" t="n">
        <f aca="false">IFERROR($C13*$E13,"")</f>
        <v>0.36</v>
      </c>
    </row>
    <row r="14" customFormat="false" ht="15" hidden="false" customHeight="true" outlineLevel="0" collapsed="false">
      <c r="A14" s="39" t="s">
        <v>403</v>
      </c>
      <c r="B14" s="39" t="s">
        <v>257</v>
      </c>
      <c r="C14" s="39" t="n">
        <v>1</v>
      </c>
      <c r="D14" s="40" t="str">
        <f aca="false">IFERROR(INDEX(المكونات!$B$2:$B$500,MATCH($B14,المكونات!$A$2:$A$500,0)),"")</f>
        <v>قطعة (كيس)</v>
      </c>
      <c r="E14" s="41" t="n">
        <f aca="false">IFERROR(INDEX(المكونات!$C$2:$C$500,MATCH($B14,المكونات!$A$2:$A$500,0)),"")</f>
        <v>0.9995</v>
      </c>
      <c r="F14" s="42" t="n">
        <f aca="false">IFERROR($C14*$E14,"")</f>
        <v>0.9995</v>
      </c>
    </row>
    <row r="15" customFormat="false" ht="15" hidden="false" customHeight="true" outlineLevel="0" collapsed="false">
      <c r="A15" s="39" t="s">
        <v>348</v>
      </c>
      <c r="B15" s="39" t="s">
        <v>198</v>
      </c>
      <c r="C15" s="39" t="n">
        <v>0.3</v>
      </c>
      <c r="D15" s="40" t="str">
        <f aca="false">IFERROR(INDEX(المكونات!$B$2:$B$500,MATCH($B15,المكونات!$A$2:$A$500,0)),"")</f>
        <v>كجم</v>
      </c>
      <c r="E15" s="41" t="n">
        <f aca="false">IFERROR(INDEX(المكونات!$C$2:$C$500,MATCH($B15,المكونات!$A$2:$A$500,0)),"")</f>
        <v>22</v>
      </c>
      <c r="F15" s="42" t="n">
        <f aca="false">IFERROR($C15*$E15,"")</f>
        <v>6.6</v>
      </c>
    </row>
    <row r="16" customFormat="false" ht="15" hidden="false" customHeight="true" outlineLevel="0" collapsed="false">
      <c r="A16" s="39" t="s">
        <v>348</v>
      </c>
      <c r="B16" s="39" t="s">
        <v>186</v>
      </c>
      <c r="C16" s="39" t="n">
        <v>0.06</v>
      </c>
      <c r="D16" s="40" t="str">
        <f aca="false">IFERROR(INDEX(المكونات!$B$2:$B$500,MATCH($B16,المكونات!$A$2:$A$500,0)),"")</f>
        <v>كجم</v>
      </c>
      <c r="E16" s="41" t="n">
        <f aca="false">IFERROR(INDEX(المكونات!$C$2:$C$500,MATCH($B16,المكونات!$A$2:$A$500,0)),"")</f>
        <v>32</v>
      </c>
      <c r="F16" s="42" t="n">
        <f aca="false">IFERROR($C16*$E16,"")</f>
        <v>1.92</v>
      </c>
    </row>
    <row r="17" customFormat="false" ht="15" hidden="false" customHeight="true" outlineLevel="0" collapsed="false">
      <c r="A17" s="39" t="s">
        <v>348</v>
      </c>
      <c r="B17" s="39" t="s">
        <v>196</v>
      </c>
      <c r="C17" s="39" t="n">
        <v>0.045</v>
      </c>
      <c r="D17" s="40" t="str">
        <f aca="false">IFERROR(INDEX(المكونات!$B$2:$B$500,MATCH($B17,المكونات!$A$2:$A$500,0)),"")</f>
        <v>كجم</v>
      </c>
      <c r="E17" s="41" t="n">
        <f aca="false">IFERROR(INDEX(المكونات!$C$2:$C$500,MATCH($B17,المكونات!$A$2:$A$500,0)),"")</f>
        <v>21</v>
      </c>
      <c r="F17" s="42" t="n">
        <f aca="false">IFERROR($C17*$E17,"")</f>
        <v>0.945</v>
      </c>
    </row>
    <row r="18" customFormat="false" ht="15" hidden="false" customHeight="true" outlineLevel="0" collapsed="false">
      <c r="A18" s="39" t="s">
        <v>348</v>
      </c>
      <c r="B18" s="39" t="s">
        <v>219</v>
      </c>
      <c r="C18" s="39" t="n">
        <v>0.03</v>
      </c>
      <c r="D18" s="40" t="str">
        <f aca="false">IFERROR(INDEX(المكونات!$B$2:$B$500,MATCH($B18,المكونات!$A$2:$A$500,0)),"")</f>
        <v>كجم</v>
      </c>
      <c r="E18" s="41" t="n">
        <f aca="false">IFERROR(INDEX(المكونات!$C$2:$C$500,MATCH($B18,المكونات!$A$2:$A$500,0)),"")</f>
        <v>27</v>
      </c>
      <c r="F18" s="42" t="n">
        <f aca="false">IFERROR($C18*$E18,"")</f>
        <v>0.81</v>
      </c>
    </row>
    <row r="19" customFormat="false" ht="15" hidden="false" customHeight="true" outlineLevel="0" collapsed="false">
      <c r="A19" s="39" t="s">
        <v>348</v>
      </c>
      <c r="B19" s="39" t="s">
        <v>162</v>
      </c>
      <c r="C19" s="39" t="n">
        <v>0.03</v>
      </c>
      <c r="D19" s="40" t="str">
        <f aca="false">IFERROR(INDEX(المكونات!$B$2:$B$500,MATCH($B19,المكونات!$A$2:$A$500,0)),"")</f>
        <v>كجم</v>
      </c>
      <c r="E19" s="41" t="n">
        <f aca="false">IFERROR(INDEX(المكونات!$C$2:$C$500,MATCH($B19,المكونات!$A$2:$A$500,0)),"")</f>
        <v>95</v>
      </c>
      <c r="F19" s="42" t="n">
        <f aca="false">IFERROR($C19*$E19,"")</f>
        <v>2.85</v>
      </c>
    </row>
    <row r="20" customFormat="false" ht="15" hidden="false" customHeight="true" outlineLevel="0" collapsed="false">
      <c r="A20" s="39" t="s">
        <v>348</v>
      </c>
      <c r="B20" s="39" t="s">
        <v>108</v>
      </c>
      <c r="C20" s="39" t="n">
        <v>1</v>
      </c>
      <c r="D20" s="40" t="str">
        <f aca="false">IFERROR(INDEX(المكونات!$B$2:$B$500,MATCH($B20,المكونات!$A$2:$A$500,0)),"")</f>
        <v>قطعة</v>
      </c>
      <c r="E20" s="41" t="n">
        <f aca="false">IFERROR(INDEX(المكونات!$C$2:$C$500,MATCH($B20,المكونات!$A$2:$A$500,0)),"")</f>
        <v>26.4194</v>
      </c>
      <c r="F20" s="42" t="n">
        <f aca="false">IFERROR($C20*$E20,"")</f>
        <v>26.4194</v>
      </c>
    </row>
    <row r="21" customFormat="false" ht="15" hidden="false" customHeight="true" outlineLevel="0" collapsed="false">
      <c r="A21" s="39" t="s">
        <v>348</v>
      </c>
      <c r="B21" s="39" t="s">
        <v>204</v>
      </c>
      <c r="C21" s="39" t="n">
        <v>1</v>
      </c>
      <c r="D21" s="40" t="str">
        <f aca="false">IFERROR(INDEX(المكونات!$B$2:$B$500,MATCH($B21,المكونات!$A$2:$A$500,0)),"")</f>
        <v>قطعة</v>
      </c>
      <c r="E21" s="41" t="n">
        <f aca="false">IFERROR(INDEX(المكونات!$C$2:$C$500,MATCH($B21,المكونات!$A$2:$A$500,0)),"")</f>
        <v>5.5</v>
      </c>
      <c r="F21" s="42" t="n">
        <f aca="false">IFERROR($C21*$E21,"")</f>
        <v>5.5</v>
      </c>
    </row>
    <row r="22" customFormat="false" ht="15" hidden="false" customHeight="true" outlineLevel="0" collapsed="false">
      <c r="A22" s="39" t="s">
        <v>348</v>
      </c>
      <c r="B22" s="39" t="s">
        <v>225</v>
      </c>
      <c r="C22" s="39" t="n">
        <v>3</v>
      </c>
      <c r="D22" s="40" t="str">
        <f aca="false">IFERROR(INDEX(المكونات!$B$2:$B$500,MATCH($B22,المكونات!$A$2:$A$500,0)),"")</f>
        <v>قطعة</v>
      </c>
      <c r="E22" s="41" t="n">
        <f aca="false">IFERROR(INDEX(المكونات!$C$2:$C$500,MATCH($B22,المكونات!$A$2:$A$500,0)),"")</f>
        <v>0.3</v>
      </c>
      <c r="F22" s="42" t="n">
        <f aca="false">IFERROR($C22*$E22,"")</f>
        <v>0.9</v>
      </c>
    </row>
    <row r="23" customFormat="false" ht="15" hidden="false" customHeight="true" outlineLevel="0" collapsed="false">
      <c r="A23" s="39" t="s">
        <v>348</v>
      </c>
      <c r="B23" s="39" t="s">
        <v>254</v>
      </c>
      <c r="C23" s="39" t="n">
        <v>1</v>
      </c>
      <c r="D23" s="40" t="str">
        <f aca="false">IFERROR(INDEX(المكونات!$B$2:$B$500,MATCH($B23,المكونات!$A$2:$A$500,0)),"")</f>
        <v>قطعة (ورقة)</v>
      </c>
      <c r="E23" s="41" t="n">
        <f aca="false">IFERROR(INDEX(المكونات!$C$2:$C$500,MATCH($B23,المكونات!$A$2:$A$500,0)),"")</f>
        <v>0.3665</v>
      </c>
      <c r="F23" s="42" t="n">
        <f aca="false">IFERROR($C23*$E23,"")</f>
        <v>0.3665</v>
      </c>
    </row>
    <row r="24" customFormat="false" ht="15" hidden="false" customHeight="true" outlineLevel="0" collapsed="false">
      <c r="A24" s="39" t="s">
        <v>348</v>
      </c>
      <c r="B24" s="39" t="s">
        <v>67</v>
      </c>
      <c r="C24" s="39" t="n">
        <v>1</v>
      </c>
      <c r="D24" s="40" t="str">
        <f aca="false">IFERROR(INDEX(المكونات!$B$2:$B$500,MATCH($B24,المكونات!$A$2:$A$500,0)),"")</f>
        <v>قطعة (كيس)</v>
      </c>
      <c r="E24" s="41" t="n">
        <f aca="false">IFERROR(INDEX(المكونات!$C$2:$C$500,MATCH($B24,المكونات!$A$2:$A$500,0)),"")</f>
        <v>1.4</v>
      </c>
      <c r="F24" s="42" t="n">
        <f aca="false">IFERROR($C24*$E24,"")</f>
        <v>1.4</v>
      </c>
    </row>
    <row r="25" customFormat="false" ht="15" hidden="false" customHeight="true" outlineLevel="0" collapsed="false">
      <c r="A25" s="39" t="s">
        <v>348</v>
      </c>
      <c r="B25" s="39" t="s">
        <v>228</v>
      </c>
      <c r="C25" s="39" t="n">
        <v>1</v>
      </c>
      <c r="D25" s="40" t="str">
        <f aca="false">IFERROR(INDEX(المكونات!$B$2:$B$500,MATCH($B25,المكونات!$A$2:$A$500,0)),"")</f>
        <v>قطعة</v>
      </c>
      <c r="E25" s="41" t="n">
        <f aca="false">IFERROR(INDEX(المكونات!$C$2:$C$500,MATCH($B25,المكونات!$A$2:$A$500,0)),"")</f>
        <v>0.5</v>
      </c>
      <c r="F25" s="42" t="n">
        <f aca="false">IFERROR($C25*$E25,"")</f>
        <v>0.5</v>
      </c>
    </row>
    <row r="26" customFormat="false" ht="15" hidden="false" customHeight="true" outlineLevel="0" collapsed="false">
      <c r="A26" s="39" t="s">
        <v>348</v>
      </c>
      <c r="B26" s="39" t="s">
        <v>145</v>
      </c>
      <c r="C26" s="39" t="n">
        <v>2</v>
      </c>
      <c r="D26" s="40" t="str">
        <f aca="false">IFERROR(INDEX(المكونات!$B$2:$B$500,MATCH($B26,المكونات!$A$2:$A$500,0)),"")</f>
        <v>قطعة (جلفز)</v>
      </c>
      <c r="E26" s="41" t="n">
        <f aca="false">IFERROR(INDEX(المكونات!$C$2:$C$500,MATCH($B26,المكونات!$A$2:$A$500,0)),"")</f>
        <v>0.18</v>
      </c>
      <c r="F26" s="42" t="n">
        <f aca="false">IFERROR($C26*$E26,"")</f>
        <v>0.36</v>
      </c>
    </row>
    <row r="27" customFormat="false" ht="15" hidden="false" customHeight="true" outlineLevel="0" collapsed="false">
      <c r="A27" s="39" t="s">
        <v>348</v>
      </c>
      <c r="B27" s="39" t="s">
        <v>257</v>
      </c>
      <c r="C27" s="39" t="n">
        <v>1</v>
      </c>
      <c r="D27" s="40" t="str">
        <f aca="false">IFERROR(INDEX(المكونات!$B$2:$B$500,MATCH($B27,المكونات!$A$2:$A$500,0)),"")</f>
        <v>قطعة (كيس)</v>
      </c>
      <c r="E27" s="41" t="n">
        <f aca="false">IFERROR(INDEX(المكونات!$C$2:$C$500,MATCH($B27,المكونات!$A$2:$A$500,0)),"")</f>
        <v>0.9995</v>
      </c>
      <c r="F27" s="42" t="n">
        <f aca="false">IFERROR($C27*$E27,"")</f>
        <v>0.9995</v>
      </c>
    </row>
    <row r="28" customFormat="false" ht="15" hidden="false" customHeight="true" outlineLevel="0" collapsed="false">
      <c r="A28" s="39" t="s">
        <v>373</v>
      </c>
      <c r="B28" s="39" t="s">
        <v>198</v>
      </c>
      <c r="C28" s="39" t="n">
        <v>0.22</v>
      </c>
      <c r="D28" s="40" t="str">
        <f aca="false">IFERROR(INDEX(المكونات!$B$2:$B$500,MATCH($B28,المكونات!$A$2:$A$500,0)),"")</f>
        <v>كجم</v>
      </c>
      <c r="E28" s="41" t="n">
        <f aca="false">IFERROR(INDEX(المكونات!$C$2:$C$500,MATCH($B28,المكونات!$A$2:$A$500,0)),"")</f>
        <v>22</v>
      </c>
      <c r="F28" s="42" t="n">
        <f aca="false">IFERROR($C28*$E28,"")</f>
        <v>4.84</v>
      </c>
    </row>
    <row r="29" customFormat="false" ht="15" hidden="false" customHeight="true" outlineLevel="0" collapsed="false">
      <c r="A29" s="39" t="s">
        <v>373</v>
      </c>
      <c r="B29" s="39" t="s">
        <v>186</v>
      </c>
      <c r="C29" s="39" t="n">
        <v>0.04</v>
      </c>
      <c r="D29" s="40" t="str">
        <f aca="false">IFERROR(INDEX(المكونات!$B$2:$B$500,MATCH($B29,المكونات!$A$2:$A$500,0)),"")</f>
        <v>كجم</v>
      </c>
      <c r="E29" s="41" t="n">
        <f aca="false">IFERROR(INDEX(المكونات!$C$2:$C$500,MATCH($B29,المكونات!$A$2:$A$500,0)),"")</f>
        <v>32</v>
      </c>
      <c r="F29" s="42" t="n">
        <f aca="false">IFERROR($C29*$E29,"")</f>
        <v>1.28</v>
      </c>
    </row>
    <row r="30" customFormat="false" ht="15" hidden="false" customHeight="true" outlineLevel="0" collapsed="false">
      <c r="A30" s="39" t="s">
        <v>373</v>
      </c>
      <c r="B30" s="39" t="s">
        <v>196</v>
      </c>
      <c r="C30" s="39" t="n">
        <v>0.03</v>
      </c>
      <c r="D30" s="40" t="str">
        <f aca="false">IFERROR(INDEX(المكونات!$B$2:$B$500,MATCH($B30,المكونات!$A$2:$A$500,0)),"")</f>
        <v>كجم</v>
      </c>
      <c r="E30" s="41" t="n">
        <f aca="false">IFERROR(INDEX(المكونات!$C$2:$C$500,MATCH($B30,المكونات!$A$2:$A$500,0)),"")</f>
        <v>21</v>
      </c>
      <c r="F30" s="42" t="n">
        <f aca="false">IFERROR($C30*$E30,"")</f>
        <v>0.63</v>
      </c>
    </row>
    <row r="31" customFormat="false" ht="15" hidden="false" customHeight="true" outlineLevel="0" collapsed="false">
      <c r="A31" s="39" t="s">
        <v>373</v>
      </c>
      <c r="B31" s="39" t="s">
        <v>219</v>
      </c>
      <c r="C31" s="39" t="n">
        <v>0.02</v>
      </c>
      <c r="D31" s="40" t="str">
        <f aca="false">IFERROR(INDEX(المكونات!$B$2:$B$500,MATCH($B31,المكونات!$A$2:$A$500,0)),"")</f>
        <v>كجم</v>
      </c>
      <c r="E31" s="41" t="n">
        <f aca="false">IFERROR(INDEX(المكونات!$C$2:$C$500,MATCH($B31,المكونات!$A$2:$A$500,0)),"")</f>
        <v>27</v>
      </c>
      <c r="F31" s="42" t="n">
        <f aca="false">IFERROR($C31*$E31,"")</f>
        <v>0.54</v>
      </c>
    </row>
    <row r="32" customFormat="false" ht="15" hidden="false" customHeight="true" outlineLevel="0" collapsed="false">
      <c r="A32" s="39" t="s">
        <v>373</v>
      </c>
      <c r="B32" s="39" t="s">
        <v>162</v>
      </c>
      <c r="C32" s="39" t="n">
        <v>0.02</v>
      </c>
      <c r="D32" s="40" t="str">
        <f aca="false">IFERROR(INDEX(المكونات!$B$2:$B$500,MATCH($B32,المكونات!$A$2:$A$500,0)),"")</f>
        <v>كجم</v>
      </c>
      <c r="E32" s="41" t="n">
        <f aca="false">IFERROR(INDEX(المكونات!$C$2:$C$500,MATCH($B32,المكونات!$A$2:$A$500,0)),"")</f>
        <v>95</v>
      </c>
      <c r="F32" s="42" t="n">
        <f aca="false">IFERROR($C32*$E32,"")</f>
        <v>1.9</v>
      </c>
    </row>
    <row r="33" customFormat="false" ht="15" hidden="false" customHeight="true" outlineLevel="0" collapsed="false">
      <c r="A33" s="39" t="s">
        <v>373</v>
      </c>
      <c r="B33" s="39" t="s">
        <v>106</v>
      </c>
      <c r="C33" s="39" t="n">
        <v>1</v>
      </c>
      <c r="D33" s="40" t="str">
        <f aca="false">IFERROR(INDEX(المكونات!$B$2:$B$500,MATCH($B33,المكونات!$A$2:$A$500,0)),"")</f>
        <v>قطعة</v>
      </c>
      <c r="E33" s="41" t="n">
        <f aca="false">IFERROR(INDEX(المكونات!$C$2:$C$500,MATCH($B33,المكونات!$A$2:$A$500,0)),"")</f>
        <v>20</v>
      </c>
      <c r="F33" s="42" t="n">
        <f aca="false">IFERROR($C33*$E33,"")</f>
        <v>20</v>
      </c>
    </row>
    <row r="34" customFormat="false" ht="15" hidden="false" customHeight="true" outlineLevel="0" collapsed="false">
      <c r="A34" s="39" t="s">
        <v>373</v>
      </c>
      <c r="B34" s="39" t="s">
        <v>206</v>
      </c>
      <c r="C34" s="39" t="n">
        <v>1</v>
      </c>
      <c r="D34" s="40" t="str">
        <f aca="false">IFERROR(INDEX(المكونات!$B$2:$B$500,MATCH($B34,المكونات!$A$2:$A$500,0)),"")</f>
        <v>قطعة</v>
      </c>
      <c r="E34" s="41" t="n">
        <f aca="false">IFERROR(INDEX(المكونات!$C$2:$C$500,MATCH($B34,المكونات!$A$2:$A$500,0)),"")</f>
        <v>4.5</v>
      </c>
      <c r="F34" s="42" t="n">
        <f aca="false">IFERROR($C34*$E34,"")</f>
        <v>4.5</v>
      </c>
    </row>
    <row r="35" customFormat="false" ht="15" hidden="false" customHeight="true" outlineLevel="0" collapsed="false">
      <c r="A35" s="39" t="s">
        <v>373</v>
      </c>
      <c r="B35" s="39" t="s">
        <v>225</v>
      </c>
      <c r="C35" s="39" t="n">
        <v>2</v>
      </c>
      <c r="D35" s="40" t="str">
        <f aca="false">IFERROR(INDEX(المكونات!$B$2:$B$500,MATCH($B35,المكونات!$A$2:$A$500,0)),"")</f>
        <v>قطعة</v>
      </c>
      <c r="E35" s="41" t="n">
        <f aca="false">IFERROR(INDEX(المكونات!$C$2:$C$500,MATCH($B35,المكونات!$A$2:$A$500,0)),"")</f>
        <v>0.3</v>
      </c>
      <c r="F35" s="42" t="n">
        <f aca="false">IFERROR($C35*$E35,"")</f>
        <v>0.6</v>
      </c>
    </row>
    <row r="36" customFormat="false" ht="15" hidden="false" customHeight="true" outlineLevel="0" collapsed="false">
      <c r="A36" s="39" t="s">
        <v>373</v>
      </c>
      <c r="B36" s="39" t="s">
        <v>254</v>
      </c>
      <c r="C36" s="39" t="n">
        <v>1</v>
      </c>
      <c r="D36" s="40" t="str">
        <f aca="false">IFERROR(INDEX(المكونات!$B$2:$B$500,MATCH($B36,المكونات!$A$2:$A$500,0)),"")</f>
        <v>قطعة (ورقة)</v>
      </c>
      <c r="E36" s="41" t="n">
        <f aca="false">IFERROR(INDEX(المكونات!$C$2:$C$500,MATCH($B36,المكونات!$A$2:$A$500,0)),"")</f>
        <v>0.3665</v>
      </c>
      <c r="F36" s="42" t="n">
        <f aca="false">IFERROR($C36*$E36,"")</f>
        <v>0.3665</v>
      </c>
    </row>
    <row r="37" customFormat="false" ht="15" hidden="false" customHeight="true" outlineLevel="0" collapsed="false">
      <c r="A37" s="39" t="s">
        <v>373</v>
      </c>
      <c r="B37" s="39" t="s">
        <v>67</v>
      </c>
      <c r="C37" s="39" t="n">
        <v>1</v>
      </c>
      <c r="D37" s="40" t="str">
        <f aca="false">IFERROR(INDEX(المكونات!$B$2:$B$500,MATCH($B37,المكونات!$A$2:$A$500,0)),"")</f>
        <v>قطعة (كيس)</v>
      </c>
      <c r="E37" s="41" t="n">
        <f aca="false">IFERROR(INDEX(المكونات!$C$2:$C$500,MATCH($B37,المكونات!$A$2:$A$500,0)),"")</f>
        <v>1.4</v>
      </c>
      <c r="F37" s="42" t="n">
        <f aca="false">IFERROR($C37*$E37,"")</f>
        <v>1.4</v>
      </c>
    </row>
    <row r="38" customFormat="false" ht="15" hidden="false" customHeight="true" outlineLevel="0" collapsed="false">
      <c r="A38" s="39" t="s">
        <v>373</v>
      </c>
      <c r="B38" s="39" t="s">
        <v>228</v>
      </c>
      <c r="C38" s="39" t="n">
        <v>1</v>
      </c>
      <c r="D38" s="40" t="str">
        <f aca="false">IFERROR(INDEX(المكونات!$B$2:$B$500,MATCH($B38,المكونات!$A$2:$A$500,0)),"")</f>
        <v>قطعة</v>
      </c>
      <c r="E38" s="41" t="n">
        <f aca="false">IFERROR(INDEX(المكونات!$C$2:$C$500,MATCH($B38,المكونات!$A$2:$A$500,0)),"")</f>
        <v>0.5</v>
      </c>
      <c r="F38" s="42" t="n">
        <f aca="false">IFERROR($C38*$E38,"")</f>
        <v>0.5</v>
      </c>
    </row>
    <row r="39" customFormat="false" ht="15" hidden="false" customHeight="true" outlineLevel="0" collapsed="false">
      <c r="A39" s="39" t="s">
        <v>373</v>
      </c>
      <c r="B39" s="39" t="s">
        <v>145</v>
      </c>
      <c r="C39" s="39" t="n">
        <v>2</v>
      </c>
      <c r="D39" s="40" t="str">
        <f aca="false">IFERROR(INDEX(المكونات!$B$2:$B$500,MATCH($B39,المكونات!$A$2:$A$500,0)),"")</f>
        <v>قطعة (جلفز)</v>
      </c>
      <c r="E39" s="41" t="n">
        <f aca="false">IFERROR(INDEX(المكونات!$C$2:$C$500,MATCH($B39,المكونات!$A$2:$A$500,0)),"")</f>
        <v>0.18</v>
      </c>
      <c r="F39" s="42" t="n">
        <f aca="false">IFERROR($C39*$E39,"")</f>
        <v>0.36</v>
      </c>
    </row>
    <row r="40" customFormat="false" ht="15" hidden="false" customHeight="true" outlineLevel="0" collapsed="false">
      <c r="A40" s="39" t="s">
        <v>373</v>
      </c>
      <c r="B40" s="39" t="s">
        <v>257</v>
      </c>
      <c r="C40" s="39" t="n">
        <v>1</v>
      </c>
      <c r="D40" s="40" t="str">
        <f aca="false">IFERROR(INDEX(المكونات!$B$2:$B$500,MATCH($B40,المكونات!$A$2:$A$500,0)),"")</f>
        <v>قطعة (كيس)</v>
      </c>
      <c r="E40" s="41" t="n">
        <f aca="false">IFERROR(INDEX(المكونات!$C$2:$C$500,MATCH($B40,المكونات!$A$2:$A$500,0)),"")</f>
        <v>0.9995</v>
      </c>
      <c r="F40" s="42" t="n">
        <f aca="false">IFERROR($C40*$E40,"")</f>
        <v>0.9995</v>
      </c>
    </row>
    <row r="41" customFormat="false" ht="15" hidden="false" customHeight="true" outlineLevel="0" collapsed="false">
      <c r="A41" s="39" t="s">
        <v>373</v>
      </c>
      <c r="B41" s="39" t="s">
        <v>76</v>
      </c>
      <c r="C41" s="39" t="n">
        <v>1</v>
      </c>
      <c r="D41" s="40" t="str">
        <f aca="false">IFERROR(INDEX(المكونات!$B$2:$B$500,MATCH($B41,المكونات!$A$2:$A$500,0)),"")</f>
        <v>قطعة</v>
      </c>
      <c r="E41" s="41" t="n">
        <f aca="false">IFERROR(INDEX(المكونات!$C$2:$C$500,MATCH($B41,المكونات!$A$2:$A$500,0)),"")</f>
        <v>35</v>
      </c>
      <c r="F41" s="42" t="n">
        <f aca="false">IFERROR($C41*$E41,"")</f>
        <v>35</v>
      </c>
    </row>
    <row r="42" customFormat="false" ht="15" hidden="false" customHeight="true" outlineLevel="0" collapsed="false">
      <c r="A42" s="39" t="s">
        <v>392</v>
      </c>
      <c r="B42" s="39" t="s">
        <v>198</v>
      </c>
      <c r="C42" s="39" t="n">
        <v>0.3</v>
      </c>
      <c r="D42" s="40" t="str">
        <f aca="false">IFERROR(INDEX(المكونات!$B$2:$B$500,MATCH($B42,المكونات!$A$2:$A$500,0)),"")</f>
        <v>كجم</v>
      </c>
      <c r="E42" s="41" t="n">
        <f aca="false">IFERROR(INDEX(المكونات!$C$2:$C$500,MATCH($B42,المكونات!$A$2:$A$500,0)),"")</f>
        <v>22</v>
      </c>
      <c r="F42" s="42" t="n">
        <f aca="false">IFERROR($C42*$E42,"")</f>
        <v>6.6</v>
      </c>
    </row>
    <row r="43" customFormat="false" ht="15" hidden="false" customHeight="true" outlineLevel="0" collapsed="false">
      <c r="A43" s="39" t="s">
        <v>392</v>
      </c>
      <c r="B43" s="39" t="s">
        <v>186</v>
      </c>
      <c r="C43" s="39" t="n">
        <v>0.06</v>
      </c>
      <c r="D43" s="40" t="str">
        <f aca="false">IFERROR(INDEX(المكونات!$B$2:$B$500,MATCH($B43,المكونات!$A$2:$A$500,0)),"")</f>
        <v>كجم</v>
      </c>
      <c r="E43" s="41" t="n">
        <f aca="false">IFERROR(INDEX(المكونات!$C$2:$C$500,MATCH($B43,المكونات!$A$2:$A$500,0)),"")</f>
        <v>32</v>
      </c>
      <c r="F43" s="42" t="n">
        <f aca="false">IFERROR($C43*$E43,"")</f>
        <v>1.92</v>
      </c>
    </row>
    <row r="44" customFormat="false" ht="15" hidden="false" customHeight="true" outlineLevel="0" collapsed="false">
      <c r="A44" s="39" t="s">
        <v>392</v>
      </c>
      <c r="B44" s="39" t="s">
        <v>196</v>
      </c>
      <c r="C44" s="39" t="n">
        <v>0.045</v>
      </c>
      <c r="D44" s="40" t="str">
        <f aca="false">IFERROR(INDEX(المكونات!$B$2:$B$500,MATCH($B44,المكونات!$A$2:$A$500,0)),"")</f>
        <v>كجم</v>
      </c>
      <c r="E44" s="41" t="n">
        <f aca="false">IFERROR(INDEX(المكونات!$C$2:$C$500,MATCH($B44,المكونات!$A$2:$A$500,0)),"")</f>
        <v>21</v>
      </c>
      <c r="F44" s="42" t="n">
        <f aca="false">IFERROR($C44*$E44,"")</f>
        <v>0.945</v>
      </c>
    </row>
    <row r="45" customFormat="false" ht="15" hidden="false" customHeight="true" outlineLevel="0" collapsed="false">
      <c r="A45" s="39" t="s">
        <v>392</v>
      </c>
      <c r="B45" s="39" t="s">
        <v>219</v>
      </c>
      <c r="C45" s="39" t="n">
        <v>0.03</v>
      </c>
      <c r="D45" s="40" t="str">
        <f aca="false">IFERROR(INDEX(المكونات!$B$2:$B$500,MATCH($B45,المكونات!$A$2:$A$500,0)),"")</f>
        <v>كجم</v>
      </c>
      <c r="E45" s="41" t="n">
        <f aca="false">IFERROR(INDEX(المكونات!$C$2:$C$500,MATCH($B45,المكونات!$A$2:$A$500,0)),"")</f>
        <v>27</v>
      </c>
      <c r="F45" s="42" t="n">
        <f aca="false">IFERROR($C45*$E45,"")</f>
        <v>0.81</v>
      </c>
    </row>
    <row r="46" customFormat="false" ht="15" hidden="false" customHeight="true" outlineLevel="0" collapsed="false">
      <c r="A46" s="39" t="s">
        <v>392</v>
      </c>
      <c r="B46" s="39" t="s">
        <v>162</v>
      </c>
      <c r="C46" s="39" t="n">
        <v>0.03</v>
      </c>
      <c r="D46" s="40" t="str">
        <f aca="false">IFERROR(INDEX(المكونات!$B$2:$B$500,MATCH($B46,المكونات!$A$2:$A$500,0)),"")</f>
        <v>كجم</v>
      </c>
      <c r="E46" s="41" t="n">
        <f aca="false">IFERROR(INDEX(المكونات!$C$2:$C$500,MATCH($B46,المكونات!$A$2:$A$500,0)),"")</f>
        <v>95</v>
      </c>
      <c r="F46" s="42" t="n">
        <f aca="false">IFERROR($C46*$E46,"")</f>
        <v>2.85</v>
      </c>
    </row>
    <row r="47" customFormat="false" ht="15" hidden="false" customHeight="true" outlineLevel="0" collapsed="false">
      <c r="A47" s="39" t="s">
        <v>392</v>
      </c>
      <c r="B47" s="39" t="s">
        <v>108</v>
      </c>
      <c r="C47" s="39" t="n">
        <v>1</v>
      </c>
      <c r="D47" s="40" t="str">
        <f aca="false">IFERROR(INDEX(المكونات!$B$2:$B$500,MATCH($B47,المكونات!$A$2:$A$500,0)),"")</f>
        <v>قطعة</v>
      </c>
      <c r="E47" s="41" t="n">
        <f aca="false">IFERROR(INDEX(المكونات!$C$2:$C$500,MATCH($B47,المكونات!$A$2:$A$500,0)),"")</f>
        <v>26.4194</v>
      </c>
      <c r="F47" s="42" t="n">
        <f aca="false">IFERROR($C47*$E47,"")</f>
        <v>26.4194</v>
      </c>
    </row>
    <row r="48" customFormat="false" ht="15" hidden="false" customHeight="true" outlineLevel="0" collapsed="false">
      <c r="A48" s="39" t="s">
        <v>392</v>
      </c>
      <c r="B48" s="39" t="s">
        <v>204</v>
      </c>
      <c r="C48" s="39" t="n">
        <v>1</v>
      </c>
      <c r="D48" s="40" t="str">
        <f aca="false">IFERROR(INDEX(المكونات!$B$2:$B$500,MATCH($B48,المكونات!$A$2:$A$500,0)),"")</f>
        <v>قطعة</v>
      </c>
      <c r="E48" s="41" t="n">
        <f aca="false">IFERROR(INDEX(المكونات!$C$2:$C$500,MATCH($B48,المكونات!$A$2:$A$500,0)),"")</f>
        <v>5.5</v>
      </c>
      <c r="F48" s="42" t="n">
        <f aca="false">IFERROR($C48*$E48,"")</f>
        <v>5.5</v>
      </c>
    </row>
    <row r="49" customFormat="false" ht="15" hidden="false" customHeight="true" outlineLevel="0" collapsed="false">
      <c r="A49" s="39" t="s">
        <v>392</v>
      </c>
      <c r="B49" s="39" t="s">
        <v>225</v>
      </c>
      <c r="C49" s="39" t="n">
        <v>3</v>
      </c>
      <c r="D49" s="40" t="str">
        <f aca="false">IFERROR(INDEX(المكونات!$B$2:$B$500,MATCH($B49,المكونات!$A$2:$A$500,0)),"")</f>
        <v>قطعة</v>
      </c>
      <c r="E49" s="41" t="n">
        <f aca="false">IFERROR(INDEX(المكونات!$C$2:$C$500,MATCH($B49,المكونات!$A$2:$A$500,0)),"")</f>
        <v>0.3</v>
      </c>
      <c r="F49" s="42" t="n">
        <f aca="false">IFERROR($C49*$E49,"")</f>
        <v>0.9</v>
      </c>
    </row>
    <row r="50" customFormat="false" ht="15" hidden="false" customHeight="true" outlineLevel="0" collapsed="false">
      <c r="A50" s="39" t="s">
        <v>392</v>
      </c>
      <c r="B50" s="39" t="s">
        <v>254</v>
      </c>
      <c r="C50" s="39" t="n">
        <v>1</v>
      </c>
      <c r="D50" s="40" t="str">
        <f aca="false">IFERROR(INDEX(المكونات!$B$2:$B$500,MATCH($B50,المكونات!$A$2:$A$500,0)),"")</f>
        <v>قطعة (ورقة)</v>
      </c>
      <c r="E50" s="41" t="n">
        <f aca="false">IFERROR(INDEX(المكونات!$C$2:$C$500,MATCH($B50,المكونات!$A$2:$A$500,0)),"")</f>
        <v>0.3665</v>
      </c>
      <c r="F50" s="42" t="n">
        <f aca="false">IFERROR($C50*$E50,"")</f>
        <v>0.3665</v>
      </c>
    </row>
    <row r="51" customFormat="false" ht="15" hidden="false" customHeight="true" outlineLevel="0" collapsed="false">
      <c r="A51" s="39" t="s">
        <v>392</v>
      </c>
      <c r="B51" s="39" t="s">
        <v>67</v>
      </c>
      <c r="C51" s="39" t="n">
        <v>1</v>
      </c>
      <c r="D51" s="40" t="str">
        <f aca="false">IFERROR(INDEX(المكونات!$B$2:$B$500,MATCH($B51,المكونات!$A$2:$A$500,0)),"")</f>
        <v>قطعة (كيس)</v>
      </c>
      <c r="E51" s="41" t="n">
        <f aca="false">IFERROR(INDEX(المكونات!$C$2:$C$500,MATCH($B51,المكونات!$A$2:$A$500,0)),"")</f>
        <v>1.4</v>
      </c>
      <c r="F51" s="42" t="n">
        <f aca="false">IFERROR($C51*$E51,"")</f>
        <v>1.4</v>
      </c>
    </row>
    <row r="52" customFormat="false" ht="15" hidden="false" customHeight="true" outlineLevel="0" collapsed="false">
      <c r="A52" s="39" t="s">
        <v>392</v>
      </c>
      <c r="B52" s="39" t="s">
        <v>228</v>
      </c>
      <c r="C52" s="39" t="n">
        <v>1</v>
      </c>
      <c r="D52" s="40" t="str">
        <f aca="false">IFERROR(INDEX(المكونات!$B$2:$B$500,MATCH($B52,المكونات!$A$2:$A$500,0)),"")</f>
        <v>قطعة</v>
      </c>
      <c r="E52" s="41" t="n">
        <f aca="false">IFERROR(INDEX(المكونات!$C$2:$C$500,MATCH($B52,المكونات!$A$2:$A$500,0)),"")</f>
        <v>0.5</v>
      </c>
      <c r="F52" s="42" t="n">
        <f aca="false">IFERROR($C52*$E52,"")</f>
        <v>0.5</v>
      </c>
    </row>
    <row r="53" customFormat="false" ht="15" hidden="false" customHeight="true" outlineLevel="0" collapsed="false">
      <c r="A53" s="39" t="s">
        <v>392</v>
      </c>
      <c r="B53" s="39" t="s">
        <v>145</v>
      </c>
      <c r="C53" s="39" t="n">
        <v>2</v>
      </c>
      <c r="D53" s="40" t="str">
        <f aca="false">IFERROR(INDEX(المكونات!$B$2:$B$500,MATCH($B53,المكونات!$A$2:$A$500,0)),"")</f>
        <v>قطعة (جلفز)</v>
      </c>
      <c r="E53" s="41" t="n">
        <f aca="false">IFERROR(INDEX(المكونات!$C$2:$C$500,MATCH($B53,المكونات!$A$2:$A$500,0)),"")</f>
        <v>0.18</v>
      </c>
      <c r="F53" s="42" t="n">
        <f aca="false">IFERROR($C53*$E53,"")</f>
        <v>0.36</v>
      </c>
    </row>
    <row r="54" customFormat="false" ht="15" hidden="false" customHeight="true" outlineLevel="0" collapsed="false">
      <c r="A54" s="39" t="s">
        <v>392</v>
      </c>
      <c r="B54" s="39" t="s">
        <v>257</v>
      </c>
      <c r="C54" s="39" t="n">
        <v>1</v>
      </c>
      <c r="D54" s="40" t="str">
        <f aca="false">IFERROR(INDEX(المكونات!$B$2:$B$500,MATCH($B54,المكونات!$A$2:$A$500,0)),"")</f>
        <v>قطعة (كيس)</v>
      </c>
      <c r="E54" s="41" t="n">
        <f aca="false">IFERROR(INDEX(المكونات!$C$2:$C$500,MATCH($B54,المكونات!$A$2:$A$500,0)),"")</f>
        <v>0.9995</v>
      </c>
      <c r="F54" s="42" t="n">
        <f aca="false">IFERROR($C54*$E54,"")</f>
        <v>0.9995</v>
      </c>
    </row>
    <row r="55" customFormat="false" ht="15" hidden="false" customHeight="true" outlineLevel="0" collapsed="false">
      <c r="A55" s="39" t="s">
        <v>392</v>
      </c>
      <c r="B55" s="39" t="s">
        <v>78</v>
      </c>
      <c r="C55" s="39" t="n">
        <v>1</v>
      </c>
      <c r="D55" s="40" t="str">
        <f aca="false">IFERROR(INDEX(المكونات!$B$2:$B$500,MATCH($B55,المكونات!$A$2:$A$500,0)),"")</f>
        <v>قطعة</v>
      </c>
      <c r="E55" s="41" t="n">
        <f aca="false">IFERROR(INDEX(المكونات!$C$2:$C$500,MATCH($B55,المكونات!$A$2:$A$500,0)),"")</f>
        <v>46.8889</v>
      </c>
      <c r="F55" s="42" t="n">
        <f aca="false">IFERROR($C55*$E55,"")</f>
        <v>46.8889</v>
      </c>
    </row>
    <row r="56" customFormat="false" ht="15" hidden="false" customHeight="true" outlineLevel="0" collapsed="false">
      <c r="A56" s="39" t="s">
        <v>424</v>
      </c>
      <c r="B56" s="39" t="s">
        <v>198</v>
      </c>
      <c r="C56" s="39" t="n">
        <v>0.22</v>
      </c>
      <c r="D56" s="40" t="str">
        <f aca="false">IFERROR(INDEX(المكونات!$B$2:$B$500,MATCH($B56,المكونات!$A$2:$A$500,0)),"")</f>
        <v>كجم</v>
      </c>
      <c r="E56" s="41" t="n">
        <f aca="false">IFERROR(INDEX(المكونات!$C$2:$C$500,MATCH($B56,المكونات!$A$2:$A$500,0)),"")</f>
        <v>22</v>
      </c>
      <c r="F56" s="42" t="n">
        <f aca="false">IFERROR($C56*$E56,"")</f>
        <v>4.84</v>
      </c>
    </row>
    <row r="57" customFormat="false" ht="15" hidden="false" customHeight="true" outlineLevel="0" collapsed="false">
      <c r="A57" s="39" t="s">
        <v>424</v>
      </c>
      <c r="B57" s="39" t="s">
        <v>186</v>
      </c>
      <c r="C57" s="39" t="n">
        <v>0.04</v>
      </c>
      <c r="D57" s="40" t="str">
        <f aca="false">IFERROR(INDEX(المكونات!$B$2:$B$500,MATCH($B57,المكونات!$A$2:$A$500,0)),"")</f>
        <v>كجم</v>
      </c>
      <c r="E57" s="41" t="n">
        <f aca="false">IFERROR(INDEX(المكونات!$C$2:$C$500,MATCH($B57,المكونات!$A$2:$A$500,0)),"")</f>
        <v>32</v>
      </c>
      <c r="F57" s="42" t="n">
        <f aca="false">IFERROR($C57*$E57,"")</f>
        <v>1.28</v>
      </c>
    </row>
    <row r="58" customFormat="false" ht="15" hidden="false" customHeight="true" outlineLevel="0" collapsed="false">
      <c r="A58" s="39" t="s">
        <v>424</v>
      </c>
      <c r="B58" s="39" t="s">
        <v>196</v>
      </c>
      <c r="C58" s="39" t="n">
        <v>0.03</v>
      </c>
      <c r="D58" s="40" t="str">
        <f aca="false">IFERROR(INDEX(المكونات!$B$2:$B$500,MATCH($B58,المكونات!$A$2:$A$500,0)),"")</f>
        <v>كجم</v>
      </c>
      <c r="E58" s="41" t="n">
        <f aca="false">IFERROR(INDEX(المكونات!$C$2:$C$500,MATCH($B58,المكونات!$A$2:$A$500,0)),"")</f>
        <v>21</v>
      </c>
      <c r="F58" s="42" t="n">
        <f aca="false">IFERROR($C58*$E58,"")</f>
        <v>0.63</v>
      </c>
    </row>
    <row r="59" customFormat="false" ht="15" hidden="false" customHeight="true" outlineLevel="0" collapsed="false">
      <c r="A59" s="39" t="s">
        <v>424</v>
      </c>
      <c r="B59" s="39" t="s">
        <v>219</v>
      </c>
      <c r="C59" s="39" t="n">
        <v>0.02</v>
      </c>
      <c r="D59" s="40" t="str">
        <f aca="false">IFERROR(INDEX(المكونات!$B$2:$B$500,MATCH($B59,المكونات!$A$2:$A$500,0)),"")</f>
        <v>كجم</v>
      </c>
      <c r="E59" s="41" t="n">
        <f aca="false">IFERROR(INDEX(المكونات!$C$2:$C$500,MATCH($B59,المكونات!$A$2:$A$500,0)),"")</f>
        <v>27</v>
      </c>
      <c r="F59" s="42" t="n">
        <f aca="false">IFERROR($C59*$E59,"")</f>
        <v>0.54</v>
      </c>
    </row>
    <row r="60" customFormat="false" ht="15" hidden="false" customHeight="true" outlineLevel="0" collapsed="false">
      <c r="A60" s="39" t="s">
        <v>424</v>
      </c>
      <c r="B60" s="39" t="s">
        <v>162</v>
      </c>
      <c r="C60" s="39" t="n">
        <v>0.02</v>
      </c>
      <c r="D60" s="40" t="str">
        <f aca="false">IFERROR(INDEX(المكونات!$B$2:$B$500,MATCH($B60,المكونات!$A$2:$A$500,0)),"")</f>
        <v>كجم</v>
      </c>
      <c r="E60" s="41" t="n">
        <f aca="false">IFERROR(INDEX(المكونات!$C$2:$C$500,MATCH($B60,المكونات!$A$2:$A$500,0)),"")</f>
        <v>95</v>
      </c>
      <c r="F60" s="42" t="n">
        <f aca="false">IFERROR($C60*$E60,"")</f>
        <v>1.9</v>
      </c>
    </row>
    <row r="61" customFormat="false" ht="15" hidden="false" customHeight="true" outlineLevel="0" collapsed="false">
      <c r="A61" s="39" t="s">
        <v>424</v>
      </c>
      <c r="B61" s="39" t="s">
        <v>106</v>
      </c>
      <c r="C61" s="39" t="n">
        <v>1</v>
      </c>
      <c r="D61" s="40" t="str">
        <f aca="false">IFERROR(INDEX(المكونات!$B$2:$B$500,MATCH($B61,المكونات!$A$2:$A$500,0)),"")</f>
        <v>قطعة</v>
      </c>
      <c r="E61" s="41" t="n">
        <f aca="false">IFERROR(INDEX(المكونات!$C$2:$C$500,MATCH($B61,المكونات!$A$2:$A$500,0)),"")</f>
        <v>20</v>
      </c>
      <c r="F61" s="42" t="n">
        <f aca="false">IFERROR($C61*$E61,"")</f>
        <v>20</v>
      </c>
    </row>
    <row r="62" customFormat="false" ht="15" hidden="false" customHeight="true" outlineLevel="0" collapsed="false">
      <c r="A62" s="39" t="s">
        <v>424</v>
      </c>
      <c r="B62" s="39" t="s">
        <v>206</v>
      </c>
      <c r="C62" s="39" t="n">
        <v>1</v>
      </c>
      <c r="D62" s="40" t="str">
        <f aca="false">IFERROR(INDEX(المكونات!$B$2:$B$500,MATCH($B62,المكونات!$A$2:$A$500,0)),"")</f>
        <v>قطعة</v>
      </c>
      <c r="E62" s="41" t="n">
        <f aca="false">IFERROR(INDEX(المكونات!$C$2:$C$500,MATCH($B62,المكونات!$A$2:$A$500,0)),"")</f>
        <v>4.5</v>
      </c>
      <c r="F62" s="42" t="n">
        <f aca="false">IFERROR($C62*$E62,"")</f>
        <v>4.5</v>
      </c>
    </row>
    <row r="63" customFormat="false" ht="15" hidden="false" customHeight="true" outlineLevel="0" collapsed="false">
      <c r="A63" s="39" t="s">
        <v>424</v>
      </c>
      <c r="B63" s="39" t="s">
        <v>225</v>
      </c>
      <c r="C63" s="39" t="n">
        <v>2</v>
      </c>
      <c r="D63" s="40" t="str">
        <f aca="false">IFERROR(INDEX(المكونات!$B$2:$B$500,MATCH($B63,المكونات!$A$2:$A$500,0)),"")</f>
        <v>قطعة</v>
      </c>
      <c r="E63" s="41" t="n">
        <f aca="false">IFERROR(INDEX(المكونات!$C$2:$C$500,MATCH($B63,المكونات!$A$2:$A$500,0)),"")</f>
        <v>0.3</v>
      </c>
      <c r="F63" s="42" t="n">
        <f aca="false">IFERROR($C63*$E63,"")</f>
        <v>0.6</v>
      </c>
    </row>
    <row r="64" customFormat="false" ht="15" hidden="false" customHeight="true" outlineLevel="0" collapsed="false">
      <c r="A64" s="39" t="s">
        <v>424</v>
      </c>
      <c r="B64" s="39" t="s">
        <v>254</v>
      </c>
      <c r="C64" s="39" t="n">
        <v>1</v>
      </c>
      <c r="D64" s="40" t="str">
        <f aca="false">IFERROR(INDEX(المكونات!$B$2:$B$500,MATCH($B64,المكونات!$A$2:$A$500,0)),"")</f>
        <v>قطعة (ورقة)</v>
      </c>
      <c r="E64" s="41" t="n">
        <f aca="false">IFERROR(INDEX(المكونات!$C$2:$C$500,MATCH($B64,المكونات!$A$2:$A$500,0)),"")</f>
        <v>0.3665</v>
      </c>
      <c r="F64" s="42" t="n">
        <f aca="false">IFERROR($C64*$E64,"")</f>
        <v>0.3665</v>
      </c>
    </row>
    <row r="65" customFormat="false" ht="15" hidden="false" customHeight="true" outlineLevel="0" collapsed="false">
      <c r="A65" s="39" t="s">
        <v>424</v>
      </c>
      <c r="B65" s="39" t="s">
        <v>67</v>
      </c>
      <c r="C65" s="39" t="n">
        <v>1</v>
      </c>
      <c r="D65" s="40" t="str">
        <f aca="false">IFERROR(INDEX(المكونات!$B$2:$B$500,MATCH($B65,المكونات!$A$2:$A$500,0)),"")</f>
        <v>قطعة (كيس)</v>
      </c>
      <c r="E65" s="41" t="n">
        <f aca="false">IFERROR(INDEX(المكونات!$C$2:$C$500,MATCH($B65,المكونات!$A$2:$A$500,0)),"")</f>
        <v>1.4</v>
      </c>
      <c r="F65" s="42" t="n">
        <f aca="false">IFERROR($C65*$E65,"")</f>
        <v>1.4</v>
      </c>
    </row>
    <row r="66" customFormat="false" ht="15" hidden="false" customHeight="true" outlineLevel="0" collapsed="false">
      <c r="A66" s="39" t="s">
        <v>424</v>
      </c>
      <c r="B66" s="39" t="s">
        <v>228</v>
      </c>
      <c r="C66" s="39" t="n">
        <v>1</v>
      </c>
      <c r="D66" s="40" t="str">
        <f aca="false">IFERROR(INDEX(المكونات!$B$2:$B$500,MATCH($B66,المكونات!$A$2:$A$500,0)),"")</f>
        <v>قطعة</v>
      </c>
      <c r="E66" s="41" t="n">
        <f aca="false">IFERROR(INDEX(المكونات!$C$2:$C$500,MATCH($B66,المكونات!$A$2:$A$500,0)),"")</f>
        <v>0.5</v>
      </c>
      <c r="F66" s="42" t="n">
        <f aca="false">IFERROR($C66*$E66,"")</f>
        <v>0.5</v>
      </c>
    </row>
    <row r="67" customFormat="false" ht="15" hidden="false" customHeight="true" outlineLevel="0" collapsed="false">
      <c r="A67" s="39" t="s">
        <v>424</v>
      </c>
      <c r="B67" s="39" t="s">
        <v>145</v>
      </c>
      <c r="C67" s="39" t="n">
        <v>2</v>
      </c>
      <c r="D67" s="40" t="str">
        <f aca="false">IFERROR(INDEX(المكونات!$B$2:$B$500,MATCH($B67,المكونات!$A$2:$A$500,0)),"")</f>
        <v>قطعة (جلفز)</v>
      </c>
      <c r="E67" s="41" t="n">
        <f aca="false">IFERROR(INDEX(المكونات!$C$2:$C$500,MATCH($B67,المكونات!$A$2:$A$500,0)),"")</f>
        <v>0.18</v>
      </c>
      <c r="F67" s="42" t="n">
        <f aca="false">IFERROR($C67*$E67,"")</f>
        <v>0.36</v>
      </c>
    </row>
    <row r="68" customFormat="false" ht="15" hidden="false" customHeight="true" outlineLevel="0" collapsed="false">
      <c r="A68" s="39" t="s">
        <v>424</v>
      </c>
      <c r="B68" s="39" t="s">
        <v>257</v>
      </c>
      <c r="C68" s="39" t="n">
        <v>1</v>
      </c>
      <c r="D68" s="40" t="str">
        <f aca="false">IFERROR(INDEX(المكونات!$B$2:$B$500,MATCH($B68,المكونات!$A$2:$A$500,0)),"")</f>
        <v>قطعة (كيس)</v>
      </c>
      <c r="E68" s="41" t="n">
        <f aca="false">IFERROR(INDEX(المكونات!$C$2:$C$500,MATCH($B68,المكونات!$A$2:$A$500,0)),"")</f>
        <v>0.9995</v>
      </c>
      <c r="F68" s="42" t="n">
        <f aca="false">IFERROR($C68*$E68,"")</f>
        <v>0.9995</v>
      </c>
    </row>
    <row r="69" customFormat="false" ht="15" hidden="false" customHeight="true" outlineLevel="0" collapsed="false">
      <c r="A69" s="39" t="s">
        <v>424</v>
      </c>
      <c r="B69" s="39" t="s">
        <v>86</v>
      </c>
      <c r="C69" s="39" t="n">
        <v>1</v>
      </c>
      <c r="D69" s="40" t="str">
        <f aca="false">IFERROR(INDEX(المكونات!$B$2:$B$500,MATCH($B69,المكونات!$A$2:$A$500,0)),"")</f>
        <v>قطعة</v>
      </c>
      <c r="E69" s="41" t="n">
        <f aca="false">IFERROR(INDEX(المكونات!$C$2:$C$500,MATCH($B69,المكونات!$A$2:$A$500,0)),"")</f>
        <v>34</v>
      </c>
      <c r="F69" s="42" t="n">
        <f aca="false">IFERROR($C69*$E69,"")</f>
        <v>34</v>
      </c>
    </row>
    <row r="70" customFormat="false" ht="15" hidden="false" customHeight="true" outlineLevel="0" collapsed="false">
      <c r="A70" s="39" t="s">
        <v>356</v>
      </c>
      <c r="B70" s="39" t="s">
        <v>198</v>
      </c>
      <c r="C70" s="39" t="n">
        <v>0.3</v>
      </c>
      <c r="D70" s="40" t="str">
        <f aca="false">IFERROR(INDEX(المكونات!$B$2:$B$500,MATCH($B70,المكونات!$A$2:$A$500,0)),"")</f>
        <v>كجم</v>
      </c>
      <c r="E70" s="41" t="n">
        <f aca="false">IFERROR(INDEX(المكونات!$C$2:$C$500,MATCH($B70,المكونات!$A$2:$A$500,0)),"")</f>
        <v>22</v>
      </c>
      <c r="F70" s="42" t="n">
        <f aca="false">IFERROR($C70*$E70,"")</f>
        <v>6.6</v>
      </c>
    </row>
    <row r="71" customFormat="false" ht="15" hidden="false" customHeight="true" outlineLevel="0" collapsed="false">
      <c r="A71" s="39" t="s">
        <v>356</v>
      </c>
      <c r="B71" s="39" t="s">
        <v>186</v>
      </c>
      <c r="C71" s="39" t="n">
        <v>0.06</v>
      </c>
      <c r="D71" s="40" t="str">
        <f aca="false">IFERROR(INDEX(المكونات!$B$2:$B$500,MATCH($B71,المكونات!$A$2:$A$500,0)),"")</f>
        <v>كجم</v>
      </c>
      <c r="E71" s="41" t="n">
        <f aca="false">IFERROR(INDEX(المكونات!$C$2:$C$500,MATCH($B71,المكونات!$A$2:$A$500,0)),"")</f>
        <v>32</v>
      </c>
      <c r="F71" s="42" t="n">
        <f aca="false">IFERROR($C71*$E71,"")</f>
        <v>1.92</v>
      </c>
    </row>
    <row r="72" customFormat="false" ht="15" hidden="false" customHeight="true" outlineLevel="0" collapsed="false">
      <c r="A72" s="39" t="s">
        <v>356</v>
      </c>
      <c r="B72" s="39" t="s">
        <v>196</v>
      </c>
      <c r="C72" s="39" t="n">
        <v>0.045</v>
      </c>
      <c r="D72" s="40" t="str">
        <f aca="false">IFERROR(INDEX(المكونات!$B$2:$B$500,MATCH($B72,المكونات!$A$2:$A$500,0)),"")</f>
        <v>كجم</v>
      </c>
      <c r="E72" s="41" t="n">
        <f aca="false">IFERROR(INDEX(المكونات!$C$2:$C$500,MATCH($B72,المكونات!$A$2:$A$500,0)),"")</f>
        <v>21</v>
      </c>
      <c r="F72" s="42" t="n">
        <f aca="false">IFERROR($C72*$E72,"")</f>
        <v>0.945</v>
      </c>
    </row>
    <row r="73" customFormat="false" ht="15" hidden="false" customHeight="true" outlineLevel="0" collapsed="false">
      <c r="A73" s="39" t="s">
        <v>356</v>
      </c>
      <c r="B73" s="39" t="s">
        <v>219</v>
      </c>
      <c r="C73" s="39" t="n">
        <v>0.03</v>
      </c>
      <c r="D73" s="40" t="str">
        <f aca="false">IFERROR(INDEX(المكونات!$B$2:$B$500,MATCH($B73,المكونات!$A$2:$A$500,0)),"")</f>
        <v>كجم</v>
      </c>
      <c r="E73" s="41" t="n">
        <f aca="false">IFERROR(INDEX(المكونات!$C$2:$C$500,MATCH($B73,المكونات!$A$2:$A$500,0)),"")</f>
        <v>27</v>
      </c>
      <c r="F73" s="42" t="n">
        <f aca="false">IFERROR($C73*$E73,"")</f>
        <v>0.81</v>
      </c>
    </row>
    <row r="74" customFormat="false" ht="15" hidden="false" customHeight="true" outlineLevel="0" collapsed="false">
      <c r="A74" s="39" t="s">
        <v>356</v>
      </c>
      <c r="B74" s="39" t="s">
        <v>162</v>
      </c>
      <c r="C74" s="39" t="n">
        <v>0.03</v>
      </c>
      <c r="D74" s="40" t="str">
        <f aca="false">IFERROR(INDEX(المكونات!$B$2:$B$500,MATCH($B74,المكونات!$A$2:$A$500,0)),"")</f>
        <v>كجم</v>
      </c>
      <c r="E74" s="41" t="n">
        <f aca="false">IFERROR(INDEX(المكونات!$C$2:$C$500,MATCH($B74,المكونات!$A$2:$A$500,0)),"")</f>
        <v>95</v>
      </c>
      <c r="F74" s="42" t="n">
        <f aca="false">IFERROR($C74*$E74,"")</f>
        <v>2.85</v>
      </c>
    </row>
    <row r="75" customFormat="false" ht="15" hidden="false" customHeight="true" outlineLevel="0" collapsed="false">
      <c r="A75" s="39" t="s">
        <v>356</v>
      </c>
      <c r="B75" s="39" t="s">
        <v>108</v>
      </c>
      <c r="C75" s="39" t="n">
        <v>1</v>
      </c>
      <c r="D75" s="40" t="str">
        <f aca="false">IFERROR(INDEX(المكونات!$B$2:$B$500,MATCH($B75,المكونات!$A$2:$A$500,0)),"")</f>
        <v>قطعة</v>
      </c>
      <c r="E75" s="41" t="n">
        <f aca="false">IFERROR(INDEX(المكونات!$C$2:$C$500,MATCH($B75,المكونات!$A$2:$A$500,0)),"")</f>
        <v>26.4194</v>
      </c>
      <c r="F75" s="42" t="n">
        <f aca="false">IFERROR($C75*$E75,"")</f>
        <v>26.4194</v>
      </c>
    </row>
    <row r="76" customFormat="false" ht="15" hidden="false" customHeight="true" outlineLevel="0" collapsed="false">
      <c r="A76" s="39" t="s">
        <v>356</v>
      </c>
      <c r="B76" s="39" t="s">
        <v>204</v>
      </c>
      <c r="C76" s="39" t="n">
        <v>1</v>
      </c>
      <c r="D76" s="40" t="str">
        <f aca="false">IFERROR(INDEX(المكونات!$B$2:$B$500,MATCH($B76,المكونات!$A$2:$A$500,0)),"")</f>
        <v>قطعة</v>
      </c>
      <c r="E76" s="41" t="n">
        <f aca="false">IFERROR(INDEX(المكونات!$C$2:$C$500,MATCH($B76,المكونات!$A$2:$A$500,0)),"")</f>
        <v>5.5</v>
      </c>
      <c r="F76" s="42" t="n">
        <f aca="false">IFERROR($C76*$E76,"")</f>
        <v>5.5</v>
      </c>
    </row>
    <row r="77" customFormat="false" ht="15" hidden="false" customHeight="true" outlineLevel="0" collapsed="false">
      <c r="A77" s="39" t="s">
        <v>356</v>
      </c>
      <c r="B77" s="39" t="s">
        <v>225</v>
      </c>
      <c r="C77" s="39" t="n">
        <v>3</v>
      </c>
      <c r="D77" s="40" t="str">
        <f aca="false">IFERROR(INDEX(المكونات!$B$2:$B$500,MATCH($B77,المكونات!$A$2:$A$500,0)),"")</f>
        <v>قطعة</v>
      </c>
      <c r="E77" s="41" t="n">
        <f aca="false">IFERROR(INDEX(المكونات!$C$2:$C$500,MATCH($B77,المكونات!$A$2:$A$500,0)),"")</f>
        <v>0.3</v>
      </c>
      <c r="F77" s="42" t="n">
        <f aca="false">IFERROR($C77*$E77,"")</f>
        <v>0.9</v>
      </c>
    </row>
    <row r="78" customFormat="false" ht="15" hidden="false" customHeight="true" outlineLevel="0" collapsed="false">
      <c r="A78" s="39" t="s">
        <v>356</v>
      </c>
      <c r="B78" s="39" t="s">
        <v>254</v>
      </c>
      <c r="C78" s="39" t="n">
        <v>1</v>
      </c>
      <c r="D78" s="40" t="str">
        <f aca="false">IFERROR(INDEX(المكونات!$B$2:$B$500,MATCH($B78,المكونات!$A$2:$A$500,0)),"")</f>
        <v>قطعة (ورقة)</v>
      </c>
      <c r="E78" s="41" t="n">
        <f aca="false">IFERROR(INDEX(المكونات!$C$2:$C$500,MATCH($B78,المكونات!$A$2:$A$500,0)),"")</f>
        <v>0.3665</v>
      </c>
      <c r="F78" s="42" t="n">
        <f aca="false">IFERROR($C78*$E78,"")</f>
        <v>0.3665</v>
      </c>
    </row>
    <row r="79" customFormat="false" ht="15" hidden="false" customHeight="true" outlineLevel="0" collapsed="false">
      <c r="A79" s="39" t="s">
        <v>356</v>
      </c>
      <c r="B79" s="39" t="s">
        <v>67</v>
      </c>
      <c r="C79" s="39" t="n">
        <v>1</v>
      </c>
      <c r="D79" s="40" t="str">
        <f aca="false">IFERROR(INDEX(المكونات!$B$2:$B$500,MATCH($B79,المكونات!$A$2:$A$500,0)),"")</f>
        <v>قطعة (كيس)</v>
      </c>
      <c r="E79" s="41" t="n">
        <f aca="false">IFERROR(INDEX(المكونات!$C$2:$C$500,MATCH($B79,المكونات!$A$2:$A$500,0)),"")</f>
        <v>1.4</v>
      </c>
      <c r="F79" s="42" t="n">
        <f aca="false">IFERROR($C79*$E79,"")</f>
        <v>1.4</v>
      </c>
    </row>
    <row r="80" customFormat="false" ht="15" hidden="false" customHeight="true" outlineLevel="0" collapsed="false">
      <c r="A80" s="39" t="s">
        <v>356</v>
      </c>
      <c r="B80" s="39" t="s">
        <v>228</v>
      </c>
      <c r="C80" s="39" t="n">
        <v>1</v>
      </c>
      <c r="D80" s="40" t="str">
        <f aca="false">IFERROR(INDEX(المكونات!$B$2:$B$500,MATCH($B80,المكونات!$A$2:$A$500,0)),"")</f>
        <v>قطعة</v>
      </c>
      <c r="E80" s="41" t="n">
        <f aca="false">IFERROR(INDEX(المكونات!$C$2:$C$500,MATCH($B80,المكونات!$A$2:$A$500,0)),"")</f>
        <v>0.5</v>
      </c>
      <c r="F80" s="42" t="n">
        <f aca="false">IFERROR($C80*$E80,"")</f>
        <v>0.5</v>
      </c>
    </row>
    <row r="81" customFormat="false" ht="15" hidden="false" customHeight="true" outlineLevel="0" collapsed="false">
      <c r="A81" s="39" t="s">
        <v>356</v>
      </c>
      <c r="B81" s="39" t="s">
        <v>145</v>
      </c>
      <c r="C81" s="39" t="n">
        <v>2</v>
      </c>
      <c r="D81" s="40" t="str">
        <f aca="false">IFERROR(INDEX(المكونات!$B$2:$B$500,MATCH($B81,المكونات!$A$2:$A$500,0)),"")</f>
        <v>قطعة (جلفز)</v>
      </c>
      <c r="E81" s="41" t="n">
        <f aca="false">IFERROR(INDEX(المكونات!$C$2:$C$500,MATCH($B81,المكونات!$A$2:$A$500,0)),"")</f>
        <v>0.18</v>
      </c>
      <c r="F81" s="42" t="n">
        <f aca="false">IFERROR($C81*$E81,"")</f>
        <v>0.36</v>
      </c>
    </row>
    <row r="82" customFormat="false" ht="15" hidden="false" customHeight="true" outlineLevel="0" collapsed="false">
      <c r="A82" s="39" t="s">
        <v>356</v>
      </c>
      <c r="B82" s="39" t="s">
        <v>257</v>
      </c>
      <c r="C82" s="39" t="n">
        <v>1</v>
      </c>
      <c r="D82" s="40" t="str">
        <f aca="false">IFERROR(INDEX(المكونات!$B$2:$B$500,MATCH($B82,المكونات!$A$2:$A$500,0)),"")</f>
        <v>قطعة (كيس)</v>
      </c>
      <c r="E82" s="41" t="n">
        <f aca="false">IFERROR(INDEX(المكونات!$C$2:$C$500,MATCH($B82,المكونات!$A$2:$A$500,0)),"")</f>
        <v>0.9995</v>
      </c>
      <c r="F82" s="42" t="n">
        <f aca="false">IFERROR($C82*$E82,"")</f>
        <v>0.9995</v>
      </c>
    </row>
    <row r="83" customFormat="false" ht="15" hidden="false" customHeight="true" outlineLevel="0" collapsed="false">
      <c r="A83" s="39" t="s">
        <v>356</v>
      </c>
      <c r="B83" s="39" t="s">
        <v>88</v>
      </c>
      <c r="C83" s="39" t="n">
        <v>1</v>
      </c>
      <c r="D83" s="40" t="str">
        <f aca="false">IFERROR(INDEX(المكونات!$B$2:$B$500,MATCH($B83,المكونات!$A$2:$A$500,0)),"")</f>
        <v>قطعة</v>
      </c>
      <c r="E83" s="41" t="n">
        <f aca="false">IFERROR(INDEX(المكونات!$C$2:$C$500,MATCH($B83,المكونات!$A$2:$A$500,0)),"")</f>
        <v>45</v>
      </c>
      <c r="F83" s="42" t="n">
        <f aca="false">IFERROR($C83*$E83,"")</f>
        <v>45</v>
      </c>
    </row>
    <row r="84" customFormat="false" ht="15" hidden="false" customHeight="true" outlineLevel="0" collapsed="false">
      <c r="A84" s="39" t="s">
        <v>371</v>
      </c>
      <c r="B84" s="39" t="s">
        <v>198</v>
      </c>
      <c r="C84" s="39" t="n">
        <v>0.22</v>
      </c>
      <c r="D84" s="40" t="str">
        <f aca="false">IFERROR(INDEX(المكونات!$B$2:$B$500,MATCH($B84,المكونات!$A$2:$A$500,0)),"")</f>
        <v>كجم</v>
      </c>
      <c r="E84" s="41" t="n">
        <f aca="false">IFERROR(INDEX(المكونات!$C$2:$C$500,MATCH($B84,المكونات!$A$2:$A$500,0)),"")</f>
        <v>22</v>
      </c>
      <c r="F84" s="42" t="n">
        <f aca="false">IFERROR($C84*$E84,"")</f>
        <v>4.84</v>
      </c>
    </row>
    <row r="85" customFormat="false" ht="15" hidden="false" customHeight="true" outlineLevel="0" collapsed="false">
      <c r="A85" s="39" t="s">
        <v>371</v>
      </c>
      <c r="B85" s="39" t="s">
        <v>186</v>
      </c>
      <c r="C85" s="39" t="n">
        <v>0.04</v>
      </c>
      <c r="D85" s="40" t="str">
        <f aca="false">IFERROR(INDEX(المكونات!$B$2:$B$500,MATCH($B85,المكونات!$A$2:$A$500,0)),"")</f>
        <v>كجم</v>
      </c>
      <c r="E85" s="41" t="n">
        <f aca="false">IFERROR(INDEX(المكونات!$C$2:$C$500,MATCH($B85,المكونات!$A$2:$A$500,0)),"")</f>
        <v>32</v>
      </c>
      <c r="F85" s="42" t="n">
        <f aca="false">IFERROR($C85*$E85,"")</f>
        <v>1.28</v>
      </c>
    </row>
    <row r="86" customFormat="false" ht="15" hidden="false" customHeight="true" outlineLevel="0" collapsed="false">
      <c r="A86" s="39" t="s">
        <v>371</v>
      </c>
      <c r="B86" s="39" t="s">
        <v>196</v>
      </c>
      <c r="C86" s="39" t="n">
        <v>0.03</v>
      </c>
      <c r="D86" s="40" t="str">
        <f aca="false">IFERROR(INDEX(المكونات!$B$2:$B$500,MATCH($B86,المكونات!$A$2:$A$500,0)),"")</f>
        <v>كجم</v>
      </c>
      <c r="E86" s="41" t="n">
        <f aca="false">IFERROR(INDEX(المكونات!$C$2:$C$500,MATCH($B86,المكونات!$A$2:$A$500,0)),"")</f>
        <v>21</v>
      </c>
      <c r="F86" s="42" t="n">
        <f aca="false">IFERROR($C86*$E86,"")</f>
        <v>0.63</v>
      </c>
    </row>
    <row r="87" customFormat="false" ht="15" hidden="false" customHeight="true" outlineLevel="0" collapsed="false">
      <c r="A87" s="39" t="s">
        <v>371</v>
      </c>
      <c r="B87" s="39" t="s">
        <v>219</v>
      </c>
      <c r="C87" s="39" t="n">
        <v>0.02</v>
      </c>
      <c r="D87" s="40" t="str">
        <f aca="false">IFERROR(INDEX(المكونات!$B$2:$B$500,MATCH($B87,المكونات!$A$2:$A$500,0)),"")</f>
        <v>كجم</v>
      </c>
      <c r="E87" s="41" t="n">
        <f aca="false">IFERROR(INDEX(المكونات!$C$2:$C$500,MATCH($B87,المكونات!$A$2:$A$500,0)),"")</f>
        <v>27</v>
      </c>
      <c r="F87" s="42" t="n">
        <f aca="false">IFERROR($C87*$E87,"")</f>
        <v>0.54</v>
      </c>
    </row>
    <row r="88" customFormat="false" ht="15" hidden="false" customHeight="true" outlineLevel="0" collapsed="false">
      <c r="A88" s="39" t="s">
        <v>371</v>
      </c>
      <c r="B88" s="39" t="s">
        <v>162</v>
      </c>
      <c r="C88" s="39" t="n">
        <v>0.02</v>
      </c>
      <c r="D88" s="40" t="str">
        <f aca="false">IFERROR(INDEX(المكونات!$B$2:$B$500,MATCH($B88,المكونات!$A$2:$A$500,0)),"")</f>
        <v>كجم</v>
      </c>
      <c r="E88" s="41" t="n">
        <f aca="false">IFERROR(INDEX(المكونات!$C$2:$C$500,MATCH($B88,المكونات!$A$2:$A$500,0)),"")</f>
        <v>95</v>
      </c>
      <c r="F88" s="42" t="n">
        <f aca="false">IFERROR($C88*$E88,"")</f>
        <v>1.9</v>
      </c>
    </row>
    <row r="89" customFormat="false" ht="15" hidden="false" customHeight="true" outlineLevel="0" collapsed="false">
      <c r="A89" s="39" t="s">
        <v>371</v>
      </c>
      <c r="B89" s="39" t="s">
        <v>106</v>
      </c>
      <c r="C89" s="39" t="n">
        <v>1</v>
      </c>
      <c r="D89" s="40" t="str">
        <f aca="false">IFERROR(INDEX(المكونات!$B$2:$B$500,MATCH($B89,المكونات!$A$2:$A$500,0)),"")</f>
        <v>قطعة</v>
      </c>
      <c r="E89" s="41" t="n">
        <f aca="false">IFERROR(INDEX(المكونات!$C$2:$C$500,MATCH($B89,المكونات!$A$2:$A$500,0)),"")</f>
        <v>20</v>
      </c>
      <c r="F89" s="42" t="n">
        <f aca="false">IFERROR($C89*$E89,"")</f>
        <v>20</v>
      </c>
    </row>
    <row r="90" customFormat="false" ht="15" hidden="false" customHeight="true" outlineLevel="0" collapsed="false">
      <c r="A90" s="39" t="s">
        <v>371</v>
      </c>
      <c r="B90" s="39" t="s">
        <v>206</v>
      </c>
      <c r="C90" s="39" t="n">
        <v>1</v>
      </c>
      <c r="D90" s="40" t="str">
        <f aca="false">IFERROR(INDEX(المكونات!$B$2:$B$500,MATCH($B90,المكونات!$A$2:$A$500,0)),"")</f>
        <v>قطعة</v>
      </c>
      <c r="E90" s="41" t="n">
        <f aca="false">IFERROR(INDEX(المكونات!$C$2:$C$500,MATCH($B90,المكونات!$A$2:$A$500,0)),"")</f>
        <v>4.5</v>
      </c>
      <c r="F90" s="42" t="n">
        <f aca="false">IFERROR($C90*$E90,"")</f>
        <v>4.5</v>
      </c>
    </row>
    <row r="91" customFormat="false" ht="15" hidden="false" customHeight="true" outlineLevel="0" collapsed="false">
      <c r="A91" s="39" t="s">
        <v>371</v>
      </c>
      <c r="B91" s="39" t="s">
        <v>225</v>
      </c>
      <c r="C91" s="39" t="n">
        <v>2</v>
      </c>
      <c r="D91" s="40" t="str">
        <f aca="false">IFERROR(INDEX(المكونات!$B$2:$B$500,MATCH($B91,المكونات!$A$2:$A$500,0)),"")</f>
        <v>قطعة</v>
      </c>
      <c r="E91" s="41" t="n">
        <f aca="false">IFERROR(INDEX(المكونات!$C$2:$C$500,MATCH($B91,المكونات!$A$2:$A$500,0)),"")</f>
        <v>0.3</v>
      </c>
      <c r="F91" s="42" t="n">
        <f aca="false">IFERROR($C91*$E91,"")</f>
        <v>0.6</v>
      </c>
    </row>
    <row r="92" customFormat="false" ht="15" hidden="false" customHeight="true" outlineLevel="0" collapsed="false">
      <c r="A92" s="39" t="s">
        <v>371</v>
      </c>
      <c r="B92" s="39" t="s">
        <v>254</v>
      </c>
      <c r="C92" s="39" t="n">
        <v>1</v>
      </c>
      <c r="D92" s="40" t="str">
        <f aca="false">IFERROR(INDEX(المكونات!$B$2:$B$500,MATCH($B92,المكونات!$A$2:$A$500,0)),"")</f>
        <v>قطعة (ورقة)</v>
      </c>
      <c r="E92" s="41" t="n">
        <f aca="false">IFERROR(INDEX(المكونات!$C$2:$C$500,MATCH($B92,المكونات!$A$2:$A$500,0)),"")</f>
        <v>0.3665</v>
      </c>
      <c r="F92" s="42" t="n">
        <f aca="false">IFERROR($C92*$E92,"")</f>
        <v>0.3665</v>
      </c>
    </row>
    <row r="93" customFormat="false" ht="15" hidden="false" customHeight="true" outlineLevel="0" collapsed="false">
      <c r="A93" s="39" t="s">
        <v>371</v>
      </c>
      <c r="B93" s="39" t="s">
        <v>67</v>
      </c>
      <c r="C93" s="39" t="n">
        <v>1</v>
      </c>
      <c r="D93" s="40" t="str">
        <f aca="false">IFERROR(INDEX(المكونات!$B$2:$B$500,MATCH($B93,المكونات!$A$2:$A$500,0)),"")</f>
        <v>قطعة (كيس)</v>
      </c>
      <c r="E93" s="41" t="n">
        <f aca="false">IFERROR(INDEX(المكونات!$C$2:$C$500,MATCH($B93,المكونات!$A$2:$A$500,0)),"")</f>
        <v>1.4</v>
      </c>
      <c r="F93" s="42" t="n">
        <f aca="false">IFERROR($C93*$E93,"")</f>
        <v>1.4</v>
      </c>
    </row>
    <row r="94" customFormat="false" ht="15" hidden="false" customHeight="true" outlineLevel="0" collapsed="false">
      <c r="A94" s="39" t="s">
        <v>371</v>
      </c>
      <c r="B94" s="39" t="s">
        <v>228</v>
      </c>
      <c r="C94" s="39" t="n">
        <v>1</v>
      </c>
      <c r="D94" s="40" t="str">
        <f aca="false">IFERROR(INDEX(المكونات!$B$2:$B$500,MATCH($B94,المكونات!$A$2:$A$500,0)),"")</f>
        <v>قطعة</v>
      </c>
      <c r="E94" s="41" t="n">
        <f aca="false">IFERROR(INDEX(المكونات!$C$2:$C$500,MATCH($B94,المكونات!$A$2:$A$500,0)),"")</f>
        <v>0.5</v>
      </c>
      <c r="F94" s="42" t="n">
        <f aca="false">IFERROR($C94*$E94,"")</f>
        <v>0.5</v>
      </c>
    </row>
    <row r="95" customFormat="false" ht="15" hidden="false" customHeight="true" outlineLevel="0" collapsed="false">
      <c r="A95" s="39" t="s">
        <v>371</v>
      </c>
      <c r="B95" s="39" t="s">
        <v>145</v>
      </c>
      <c r="C95" s="39" t="n">
        <v>2</v>
      </c>
      <c r="D95" s="40" t="str">
        <f aca="false">IFERROR(INDEX(المكونات!$B$2:$B$500,MATCH($B95,المكونات!$A$2:$A$500,0)),"")</f>
        <v>قطعة (جلفز)</v>
      </c>
      <c r="E95" s="41" t="n">
        <f aca="false">IFERROR(INDEX(المكونات!$C$2:$C$500,MATCH($B95,المكونات!$A$2:$A$500,0)),"")</f>
        <v>0.18</v>
      </c>
      <c r="F95" s="42" t="n">
        <f aca="false">IFERROR($C95*$E95,"")</f>
        <v>0.36</v>
      </c>
    </row>
    <row r="96" customFormat="false" ht="15" hidden="false" customHeight="true" outlineLevel="0" collapsed="false">
      <c r="A96" s="39" t="s">
        <v>371</v>
      </c>
      <c r="B96" s="39" t="s">
        <v>257</v>
      </c>
      <c r="C96" s="39" t="n">
        <v>1</v>
      </c>
      <c r="D96" s="40" t="str">
        <f aca="false">IFERROR(INDEX(المكونات!$B$2:$B$500,MATCH($B96,المكونات!$A$2:$A$500,0)),"")</f>
        <v>قطعة (كيس)</v>
      </c>
      <c r="E96" s="41" t="n">
        <f aca="false">IFERROR(INDEX(المكونات!$C$2:$C$500,MATCH($B96,المكونات!$A$2:$A$500,0)),"")</f>
        <v>0.9995</v>
      </c>
      <c r="F96" s="42" t="n">
        <f aca="false">IFERROR($C96*$E96,"")</f>
        <v>0.9995</v>
      </c>
    </row>
    <row r="97" customFormat="false" ht="15" hidden="false" customHeight="true" outlineLevel="0" collapsed="false">
      <c r="A97" s="39" t="s">
        <v>371</v>
      </c>
      <c r="B97" s="39" t="s">
        <v>90</v>
      </c>
      <c r="C97" s="39" t="n">
        <v>1</v>
      </c>
      <c r="D97" s="40" t="str">
        <f aca="false">IFERROR(INDEX(المكونات!$B$2:$B$500,MATCH($B97,المكونات!$A$2:$A$500,0)),"")</f>
        <v>قطعة</v>
      </c>
      <c r="E97" s="41" t="n">
        <f aca="false">IFERROR(INDEX(المكونات!$C$2:$C$500,MATCH($B97,المكونات!$A$2:$A$500,0)),"")</f>
        <v>27.1442</v>
      </c>
      <c r="F97" s="42" t="n">
        <f aca="false">IFERROR($C97*$E97,"")</f>
        <v>27.1442</v>
      </c>
    </row>
    <row r="98" customFormat="false" ht="15" hidden="false" customHeight="true" outlineLevel="0" collapsed="false">
      <c r="A98" s="39" t="s">
        <v>445</v>
      </c>
      <c r="B98" s="39" t="s">
        <v>198</v>
      </c>
      <c r="C98" s="39" t="n">
        <v>0.3</v>
      </c>
      <c r="D98" s="40" t="str">
        <f aca="false">IFERROR(INDEX(المكونات!$B$2:$B$500,MATCH($B98,المكونات!$A$2:$A$500,0)),"")</f>
        <v>كجم</v>
      </c>
      <c r="E98" s="41" t="n">
        <f aca="false">IFERROR(INDEX(المكونات!$C$2:$C$500,MATCH($B98,المكونات!$A$2:$A$500,0)),"")</f>
        <v>22</v>
      </c>
      <c r="F98" s="42" t="n">
        <f aca="false">IFERROR($C98*$E98,"")</f>
        <v>6.6</v>
      </c>
    </row>
    <row r="99" customFormat="false" ht="15" hidden="false" customHeight="true" outlineLevel="0" collapsed="false">
      <c r="A99" s="39" t="s">
        <v>445</v>
      </c>
      <c r="B99" s="39" t="s">
        <v>186</v>
      </c>
      <c r="C99" s="39" t="n">
        <v>0.06</v>
      </c>
      <c r="D99" s="40" t="str">
        <f aca="false">IFERROR(INDEX(المكونات!$B$2:$B$500,MATCH($B99,المكونات!$A$2:$A$500,0)),"")</f>
        <v>كجم</v>
      </c>
      <c r="E99" s="41" t="n">
        <f aca="false">IFERROR(INDEX(المكونات!$C$2:$C$500,MATCH($B99,المكونات!$A$2:$A$500,0)),"")</f>
        <v>32</v>
      </c>
      <c r="F99" s="42" t="n">
        <f aca="false">IFERROR($C99*$E99,"")</f>
        <v>1.92</v>
      </c>
    </row>
    <row r="100" customFormat="false" ht="15" hidden="false" customHeight="true" outlineLevel="0" collapsed="false">
      <c r="A100" s="39" t="s">
        <v>445</v>
      </c>
      <c r="B100" s="39" t="s">
        <v>196</v>
      </c>
      <c r="C100" s="39" t="n">
        <v>0.045</v>
      </c>
      <c r="D100" s="40" t="str">
        <f aca="false">IFERROR(INDEX(المكونات!$B$2:$B$500,MATCH($B100,المكونات!$A$2:$A$500,0)),"")</f>
        <v>كجم</v>
      </c>
      <c r="E100" s="41" t="n">
        <f aca="false">IFERROR(INDEX(المكونات!$C$2:$C$500,MATCH($B100,المكونات!$A$2:$A$500,0)),"")</f>
        <v>21</v>
      </c>
      <c r="F100" s="42" t="n">
        <f aca="false">IFERROR($C100*$E100,"")</f>
        <v>0.945</v>
      </c>
    </row>
    <row r="101" customFormat="false" ht="15" hidden="false" customHeight="true" outlineLevel="0" collapsed="false">
      <c r="A101" s="39" t="s">
        <v>445</v>
      </c>
      <c r="B101" s="39" t="s">
        <v>219</v>
      </c>
      <c r="C101" s="39" t="n">
        <v>0.03</v>
      </c>
      <c r="D101" s="40" t="str">
        <f aca="false">IFERROR(INDEX(المكونات!$B$2:$B$500,MATCH($B101,المكونات!$A$2:$A$500,0)),"")</f>
        <v>كجم</v>
      </c>
      <c r="E101" s="41" t="n">
        <f aca="false">IFERROR(INDEX(المكونات!$C$2:$C$500,MATCH($B101,المكونات!$A$2:$A$500,0)),"")</f>
        <v>27</v>
      </c>
      <c r="F101" s="42" t="n">
        <f aca="false">IFERROR($C101*$E101,"")</f>
        <v>0.81</v>
      </c>
    </row>
    <row r="102" customFormat="false" ht="15" hidden="false" customHeight="true" outlineLevel="0" collapsed="false">
      <c r="A102" s="39" t="s">
        <v>445</v>
      </c>
      <c r="B102" s="39" t="s">
        <v>162</v>
      </c>
      <c r="C102" s="39" t="n">
        <v>0.03</v>
      </c>
      <c r="D102" s="40" t="str">
        <f aca="false">IFERROR(INDEX(المكونات!$B$2:$B$500,MATCH($B102,المكونات!$A$2:$A$500,0)),"")</f>
        <v>كجم</v>
      </c>
      <c r="E102" s="41" t="n">
        <f aca="false">IFERROR(INDEX(المكونات!$C$2:$C$500,MATCH($B102,المكونات!$A$2:$A$500,0)),"")</f>
        <v>95</v>
      </c>
      <c r="F102" s="42" t="n">
        <f aca="false">IFERROR($C102*$E102,"")</f>
        <v>2.85</v>
      </c>
    </row>
    <row r="103" customFormat="false" ht="15" hidden="false" customHeight="true" outlineLevel="0" collapsed="false">
      <c r="A103" s="39" t="s">
        <v>445</v>
      </c>
      <c r="B103" s="39" t="s">
        <v>108</v>
      </c>
      <c r="C103" s="39" t="n">
        <v>1</v>
      </c>
      <c r="D103" s="40" t="str">
        <f aca="false">IFERROR(INDEX(المكونات!$B$2:$B$500,MATCH($B103,المكونات!$A$2:$A$500,0)),"")</f>
        <v>قطعة</v>
      </c>
      <c r="E103" s="41" t="n">
        <f aca="false">IFERROR(INDEX(المكونات!$C$2:$C$500,MATCH($B103,المكونات!$A$2:$A$500,0)),"")</f>
        <v>26.4194</v>
      </c>
      <c r="F103" s="42" t="n">
        <f aca="false">IFERROR($C103*$E103,"")</f>
        <v>26.4194</v>
      </c>
    </row>
    <row r="104" customFormat="false" ht="15" hidden="false" customHeight="true" outlineLevel="0" collapsed="false">
      <c r="A104" s="39" t="s">
        <v>445</v>
      </c>
      <c r="B104" s="39" t="s">
        <v>204</v>
      </c>
      <c r="C104" s="39" t="n">
        <v>1</v>
      </c>
      <c r="D104" s="40" t="str">
        <f aca="false">IFERROR(INDEX(المكونات!$B$2:$B$500,MATCH($B104,المكونات!$A$2:$A$500,0)),"")</f>
        <v>قطعة</v>
      </c>
      <c r="E104" s="41" t="n">
        <f aca="false">IFERROR(INDEX(المكونات!$C$2:$C$500,MATCH($B104,المكونات!$A$2:$A$500,0)),"")</f>
        <v>5.5</v>
      </c>
      <c r="F104" s="42" t="n">
        <f aca="false">IFERROR($C104*$E104,"")</f>
        <v>5.5</v>
      </c>
    </row>
    <row r="105" customFormat="false" ht="15" hidden="false" customHeight="true" outlineLevel="0" collapsed="false">
      <c r="A105" s="39" t="s">
        <v>445</v>
      </c>
      <c r="B105" s="39" t="s">
        <v>225</v>
      </c>
      <c r="C105" s="39" t="n">
        <v>3</v>
      </c>
      <c r="D105" s="40" t="str">
        <f aca="false">IFERROR(INDEX(المكونات!$B$2:$B$500,MATCH($B105,المكونات!$A$2:$A$500,0)),"")</f>
        <v>قطعة</v>
      </c>
      <c r="E105" s="41" t="n">
        <f aca="false">IFERROR(INDEX(المكونات!$C$2:$C$500,MATCH($B105,المكونات!$A$2:$A$500,0)),"")</f>
        <v>0.3</v>
      </c>
      <c r="F105" s="42" t="n">
        <f aca="false">IFERROR($C105*$E105,"")</f>
        <v>0.9</v>
      </c>
    </row>
    <row r="106" customFormat="false" ht="15" hidden="false" customHeight="true" outlineLevel="0" collapsed="false">
      <c r="A106" s="39" t="s">
        <v>445</v>
      </c>
      <c r="B106" s="39" t="s">
        <v>254</v>
      </c>
      <c r="C106" s="39" t="n">
        <v>1</v>
      </c>
      <c r="D106" s="40" t="str">
        <f aca="false">IFERROR(INDEX(المكونات!$B$2:$B$500,MATCH($B106,المكونات!$A$2:$A$500,0)),"")</f>
        <v>قطعة (ورقة)</v>
      </c>
      <c r="E106" s="41" t="n">
        <f aca="false">IFERROR(INDEX(المكونات!$C$2:$C$500,MATCH($B106,المكونات!$A$2:$A$500,0)),"")</f>
        <v>0.3665</v>
      </c>
      <c r="F106" s="42" t="n">
        <f aca="false">IFERROR($C106*$E106,"")</f>
        <v>0.3665</v>
      </c>
    </row>
    <row r="107" customFormat="false" ht="15" hidden="false" customHeight="true" outlineLevel="0" collapsed="false">
      <c r="A107" s="39" t="s">
        <v>445</v>
      </c>
      <c r="B107" s="39" t="s">
        <v>67</v>
      </c>
      <c r="C107" s="39" t="n">
        <v>1</v>
      </c>
      <c r="D107" s="40" t="str">
        <f aca="false">IFERROR(INDEX(المكونات!$B$2:$B$500,MATCH($B107,المكونات!$A$2:$A$500,0)),"")</f>
        <v>قطعة (كيس)</v>
      </c>
      <c r="E107" s="41" t="n">
        <f aca="false">IFERROR(INDEX(المكونات!$C$2:$C$500,MATCH($B107,المكونات!$A$2:$A$500,0)),"")</f>
        <v>1.4</v>
      </c>
      <c r="F107" s="42" t="n">
        <f aca="false">IFERROR($C107*$E107,"")</f>
        <v>1.4</v>
      </c>
    </row>
    <row r="108" customFormat="false" ht="15" hidden="false" customHeight="true" outlineLevel="0" collapsed="false">
      <c r="A108" s="39" t="s">
        <v>445</v>
      </c>
      <c r="B108" s="39" t="s">
        <v>228</v>
      </c>
      <c r="C108" s="39" t="n">
        <v>1</v>
      </c>
      <c r="D108" s="40" t="str">
        <f aca="false">IFERROR(INDEX(المكونات!$B$2:$B$500,MATCH($B108,المكونات!$A$2:$A$500,0)),"")</f>
        <v>قطعة</v>
      </c>
      <c r="E108" s="41" t="n">
        <f aca="false">IFERROR(INDEX(المكونات!$C$2:$C$500,MATCH($B108,المكونات!$A$2:$A$500,0)),"")</f>
        <v>0.5</v>
      </c>
      <c r="F108" s="42" t="n">
        <f aca="false">IFERROR($C108*$E108,"")</f>
        <v>0.5</v>
      </c>
    </row>
    <row r="109" customFormat="false" ht="15" hidden="false" customHeight="true" outlineLevel="0" collapsed="false">
      <c r="A109" s="39" t="s">
        <v>445</v>
      </c>
      <c r="B109" s="39" t="s">
        <v>145</v>
      </c>
      <c r="C109" s="39" t="n">
        <v>2</v>
      </c>
      <c r="D109" s="40" t="str">
        <f aca="false">IFERROR(INDEX(المكونات!$B$2:$B$500,MATCH($B109,المكونات!$A$2:$A$500,0)),"")</f>
        <v>قطعة (جلفز)</v>
      </c>
      <c r="E109" s="41" t="n">
        <f aca="false">IFERROR(INDEX(المكونات!$C$2:$C$500,MATCH($B109,المكونات!$A$2:$A$500,0)),"")</f>
        <v>0.18</v>
      </c>
      <c r="F109" s="42" t="n">
        <f aca="false">IFERROR($C109*$E109,"")</f>
        <v>0.36</v>
      </c>
    </row>
    <row r="110" customFormat="false" ht="15" hidden="false" customHeight="true" outlineLevel="0" collapsed="false">
      <c r="A110" s="39" t="s">
        <v>445</v>
      </c>
      <c r="B110" s="39" t="s">
        <v>257</v>
      </c>
      <c r="C110" s="39" t="n">
        <v>1</v>
      </c>
      <c r="D110" s="40" t="str">
        <f aca="false">IFERROR(INDEX(المكونات!$B$2:$B$500,MATCH($B110,المكونات!$A$2:$A$500,0)),"")</f>
        <v>قطعة (كيس)</v>
      </c>
      <c r="E110" s="41" t="n">
        <f aca="false">IFERROR(INDEX(المكونات!$C$2:$C$500,MATCH($B110,المكونات!$A$2:$A$500,0)),"")</f>
        <v>0.9995</v>
      </c>
      <c r="F110" s="42" t="n">
        <f aca="false">IFERROR($C110*$E110,"")</f>
        <v>0.9995</v>
      </c>
    </row>
    <row r="111" customFormat="false" ht="15" hidden="false" customHeight="true" outlineLevel="0" collapsed="false">
      <c r="A111" s="39" t="s">
        <v>445</v>
      </c>
      <c r="B111" s="39" t="s">
        <v>90</v>
      </c>
      <c r="C111" s="39" t="n">
        <v>1.5</v>
      </c>
      <c r="D111" s="40" t="str">
        <f aca="false">IFERROR(INDEX(المكونات!$B$2:$B$500,MATCH($B111,المكونات!$A$2:$A$500,0)),"")</f>
        <v>قطعة</v>
      </c>
      <c r="E111" s="41" t="n">
        <f aca="false">IFERROR(INDEX(المكونات!$C$2:$C$500,MATCH($B111,المكونات!$A$2:$A$500,0)),"")</f>
        <v>27.1442</v>
      </c>
      <c r="F111" s="42" t="n">
        <f aca="false">IFERROR($C111*$E111,"")</f>
        <v>40.7163</v>
      </c>
    </row>
    <row r="112" customFormat="false" ht="15" hidden="false" customHeight="true" outlineLevel="0" collapsed="false">
      <c r="A112" s="39" t="s">
        <v>402</v>
      </c>
      <c r="B112" s="39" t="s">
        <v>198</v>
      </c>
      <c r="C112" s="39" t="n">
        <v>0.22</v>
      </c>
      <c r="D112" s="40" t="str">
        <f aca="false">IFERROR(INDEX(المكونات!$B$2:$B$500,MATCH($B112,المكونات!$A$2:$A$500,0)),"")</f>
        <v>كجم</v>
      </c>
      <c r="E112" s="41" t="n">
        <f aca="false">IFERROR(INDEX(المكونات!$C$2:$C$500,MATCH($B112,المكونات!$A$2:$A$500,0)),"")</f>
        <v>22</v>
      </c>
      <c r="F112" s="42" t="n">
        <f aca="false">IFERROR($C112*$E112,"")</f>
        <v>4.84</v>
      </c>
    </row>
    <row r="113" customFormat="false" ht="15" hidden="false" customHeight="true" outlineLevel="0" collapsed="false">
      <c r="A113" s="39" t="s">
        <v>402</v>
      </c>
      <c r="B113" s="39" t="s">
        <v>186</v>
      </c>
      <c r="C113" s="39" t="n">
        <v>0.04</v>
      </c>
      <c r="D113" s="40" t="str">
        <f aca="false">IFERROR(INDEX(المكونات!$B$2:$B$500,MATCH($B113,المكونات!$A$2:$A$500,0)),"")</f>
        <v>كجم</v>
      </c>
      <c r="E113" s="41" t="n">
        <f aca="false">IFERROR(INDEX(المكونات!$C$2:$C$500,MATCH($B113,المكونات!$A$2:$A$500,0)),"")</f>
        <v>32</v>
      </c>
      <c r="F113" s="42" t="n">
        <f aca="false">IFERROR($C113*$E113,"")</f>
        <v>1.28</v>
      </c>
    </row>
    <row r="114" customFormat="false" ht="15" hidden="false" customHeight="true" outlineLevel="0" collapsed="false">
      <c r="A114" s="39" t="s">
        <v>402</v>
      </c>
      <c r="B114" s="39" t="s">
        <v>196</v>
      </c>
      <c r="C114" s="39" t="n">
        <v>0.03</v>
      </c>
      <c r="D114" s="40" t="str">
        <f aca="false">IFERROR(INDEX(المكونات!$B$2:$B$500,MATCH($B114,المكونات!$A$2:$A$500,0)),"")</f>
        <v>كجم</v>
      </c>
      <c r="E114" s="41" t="n">
        <f aca="false">IFERROR(INDEX(المكونات!$C$2:$C$500,MATCH($B114,المكونات!$A$2:$A$500,0)),"")</f>
        <v>21</v>
      </c>
      <c r="F114" s="42" t="n">
        <f aca="false">IFERROR($C114*$E114,"")</f>
        <v>0.63</v>
      </c>
    </row>
    <row r="115" customFormat="false" ht="15" hidden="false" customHeight="true" outlineLevel="0" collapsed="false">
      <c r="A115" s="39" t="s">
        <v>402</v>
      </c>
      <c r="B115" s="39" t="s">
        <v>219</v>
      </c>
      <c r="C115" s="39" t="n">
        <v>0.02</v>
      </c>
      <c r="D115" s="40" t="str">
        <f aca="false">IFERROR(INDEX(المكونات!$B$2:$B$500,MATCH($B115,المكونات!$A$2:$A$500,0)),"")</f>
        <v>كجم</v>
      </c>
      <c r="E115" s="41" t="n">
        <f aca="false">IFERROR(INDEX(المكونات!$C$2:$C$500,MATCH($B115,المكونات!$A$2:$A$500,0)),"")</f>
        <v>27</v>
      </c>
      <c r="F115" s="42" t="n">
        <f aca="false">IFERROR($C115*$E115,"")</f>
        <v>0.54</v>
      </c>
    </row>
    <row r="116" customFormat="false" ht="15" hidden="false" customHeight="true" outlineLevel="0" collapsed="false">
      <c r="A116" s="39" t="s">
        <v>402</v>
      </c>
      <c r="B116" s="39" t="s">
        <v>162</v>
      </c>
      <c r="C116" s="39" t="n">
        <v>0.02</v>
      </c>
      <c r="D116" s="40" t="str">
        <f aca="false">IFERROR(INDEX(المكونات!$B$2:$B$500,MATCH($B116,المكونات!$A$2:$A$500,0)),"")</f>
        <v>كجم</v>
      </c>
      <c r="E116" s="41" t="n">
        <f aca="false">IFERROR(INDEX(المكونات!$C$2:$C$500,MATCH($B116,المكونات!$A$2:$A$500,0)),"")</f>
        <v>95</v>
      </c>
      <c r="F116" s="42" t="n">
        <f aca="false">IFERROR($C116*$E116,"")</f>
        <v>1.9</v>
      </c>
    </row>
    <row r="117" customFormat="false" ht="15" hidden="false" customHeight="true" outlineLevel="0" collapsed="false">
      <c r="A117" s="39" t="s">
        <v>402</v>
      </c>
      <c r="B117" s="39" t="s">
        <v>106</v>
      </c>
      <c r="C117" s="39" t="n">
        <v>1</v>
      </c>
      <c r="D117" s="40" t="str">
        <f aca="false">IFERROR(INDEX(المكونات!$B$2:$B$500,MATCH($B117,المكونات!$A$2:$A$500,0)),"")</f>
        <v>قطعة</v>
      </c>
      <c r="E117" s="41" t="n">
        <f aca="false">IFERROR(INDEX(المكونات!$C$2:$C$500,MATCH($B117,المكونات!$A$2:$A$500,0)),"")</f>
        <v>20</v>
      </c>
      <c r="F117" s="42" t="n">
        <f aca="false">IFERROR($C117*$E117,"")</f>
        <v>20</v>
      </c>
    </row>
    <row r="118" customFormat="false" ht="15" hidden="false" customHeight="true" outlineLevel="0" collapsed="false">
      <c r="A118" s="39" t="s">
        <v>402</v>
      </c>
      <c r="B118" s="39" t="s">
        <v>206</v>
      </c>
      <c r="C118" s="39" t="n">
        <v>1</v>
      </c>
      <c r="D118" s="40" t="str">
        <f aca="false">IFERROR(INDEX(المكونات!$B$2:$B$500,MATCH($B118,المكونات!$A$2:$A$500,0)),"")</f>
        <v>قطعة</v>
      </c>
      <c r="E118" s="41" t="n">
        <f aca="false">IFERROR(INDEX(المكونات!$C$2:$C$500,MATCH($B118,المكونات!$A$2:$A$500,0)),"")</f>
        <v>4.5</v>
      </c>
      <c r="F118" s="42" t="n">
        <f aca="false">IFERROR($C118*$E118,"")</f>
        <v>4.5</v>
      </c>
    </row>
    <row r="119" customFormat="false" ht="15" hidden="false" customHeight="true" outlineLevel="0" collapsed="false">
      <c r="A119" s="39" t="s">
        <v>402</v>
      </c>
      <c r="B119" s="39" t="s">
        <v>225</v>
      </c>
      <c r="C119" s="39" t="n">
        <v>2</v>
      </c>
      <c r="D119" s="40" t="str">
        <f aca="false">IFERROR(INDEX(المكونات!$B$2:$B$500,MATCH($B119,المكونات!$A$2:$A$500,0)),"")</f>
        <v>قطعة</v>
      </c>
      <c r="E119" s="41" t="n">
        <f aca="false">IFERROR(INDEX(المكونات!$C$2:$C$500,MATCH($B119,المكونات!$A$2:$A$500,0)),"")</f>
        <v>0.3</v>
      </c>
      <c r="F119" s="42" t="n">
        <f aca="false">IFERROR($C119*$E119,"")</f>
        <v>0.6</v>
      </c>
    </row>
    <row r="120" customFormat="false" ht="15" hidden="false" customHeight="true" outlineLevel="0" collapsed="false">
      <c r="A120" s="39" t="s">
        <v>402</v>
      </c>
      <c r="B120" s="39" t="s">
        <v>254</v>
      </c>
      <c r="C120" s="39" t="n">
        <v>1</v>
      </c>
      <c r="D120" s="40" t="str">
        <f aca="false">IFERROR(INDEX(المكونات!$B$2:$B$500,MATCH($B120,المكونات!$A$2:$A$500,0)),"")</f>
        <v>قطعة (ورقة)</v>
      </c>
      <c r="E120" s="41" t="n">
        <f aca="false">IFERROR(INDEX(المكونات!$C$2:$C$500,MATCH($B120,المكونات!$A$2:$A$500,0)),"")</f>
        <v>0.3665</v>
      </c>
      <c r="F120" s="42" t="n">
        <f aca="false">IFERROR($C120*$E120,"")</f>
        <v>0.3665</v>
      </c>
    </row>
    <row r="121" customFormat="false" ht="15" hidden="false" customHeight="true" outlineLevel="0" collapsed="false">
      <c r="A121" s="39" t="s">
        <v>402</v>
      </c>
      <c r="B121" s="39" t="s">
        <v>67</v>
      </c>
      <c r="C121" s="39" t="n">
        <v>1</v>
      </c>
      <c r="D121" s="40" t="str">
        <f aca="false">IFERROR(INDEX(المكونات!$B$2:$B$500,MATCH($B121,المكونات!$A$2:$A$500,0)),"")</f>
        <v>قطعة (كيس)</v>
      </c>
      <c r="E121" s="41" t="n">
        <f aca="false">IFERROR(INDEX(المكونات!$C$2:$C$500,MATCH($B121,المكونات!$A$2:$A$500,0)),"")</f>
        <v>1.4</v>
      </c>
      <c r="F121" s="42" t="n">
        <f aca="false">IFERROR($C121*$E121,"")</f>
        <v>1.4</v>
      </c>
    </row>
    <row r="122" customFormat="false" ht="15" hidden="false" customHeight="true" outlineLevel="0" collapsed="false">
      <c r="A122" s="39" t="s">
        <v>402</v>
      </c>
      <c r="B122" s="39" t="s">
        <v>228</v>
      </c>
      <c r="C122" s="39" t="n">
        <v>1</v>
      </c>
      <c r="D122" s="40" t="str">
        <f aca="false">IFERROR(INDEX(المكونات!$B$2:$B$500,MATCH($B122,المكونات!$A$2:$A$500,0)),"")</f>
        <v>قطعة</v>
      </c>
      <c r="E122" s="41" t="n">
        <f aca="false">IFERROR(INDEX(المكونات!$C$2:$C$500,MATCH($B122,المكونات!$A$2:$A$500,0)),"")</f>
        <v>0.5</v>
      </c>
      <c r="F122" s="42" t="n">
        <f aca="false">IFERROR($C122*$E122,"")</f>
        <v>0.5</v>
      </c>
    </row>
    <row r="123" customFormat="false" ht="15" hidden="false" customHeight="true" outlineLevel="0" collapsed="false">
      <c r="A123" s="39" t="s">
        <v>402</v>
      </c>
      <c r="B123" s="39" t="s">
        <v>145</v>
      </c>
      <c r="C123" s="39" t="n">
        <v>2</v>
      </c>
      <c r="D123" s="40" t="str">
        <f aca="false">IFERROR(INDEX(المكونات!$B$2:$B$500,MATCH($B123,المكونات!$A$2:$A$500,0)),"")</f>
        <v>قطعة (جلفز)</v>
      </c>
      <c r="E123" s="41" t="n">
        <f aca="false">IFERROR(INDEX(المكونات!$C$2:$C$500,MATCH($B123,المكونات!$A$2:$A$500,0)),"")</f>
        <v>0.18</v>
      </c>
      <c r="F123" s="42" t="n">
        <f aca="false">IFERROR($C123*$E123,"")</f>
        <v>0.36</v>
      </c>
    </row>
    <row r="124" customFormat="false" ht="15" hidden="false" customHeight="true" outlineLevel="0" collapsed="false">
      <c r="A124" s="39" t="s">
        <v>402</v>
      </c>
      <c r="B124" s="39" t="s">
        <v>257</v>
      </c>
      <c r="C124" s="39" t="n">
        <v>1</v>
      </c>
      <c r="D124" s="40" t="str">
        <f aca="false">IFERROR(INDEX(المكونات!$B$2:$B$500,MATCH($B124,المكونات!$A$2:$A$500,0)),"")</f>
        <v>قطعة (كيس)</v>
      </c>
      <c r="E124" s="41" t="n">
        <f aca="false">IFERROR(INDEX(المكونات!$C$2:$C$500,MATCH($B124,المكونات!$A$2:$A$500,0)),"")</f>
        <v>0.9995</v>
      </c>
      <c r="F124" s="42" t="n">
        <f aca="false">IFERROR($C124*$E124,"")</f>
        <v>0.9995</v>
      </c>
    </row>
    <row r="125" customFormat="false" ht="15" hidden="false" customHeight="true" outlineLevel="0" collapsed="false">
      <c r="A125" s="39" t="s">
        <v>402</v>
      </c>
      <c r="B125" s="39" t="s">
        <v>82</v>
      </c>
      <c r="C125" s="39" t="n">
        <v>1</v>
      </c>
      <c r="D125" s="40" t="str">
        <f aca="false">IFERROR(INDEX(المكونات!$B$2:$B$500,MATCH($B125,المكونات!$A$2:$A$500,0)),"")</f>
        <v>قطعة</v>
      </c>
      <c r="E125" s="41" t="n">
        <f aca="false">IFERROR(INDEX(المكونات!$C$2:$C$500,MATCH($B125,المكونات!$A$2:$A$500,0)),"")</f>
        <v>9</v>
      </c>
      <c r="F125" s="42" t="n">
        <f aca="false">IFERROR($C125*$E125,"")</f>
        <v>9</v>
      </c>
    </row>
    <row r="126" customFormat="false" ht="15" hidden="false" customHeight="true" outlineLevel="0" collapsed="false">
      <c r="A126" s="39" t="s">
        <v>402</v>
      </c>
      <c r="B126" s="39" t="s">
        <v>223</v>
      </c>
      <c r="C126" s="39" t="n">
        <v>2</v>
      </c>
      <c r="D126" s="40" t="str">
        <f aca="false">IFERROR(INDEX(المكونات!$B$2:$B$500,MATCH($B126,المكونات!$A$2:$A$500,0)),"")</f>
        <v>قطعة</v>
      </c>
      <c r="E126" s="41" t="n">
        <f aca="false">IFERROR(INDEX(المكونات!$C$2:$C$500,MATCH($B126,المكونات!$A$2:$A$500,0)),"")</f>
        <v>7</v>
      </c>
      <c r="F126" s="42" t="n">
        <f aca="false">IFERROR($C126*$E126,"")</f>
        <v>14</v>
      </c>
    </row>
    <row r="127" customFormat="false" ht="15" hidden="false" customHeight="true" outlineLevel="0" collapsed="false">
      <c r="A127" s="39" t="s">
        <v>402</v>
      </c>
      <c r="B127" s="39" t="s">
        <v>194</v>
      </c>
      <c r="C127" s="39" t="n">
        <v>0.1</v>
      </c>
      <c r="D127" s="40" t="str">
        <f aca="false">IFERROR(INDEX(المكونات!$B$2:$B$500,MATCH($B127,المكونات!$A$2:$A$500,0)),"")</f>
        <v>كجم</v>
      </c>
      <c r="E127" s="41" t="n">
        <f aca="false">IFERROR(INDEX(المكونات!$C$2:$C$500,MATCH($B127,المكونات!$A$2:$A$500,0)),"")</f>
        <v>140</v>
      </c>
      <c r="F127" s="42" t="n">
        <f aca="false">IFERROR($C127*$E127,"")</f>
        <v>14</v>
      </c>
    </row>
    <row r="128" customFormat="false" ht="15" hidden="false" customHeight="true" outlineLevel="0" collapsed="false">
      <c r="A128" s="39" t="s">
        <v>399</v>
      </c>
      <c r="B128" s="39" t="s">
        <v>198</v>
      </c>
      <c r="C128" s="39" t="n">
        <v>0.3</v>
      </c>
      <c r="D128" s="40" t="str">
        <f aca="false">IFERROR(INDEX(المكونات!$B$2:$B$500,MATCH($B128,المكونات!$A$2:$A$500,0)),"")</f>
        <v>كجم</v>
      </c>
      <c r="E128" s="41" t="n">
        <f aca="false">IFERROR(INDEX(المكونات!$C$2:$C$500,MATCH($B128,المكونات!$A$2:$A$500,0)),"")</f>
        <v>22</v>
      </c>
      <c r="F128" s="42" t="n">
        <f aca="false">IFERROR($C128*$E128,"")</f>
        <v>6.6</v>
      </c>
    </row>
    <row r="129" customFormat="false" ht="15" hidden="false" customHeight="true" outlineLevel="0" collapsed="false">
      <c r="A129" s="39" t="s">
        <v>399</v>
      </c>
      <c r="B129" s="39" t="s">
        <v>186</v>
      </c>
      <c r="C129" s="39" t="n">
        <v>0.06</v>
      </c>
      <c r="D129" s="40" t="str">
        <f aca="false">IFERROR(INDEX(المكونات!$B$2:$B$500,MATCH($B129,المكونات!$A$2:$A$500,0)),"")</f>
        <v>كجم</v>
      </c>
      <c r="E129" s="41" t="n">
        <f aca="false">IFERROR(INDEX(المكونات!$C$2:$C$500,MATCH($B129,المكونات!$A$2:$A$500,0)),"")</f>
        <v>32</v>
      </c>
      <c r="F129" s="42" t="n">
        <f aca="false">IFERROR($C129*$E129,"")</f>
        <v>1.92</v>
      </c>
    </row>
    <row r="130" customFormat="false" ht="15" hidden="false" customHeight="true" outlineLevel="0" collapsed="false">
      <c r="A130" s="39" t="s">
        <v>399</v>
      </c>
      <c r="B130" s="39" t="s">
        <v>196</v>
      </c>
      <c r="C130" s="39" t="n">
        <v>0.045</v>
      </c>
      <c r="D130" s="40" t="str">
        <f aca="false">IFERROR(INDEX(المكونات!$B$2:$B$500,MATCH($B130,المكونات!$A$2:$A$500,0)),"")</f>
        <v>كجم</v>
      </c>
      <c r="E130" s="41" t="n">
        <f aca="false">IFERROR(INDEX(المكونات!$C$2:$C$500,MATCH($B130,المكونات!$A$2:$A$500,0)),"")</f>
        <v>21</v>
      </c>
      <c r="F130" s="42" t="n">
        <f aca="false">IFERROR($C130*$E130,"")</f>
        <v>0.945</v>
      </c>
    </row>
    <row r="131" customFormat="false" ht="15" hidden="false" customHeight="true" outlineLevel="0" collapsed="false">
      <c r="A131" s="39" t="s">
        <v>399</v>
      </c>
      <c r="B131" s="39" t="s">
        <v>219</v>
      </c>
      <c r="C131" s="39" t="n">
        <v>0.03</v>
      </c>
      <c r="D131" s="40" t="str">
        <f aca="false">IFERROR(INDEX(المكونات!$B$2:$B$500,MATCH($B131,المكونات!$A$2:$A$500,0)),"")</f>
        <v>كجم</v>
      </c>
      <c r="E131" s="41" t="n">
        <f aca="false">IFERROR(INDEX(المكونات!$C$2:$C$500,MATCH($B131,المكونات!$A$2:$A$500,0)),"")</f>
        <v>27</v>
      </c>
      <c r="F131" s="42" t="n">
        <f aca="false">IFERROR($C131*$E131,"")</f>
        <v>0.81</v>
      </c>
    </row>
    <row r="132" customFormat="false" ht="15" hidden="false" customHeight="true" outlineLevel="0" collapsed="false">
      <c r="A132" s="39" t="s">
        <v>399</v>
      </c>
      <c r="B132" s="39" t="s">
        <v>162</v>
      </c>
      <c r="C132" s="39" t="n">
        <v>0.03</v>
      </c>
      <c r="D132" s="40" t="str">
        <f aca="false">IFERROR(INDEX(المكونات!$B$2:$B$500,MATCH($B132,المكونات!$A$2:$A$500,0)),"")</f>
        <v>كجم</v>
      </c>
      <c r="E132" s="41" t="n">
        <f aca="false">IFERROR(INDEX(المكونات!$C$2:$C$500,MATCH($B132,المكونات!$A$2:$A$500,0)),"")</f>
        <v>95</v>
      </c>
      <c r="F132" s="42" t="n">
        <f aca="false">IFERROR($C132*$E132,"")</f>
        <v>2.85</v>
      </c>
    </row>
    <row r="133" customFormat="false" ht="15" hidden="false" customHeight="true" outlineLevel="0" collapsed="false">
      <c r="A133" s="39" t="s">
        <v>399</v>
      </c>
      <c r="B133" s="39" t="s">
        <v>108</v>
      </c>
      <c r="C133" s="39" t="n">
        <v>1</v>
      </c>
      <c r="D133" s="40" t="str">
        <f aca="false">IFERROR(INDEX(المكونات!$B$2:$B$500,MATCH($B133,المكونات!$A$2:$A$500,0)),"")</f>
        <v>قطعة</v>
      </c>
      <c r="E133" s="41" t="n">
        <f aca="false">IFERROR(INDEX(المكونات!$C$2:$C$500,MATCH($B133,المكونات!$A$2:$A$500,0)),"")</f>
        <v>26.4194</v>
      </c>
      <c r="F133" s="42" t="n">
        <f aca="false">IFERROR($C133*$E133,"")</f>
        <v>26.4194</v>
      </c>
    </row>
    <row r="134" customFormat="false" ht="15" hidden="false" customHeight="true" outlineLevel="0" collapsed="false">
      <c r="A134" s="39" t="s">
        <v>399</v>
      </c>
      <c r="B134" s="39" t="s">
        <v>204</v>
      </c>
      <c r="C134" s="39" t="n">
        <v>1</v>
      </c>
      <c r="D134" s="40" t="str">
        <f aca="false">IFERROR(INDEX(المكونات!$B$2:$B$500,MATCH($B134,المكونات!$A$2:$A$500,0)),"")</f>
        <v>قطعة</v>
      </c>
      <c r="E134" s="41" t="n">
        <f aca="false">IFERROR(INDEX(المكونات!$C$2:$C$500,MATCH($B134,المكونات!$A$2:$A$500,0)),"")</f>
        <v>5.5</v>
      </c>
      <c r="F134" s="42" t="n">
        <f aca="false">IFERROR($C134*$E134,"")</f>
        <v>5.5</v>
      </c>
    </row>
    <row r="135" customFormat="false" ht="15" hidden="false" customHeight="true" outlineLevel="0" collapsed="false">
      <c r="A135" s="39" t="s">
        <v>399</v>
      </c>
      <c r="B135" s="39" t="s">
        <v>225</v>
      </c>
      <c r="C135" s="39" t="n">
        <v>3</v>
      </c>
      <c r="D135" s="40" t="str">
        <f aca="false">IFERROR(INDEX(المكونات!$B$2:$B$500,MATCH($B135,المكونات!$A$2:$A$500,0)),"")</f>
        <v>قطعة</v>
      </c>
      <c r="E135" s="41" t="n">
        <f aca="false">IFERROR(INDEX(المكونات!$C$2:$C$500,MATCH($B135,المكونات!$A$2:$A$500,0)),"")</f>
        <v>0.3</v>
      </c>
      <c r="F135" s="42" t="n">
        <f aca="false">IFERROR($C135*$E135,"")</f>
        <v>0.9</v>
      </c>
    </row>
    <row r="136" customFormat="false" ht="15" hidden="false" customHeight="true" outlineLevel="0" collapsed="false">
      <c r="A136" s="39" t="s">
        <v>399</v>
      </c>
      <c r="B136" s="39" t="s">
        <v>254</v>
      </c>
      <c r="C136" s="39" t="n">
        <v>1</v>
      </c>
      <c r="D136" s="40" t="str">
        <f aca="false">IFERROR(INDEX(المكونات!$B$2:$B$500,MATCH($B136,المكونات!$A$2:$A$500,0)),"")</f>
        <v>قطعة (ورقة)</v>
      </c>
      <c r="E136" s="41" t="n">
        <f aca="false">IFERROR(INDEX(المكونات!$C$2:$C$500,MATCH($B136,المكونات!$A$2:$A$500,0)),"")</f>
        <v>0.3665</v>
      </c>
      <c r="F136" s="42" t="n">
        <f aca="false">IFERROR($C136*$E136,"")</f>
        <v>0.3665</v>
      </c>
    </row>
    <row r="137" customFormat="false" ht="15" hidden="false" customHeight="true" outlineLevel="0" collapsed="false">
      <c r="A137" s="39" t="s">
        <v>399</v>
      </c>
      <c r="B137" s="39" t="s">
        <v>67</v>
      </c>
      <c r="C137" s="39" t="n">
        <v>1</v>
      </c>
      <c r="D137" s="40" t="str">
        <f aca="false">IFERROR(INDEX(المكونات!$B$2:$B$500,MATCH($B137,المكونات!$A$2:$A$500,0)),"")</f>
        <v>قطعة (كيس)</v>
      </c>
      <c r="E137" s="41" t="n">
        <f aca="false">IFERROR(INDEX(المكونات!$C$2:$C$500,MATCH($B137,المكونات!$A$2:$A$500,0)),"")</f>
        <v>1.4</v>
      </c>
      <c r="F137" s="42" t="n">
        <f aca="false">IFERROR($C137*$E137,"")</f>
        <v>1.4</v>
      </c>
    </row>
    <row r="138" customFormat="false" ht="15" hidden="false" customHeight="true" outlineLevel="0" collapsed="false">
      <c r="A138" s="39" t="s">
        <v>399</v>
      </c>
      <c r="B138" s="39" t="s">
        <v>228</v>
      </c>
      <c r="C138" s="39" t="n">
        <v>1</v>
      </c>
      <c r="D138" s="40" t="str">
        <f aca="false">IFERROR(INDEX(المكونات!$B$2:$B$500,MATCH($B138,المكونات!$A$2:$A$500,0)),"")</f>
        <v>قطعة</v>
      </c>
      <c r="E138" s="41" t="n">
        <f aca="false">IFERROR(INDEX(المكونات!$C$2:$C$500,MATCH($B138,المكونات!$A$2:$A$500,0)),"")</f>
        <v>0.5</v>
      </c>
      <c r="F138" s="42" t="n">
        <f aca="false">IFERROR($C138*$E138,"")</f>
        <v>0.5</v>
      </c>
    </row>
    <row r="139" customFormat="false" ht="15" hidden="false" customHeight="true" outlineLevel="0" collapsed="false">
      <c r="A139" s="39" t="s">
        <v>399</v>
      </c>
      <c r="B139" s="39" t="s">
        <v>145</v>
      </c>
      <c r="C139" s="39" t="n">
        <v>2</v>
      </c>
      <c r="D139" s="40" t="str">
        <f aca="false">IFERROR(INDEX(المكونات!$B$2:$B$500,MATCH($B139,المكونات!$A$2:$A$500,0)),"")</f>
        <v>قطعة (جلفز)</v>
      </c>
      <c r="E139" s="41" t="n">
        <f aca="false">IFERROR(INDEX(المكونات!$C$2:$C$500,MATCH($B139,المكونات!$A$2:$A$500,0)),"")</f>
        <v>0.18</v>
      </c>
      <c r="F139" s="42" t="n">
        <f aca="false">IFERROR($C139*$E139,"")</f>
        <v>0.36</v>
      </c>
    </row>
    <row r="140" customFormat="false" ht="15" hidden="false" customHeight="true" outlineLevel="0" collapsed="false">
      <c r="A140" s="39" t="s">
        <v>399</v>
      </c>
      <c r="B140" s="39" t="s">
        <v>257</v>
      </c>
      <c r="C140" s="39" t="n">
        <v>1</v>
      </c>
      <c r="D140" s="40" t="str">
        <f aca="false">IFERROR(INDEX(المكونات!$B$2:$B$500,MATCH($B140,المكونات!$A$2:$A$500,0)),"")</f>
        <v>قطعة (كيس)</v>
      </c>
      <c r="E140" s="41" t="n">
        <f aca="false">IFERROR(INDEX(المكونات!$C$2:$C$500,MATCH($B140,المكونات!$A$2:$A$500,0)),"")</f>
        <v>0.9995</v>
      </c>
      <c r="F140" s="42" t="n">
        <f aca="false">IFERROR($C140*$E140,"")</f>
        <v>0.9995</v>
      </c>
    </row>
    <row r="141" customFormat="false" ht="15" hidden="false" customHeight="true" outlineLevel="0" collapsed="false">
      <c r="A141" s="39" t="s">
        <v>399</v>
      </c>
      <c r="B141" s="39" t="s">
        <v>82</v>
      </c>
      <c r="C141" s="39" t="n">
        <v>1.5</v>
      </c>
      <c r="D141" s="40" t="str">
        <f aca="false">IFERROR(INDEX(المكونات!$B$2:$B$500,MATCH($B141,المكونات!$A$2:$A$500,0)),"")</f>
        <v>قطعة</v>
      </c>
      <c r="E141" s="41" t="n">
        <f aca="false">IFERROR(INDEX(المكونات!$C$2:$C$500,MATCH($B141,المكونات!$A$2:$A$500,0)),"")</f>
        <v>9</v>
      </c>
      <c r="F141" s="42" t="n">
        <f aca="false">IFERROR($C141*$E141,"")</f>
        <v>13.5</v>
      </c>
    </row>
    <row r="142" customFormat="false" ht="15" hidden="false" customHeight="true" outlineLevel="0" collapsed="false">
      <c r="A142" s="39" t="s">
        <v>399</v>
      </c>
      <c r="B142" s="39" t="s">
        <v>223</v>
      </c>
      <c r="C142" s="39" t="n">
        <v>3</v>
      </c>
      <c r="D142" s="40" t="str">
        <f aca="false">IFERROR(INDEX(المكونات!$B$2:$B$500,MATCH($B142,المكونات!$A$2:$A$500,0)),"")</f>
        <v>قطعة</v>
      </c>
      <c r="E142" s="41" t="n">
        <f aca="false">IFERROR(INDEX(المكونات!$C$2:$C$500,MATCH($B142,المكونات!$A$2:$A$500,0)),"")</f>
        <v>7</v>
      </c>
      <c r="F142" s="42" t="n">
        <f aca="false">IFERROR($C142*$E142,"")</f>
        <v>21</v>
      </c>
    </row>
    <row r="143" customFormat="false" ht="15" hidden="false" customHeight="true" outlineLevel="0" collapsed="false">
      <c r="A143" s="39" t="s">
        <v>399</v>
      </c>
      <c r="B143" s="39" t="s">
        <v>194</v>
      </c>
      <c r="C143" s="39" t="n">
        <v>0.15</v>
      </c>
      <c r="D143" s="40" t="str">
        <f aca="false">IFERROR(INDEX(المكونات!$B$2:$B$500,MATCH($B143,المكونات!$A$2:$A$500,0)),"")</f>
        <v>كجم</v>
      </c>
      <c r="E143" s="41" t="n">
        <f aca="false">IFERROR(INDEX(المكونات!$C$2:$C$500,MATCH($B143,المكونات!$A$2:$A$500,0)),"")</f>
        <v>140</v>
      </c>
      <c r="F143" s="42" t="n">
        <f aca="false">IFERROR($C143*$E143,"")</f>
        <v>21</v>
      </c>
    </row>
    <row r="144" customFormat="false" ht="15" hidden="false" customHeight="true" outlineLevel="0" collapsed="false">
      <c r="A144" s="39" t="s">
        <v>414</v>
      </c>
      <c r="B144" s="39" t="s">
        <v>198</v>
      </c>
      <c r="C144" s="39" t="n">
        <v>0.22</v>
      </c>
      <c r="D144" s="40" t="str">
        <f aca="false">IFERROR(INDEX(المكونات!$B$2:$B$500,MATCH($B144,المكونات!$A$2:$A$500,0)),"")</f>
        <v>كجم</v>
      </c>
      <c r="E144" s="41" t="n">
        <f aca="false">IFERROR(INDEX(المكونات!$C$2:$C$500,MATCH($B144,المكونات!$A$2:$A$500,0)),"")</f>
        <v>22</v>
      </c>
      <c r="F144" s="42" t="n">
        <f aca="false">IFERROR($C144*$E144,"")</f>
        <v>4.84</v>
      </c>
    </row>
    <row r="145" customFormat="false" ht="15" hidden="false" customHeight="true" outlineLevel="0" collapsed="false">
      <c r="A145" s="39" t="s">
        <v>414</v>
      </c>
      <c r="B145" s="39" t="s">
        <v>186</v>
      </c>
      <c r="C145" s="39" t="n">
        <v>0.04</v>
      </c>
      <c r="D145" s="40" t="str">
        <f aca="false">IFERROR(INDEX(المكونات!$B$2:$B$500,MATCH($B145,المكونات!$A$2:$A$500,0)),"")</f>
        <v>كجم</v>
      </c>
      <c r="E145" s="41" t="n">
        <f aca="false">IFERROR(INDEX(المكونات!$C$2:$C$500,MATCH($B145,المكونات!$A$2:$A$500,0)),"")</f>
        <v>32</v>
      </c>
      <c r="F145" s="42" t="n">
        <f aca="false">IFERROR($C145*$E145,"")</f>
        <v>1.28</v>
      </c>
    </row>
    <row r="146" customFormat="false" ht="15" hidden="false" customHeight="true" outlineLevel="0" collapsed="false">
      <c r="A146" s="39" t="s">
        <v>414</v>
      </c>
      <c r="B146" s="39" t="s">
        <v>196</v>
      </c>
      <c r="C146" s="39" t="n">
        <v>0.03</v>
      </c>
      <c r="D146" s="40" t="str">
        <f aca="false">IFERROR(INDEX(المكونات!$B$2:$B$500,MATCH($B146,المكونات!$A$2:$A$500,0)),"")</f>
        <v>كجم</v>
      </c>
      <c r="E146" s="41" t="n">
        <f aca="false">IFERROR(INDEX(المكونات!$C$2:$C$500,MATCH($B146,المكونات!$A$2:$A$500,0)),"")</f>
        <v>21</v>
      </c>
      <c r="F146" s="42" t="n">
        <f aca="false">IFERROR($C146*$E146,"")</f>
        <v>0.63</v>
      </c>
    </row>
    <row r="147" customFormat="false" ht="15" hidden="false" customHeight="true" outlineLevel="0" collapsed="false">
      <c r="A147" s="39" t="s">
        <v>414</v>
      </c>
      <c r="B147" s="39" t="s">
        <v>219</v>
      </c>
      <c r="C147" s="39" t="n">
        <v>0.02</v>
      </c>
      <c r="D147" s="40" t="str">
        <f aca="false">IFERROR(INDEX(المكونات!$B$2:$B$500,MATCH($B147,المكونات!$A$2:$A$500,0)),"")</f>
        <v>كجم</v>
      </c>
      <c r="E147" s="41" t="n">
        <f aca="false">IFERROR(INDEX(المكونات!$C$2:$C$500,MATCH($B147,المكونات!$A$2:$A$500,0)),"")</f>
        <v>27</v>
      </c>
      <c r="F147" s="42" t="n">
        <f aca="false">IFERROR($C147*$E147,"")</f>
        <v>0.54</v>
      </c>
    </row>
    <row r="148" customFormat="false" ht="15" hidden="false" customHeight="true" outlineLevel="0" collapsed="false">
      <c r="A148" s="39" t="s">
        <v>414</v>
      </c>
      <c r="B148" s="39" t="s">
        <v>162</v>
      </c>
      <c r="C148" s="39" t="n">
        <v>0.02</v>
      </c>
      <c r="D148" s="40" t="str">
        <f aca="false">IFERROR(INDEX(المكونات!$B$2:$B$500,MATCH($B148,المكونات!$A$2:$A$500,0)),"")</f>
        <v>كجم</v>
      </c>
      <c r="E148" s="41" t="n">
        <f aca="false">IFERROR(INDEX(المكونات!$C$2:$C$500,MATCH($B148,المكونات!$A$2:$A$500,0)),"")</f>
        <v>95</v>
      </c>
      <c r="F148" s="42" t="n">
        <f aca="false">IFERROR($C148*$E148,"")</f>
        <v>1.9</v>
      </c>
    </row>
    <row r="149" customFormat="false" ht="15" hidden="false" customHeight="true" outlineLevel="0" collapsed="false">
      <c r="A149" s="39" t="s">
        <v>414</v>
      </c>
      <c r="B149" s="39" t="s">
        <v>106</v>
      </c>
      <c r="C149" s="39" t="n">
        <v>1</v>
      </c>
      <c r="D149" s="40" t="str">
        <f aca="false">IFERROR(INDEX(المكونات!$B$2:$B$500,MATCH($B149,المكونات!$A$2:$A$500,0)),"")</f>
        <v>قطعة</v>
      </c>
      <c r="E149" s="41" t="n">
        <f aca="false">IFERROR(INDEX(المكونات!$C$2:$C$500,MATCH($B149,المكونات!$A$2:$A$500,0)),"")</f>
        <v>20</v>
      </c>
      <c r="F149" s="42" t="n">
        <f aca="false">IFERROR($C149*$E149,"")</f>
        <v>20</v>
      </c>
    </row>
    <row r="150" customFormat="false" ht="15" hidden="false" customHeight="true" outlineLevel="0" collapsed="false">
      <c r="A150" s="39" t="s">
        <v>414</v>
      </c>
      <c r="B150" s="39" t="s">
        <v>206</v>
      </c>
      <c r="C150" s="39" t="n">
        <v>1</v>
      </c>
      <c r="D150" s="40" t="str">
        <f aca="false">IFERROR(INDEX(المكونات!$B$2:$B$500,MATCH($B150,المكونات!$A$2:$A$500,0)),"")</f>
        <v>قطعة</v>
      </c>
      <c r="E150" s="41" t="n">
        <f aca="false">IFERROR(INDEX(المكونات!$C$2:$C$500,MATCH($B150,المكونات!$A$2:$A$500,0)),"")</f>
        <v>4.5</v>
      </c>
      <c r="F150" s="42" t="n">
        <f aca="false">IFERROR($C150*$E150,"")</f>
        <v>4.5</v>
      </c>
    </row>
    <row r="151" customFormat="false" ht="15" hidden="false" customHeight="true" outlineLevel="0" collapsed="false">
      <c r="A151" s="39" t="s">
        <v>414</v>
      </c>
      <c r="B151" s="39" t="s">
        <v>225</v>
      </c>
      <c r="C151" s="39" t="n">
        <v>2</v>
      </c>
      <c r="D151" s="40" t="str">
        <f aca="false">IFERROR(INDEX(المكونات!$B$2:$B$500,MATCH($B151,المكونات!$A$2:$A$500,0)),"")</f>
        <v>قطعة</v>
      </c>
      <c r="E151" s="41" t="n">
        <f aca="false">IFERROR(INDEX(المكونات!$C$2:$C$500,MATCH($B151,المكونات!$A$2:$A$500,0)),"")</f>
        <v>0.3</v>
      </c>
      <c r="F151" s="42" t="n">
        <f aca="false">IFERROR($C151*$E151,"")</f>
        <v>0.6</v>
      </c>
    </row>
    <row r="152" customFormat="false" ht="15" hidden="false" customHeight="true" outlineLevel="0" collapsed="false">
      <c r="A152" s="39" t="s">
        <v>414</v>
      </c>
      <c r="B152" s="39" t="s">
        <v>254</v>
      </c>
      <c r="C152" s="39" t="n">
        <v>1</v>
      </c>
      <c r="D152" s="40" t="str">
        <f aca="false">IFERROR(INDEX(المكونات!$B$2:$B$500,MATCH($B152,المكونات!$A$2:$A$500,0)),"")</f>
        <v>قطعة (ورقة)</v>
      </c>
      <c r="E152" s="41" t="n">
        <f aca="false">IFERROR(INDEX(المكونات!$C$2:$C$500,MATCH($B152,المكونات!$A$2:$A$500,0)),"")</f>
        <v>0.3665</v>
      </c>
      <c r="F152" s="42" t="n">
        <f aca="false">IFERROR($C152*$E152,"")</f>
        <v>0.3665</v>
      </c>
    </row>
    <row r="153" customFormat="false" ht="15" hidden="false" customHeight="true" outlineLevel="0" collapsed="false">
      <c r="A153" s="39" t="s">
        <v>414</v>
      </c>
      <c r="B153" s="39" t="s">
        <v>67</v>
      </c>
      <c r="C153" s="39" t="n">
        <v>1</v>
      </c>
      <c r="D153" s="40" t="str">
        <f aca="false">IFERROR(INDEX(المكونات!$B$2:$B$500,MATCH($B153,المكونات!$A$2:$A$500,0)),"")</f>
        <v>قطعة (كيس)</v>
      </c>
      <c r="E153" s="41" t="n">
        <f aca="false">IFERROR(INDEX(المكونات!$C$2:$C$500,MATCH($B153,المكونات!$A$2:$A$500,0)),"")</f>
        <v>1.4</v>
      </c>
      <c r="F153" s="42" t="n">
        <f aca="false">IFERROR($C153*$E153,"")</f>
        <v>1.4</v>
      </c>
    </row>
    <row r="154" customFormat="false" ht="15" hidden="false" customHeight="true" outlineLevel="0" collapsed="false">
      <c r="A154" s="39" t="s">
        <v>414</v>
      </c>
      <c r="B154" s="39" t="s">
        <v>228</v>
      </c>
      <c r="C154" s="39" t="n">
        <v>1</v>
      </c>
      <c r="D154" s="40" t="str">
        <f aca="false">IFERROR(INDEX(المكونات!$B$2:$B$500,MATCH($B154,المكونات!$A$2:$A$500,0)),"")</f>
        <v>قطعة</v>
      </c>
      <c r="E154" s="41" t="n">
        <f aca="false">IFERROR(INDEX(المكونات!$C$2:$C$500,MATCH($B154,المكونات!$A$2:$A$500,0)),"")</f>
        <v>0.5</v>
      </c>
      <c r="F154" s="42" t="n">
        <f aca="false">IFERROR($C154*$E154,"")</f>
        <v>0.5</v>
      </c>
    </row>
    <row r="155" customFormat="false" ht="15" hidden="false" customHeight="true" outlineLevel="0" collapsed="false">
      <c r="A155" s="39" t="s">
        <v>414</v>
      </c>
      <c r="B155" s="39" t="s">
        <v>145</v>
      </c>
      <c r="C155" s="39" t="n">
        <v>2</v>
      </c>
      <c r="D155" s="40" t="str">
        <f aca="false">IFERROR(INDEX(المكونات!$B$2:$B$500,MATCH($B155,المكونات!$A$2:$A$500,0)),"")</f>
        <v>قطعة (جلفز)</v>
      </c>
      <c r="E155" s="41" t="n">
        <f aca="false">IFERROR(INDEX(المكونات!$C$2:$C$500,MATCH($B155,المكونات!$A$2:$A$500,0)),"")</f>
        <v>0.18</v>
      </c>
      <c r="F155" s="42" t="n">
        <f aca="false">IFERROR($C155*$E155,"")</f>
        <v>0.36</v>
      </c>
    </row>
    <row r="156" customFormat="false" ht="15" hidden="false" customHeight="true" outlineLevel="0" collapsed="false">
      <c r="A156" s="39" t="s">
        <v>414</v>
      </c>
      <c r="B156" s="39" t="s">
        <v>257</v>
      </c>
      <c r="C156" s="39" t="n">
        <v>1</v>
      </c>
      <c r="D156" s="40" t="str">
        <f aca="false">IFERROR(INDEX(المكونات!$B$2:$B$500,MATCH($B156,المكونات!$A$2:$A$500,0)),"")</f>
        <v>قطعة (كيس)</v>
      </c>
      <c r="E156" s="41" t="n">
        <f aca="false">IFERROR(INDEX(المكونات!$C$2:$C$500,MATCH($B156,المكونات!$A$2:$A$500,0)),"")</f>
        <v>0.9995</v>
      </c>
      <c r="F156" s="42" t="n">
        <f aca="false">IFERROR($C156*$E156,"")</f>
        <v>0.9995</v>
      </c>
    </row>
    <row r="157" customFormat="false" ht="15" hidden="false" customHeight="true" outlineLevel="0" collapsed="false">
      <c r="A157" s="39" t="s">
        <v>414</v>
      </c>
      <c r="B157" s="39" t="s">
        <v>92</v>
      </c>
      <c r="C157" s="39" t="n">
        <v>1</v>
      </c>
      <c r="D157" s="40" t="str">
        <f aca="false">IFERROR(INDEX(المكونات!$B$2:$B$500,MATCH($B157,المكونات!$A$2:$A$500,0)),"")</f>
        <v>قطعة</v>
      </c>
      <c r="E157" s="41" t="n">
        <f aca="false">IFERROR(INDEX(المكونات!$C$2:$C$500,MATCH($B157,المكونات!$A$2:$A$500,0)),"")</f>
        <v>33.7609</v>
      </c>
      <c r="F157" s="42" t="n">
        <f aca="false">IFERROR($C157*$E157,"")</f>
        <v>33.7609</v>
      </c>
    </row>
    <row r="158" customFormat="false" ht="15" hidden="false" customHeight="true" outlineLevel="0" collapsed="false">
      <c r="A158" s="39" t="s">
        <v>414</v>
      </c>
      <c r="B158" s="39" t="s">
        <v>192</v>
      </c>
      <c r="C158" s="39" t="n">
        <v>0.1</v>
      </c>
      <c r="D158" s="40" t="str">
        <f aca="false">IFERROR(INDEX(المكونات!$B$2:$B$500,MATCH($B158,المكونات!$A$2:$A$500,0)),"")</f>
        <v>كجم</v>
      </c>
      <c r="E158" s="41" t="n">
        <f aca="false">IFERROR(INDEX(المكونات!$C$2:$C$500,MATCH($B158,المكونات!$A$2:$A$500,0)),"")</f>
        <v>105</v>
      </c>
      <c r="F158" s="42" t="n">
        <f aca="false">IFERROR($C158*$E158,"")</f>
        <v>10.5</v>
      </c>
    </row>
    <row r="159" customFormat="false" ht="15" hidden="false" customHeight="true" outlineLevel="0" collapsed="false">
      <c r="A159" s="39" t="s">
        <v>355</v>
      </c>
      <c r="B159" s="39" t="s">
        <v>198</v>
      </c>
      <c r="C159" s="39" t="n">
        <v>0.3</v>
      </c>
      <c r="D159" s="40" t="str">
        <f aca="false">IFERROR(INDEX(المكونات!$B$2:$B$500,MATCH($B159,المكونات!$A$2:$A$500,0)),"")</f>
        <v>كجم</v>
      </c>
      <c r="E159" s="41" t="n">
        <f aca="false">IFERROR(INDEX(المكونات!$C$2:$C$500,MATCH($B159,المكونات!$A$2:$A$500,0)),"")</f>
        <v>22</v>
      </c>
      <c r="F159" s="42" t="n">
        <f aca="false">IFERROR($C159*$E159,"")</f>
        <v>6.6</v>
      </c>
    </row>
    <row r="160" customFormat="false" ht="15" hidden="false" customHeight="true" outlineLevel="0" collapsed="false">
      <c r="A160" s="39" t="s">
        <v>355</v>
      </c>
      <c r="B160" s="39" t="s">
        <v>186</v>
      </c>
      <c r="C160" s="39" t="n">
        <v>0.06</v>
      </c>
      <c r="D160" s="40" t="str">
        <f aca="false">IFERROR(INDEX(المكونات!$B$2:$B$500,MATCH($B160,المكونات!$A$2:$A$500,0)),"")</f>
        <v>كجم</v>
      </c>
      <c r="E160" s="41" t="n">
        <f aca="false">IFERROR(INDEX(المكونات!$C$2:$C$500,MATCH($B160,المكونات!$A$2:$A$500,0)),"")</f>
        <v>32</v>
      </c>
      <c r="F160" s="42" t="n">
        <f aca="false">IFERROR($C160*$E160,"")</f>
        <v>1.92</v>
      </c>
    </row>
    <row r="161" customFormat="false" ht="15" hidden="false" customHeight="true" outlineLevel="0" collapsed="false">
      <c r="A161" s="39" t="s">
        <v>355</v>
      </c>
      <c r="B161" s="39" t="s">
        <v>196</v>
      </c>
      <c r="C161" s="39" t="n">
        <v>0.045</v>
      </c>
      <c r="D161" s="40" t="str">
        <f aca="false">IFERROR(INDEX(المكونات!$B$2:$B$500,MATCH($B161,المكونات!$A$2:$A$500,0)),"")</f>
        <v>كجم</v>
      </c>
      <c r="E161" s="41" t="n">
        <f aca="false">IFERROR(INDEX(المكونات!$C$2:$C$500,MATCH($B161,المكونات!$A$2:$A$500,0)),"")</f>
        <v>21</v>
      </c>
      <c r="F161" s="42" t="n">
        <f aca="false">IFERROR($C161*$E161,"")</f>
        <v>0.945</v>
      </c>
    </row>
    <row r="162" customFormat="false" ht="15" hidden="false" customHeight="true" outlineLevel="0" collapsed="false">
      <c r="A162" s="39" t="s">
        <v>355</v>
      </c>
      <c r="B162" s="39" t="s">
        <v>219</v>
      </c>
      <c r="C162" s="39" t="n">
        <v>0.03</v>
      </c>
      <c r="D162" s="40" t="str">
        <f aca="false">IFERROR(INDEX(المكونات!$B$2:$B$500,MATCH($B162,المكونات!$A$2:$A$500,0)),"")</f>
        <v>كجم</v>
      </c>
      <c r="E162" s="41" t="n">
        <f aca="false">IFERROR(INDEX(المكونات!$C$2:$C$500,MATCH($B162,المكونات!$A$2:$A$500,0)),"")</f>
        <v>27</v>
      </c>
      <c r="F162" s="42" t="n">
        <f aca="false">IFERROR($C162*$E162,"")</f>
        <v>0.81</v>
      </c>
    </row>
    <row r="163" customFormat="false" ht="15" hidden="false" customHeight="true" outlineLevel="0" collapsed="false">
      <c r="A163" s="39" t="s">
        <v>355</v>
      </c>
      <c r="B163" s="39" t="s">
        <v>162</v>
      </c>
      <c r="C163" s="39" t="n">
        <v>0.03</v>
      </c>
      <c r="D163" s="40" t="str">
        <f aca="false">IFERROR(INDEX(المكونات!$B$2:$B$500,MATCH($B163,المكونات!$A$2:$A$500,0)),"")</f>
        <v>كجم</v>
      </c>
      <c r="E163" s="41" t="n">
        <f aca="false">IFERROR(INDEX(المكونات!$C$2:$C$500,MATCH($B163,المكونات!$A$2:$A$500,0)),"")</f>
        <v>95</v>
      </c>
      <c r="F163" s="42" t="n">
        <f aca="false">IFERROR($C163*$E163,"")</f>
        <v>2.85</v>
      </c>
    </row>
    <row r="164" customFormat="false" ht="15" hidden="false" customHeight="true" outlineLevel="0" collapsed="false">
      <c r="A164" s="39" t="s">
        <v>355</v>
      </c>
      <c r="B164" s="39" t="s">
        <v>108</v>
      </c>
      <c r="C164" s="39" t="n">
        <v>1</v>
      </c>
      <c r="D164" s="40" t="str">
        <f aca="false">IFERROR(INDEX(المكونات!$B$2:$B$500,MATCH($B164,المكونات!$A$2:$A$500,0)),"")</f>
        <v>قطعة</v>
      </c>
      <c r="E164" s="41" t="n">
        <f aca="false">IFERROR(INDEX(المكونات!$C$2:$C$500,MATCH($B164,المكونات!$A$2:$A$500,0)),"")</f>
        <v>26.4194</v>
      </c>
      <c r="F164" s="42" t="n">
        <f aca="false">IFERROR($C164*$E164,"")</f>
        <v>26.4194</v>
      </c>
    </row>
    <row r="165" customFormat="false" ht="15" hidden="false" customHeight="true" outlineLevel="0" collapsed="false">
      <c r="A165" s="39" t="s">
        <v>355</v>
      </c>
      <c r="B165" s="39" t="s">
        <v>204</v>
      </c>
      <c r="C165" s="39" t="n">
        <v>1</v>
      </c>
      <c r="D165" s="40" t="str">
        <f aca="false">IFERROR(INDEX(المكونات!$B$2:$B$500,MATCH($B165,المكونات!$A$2:$A$500,0)),"")</f>
        <v>قطعة</v>
      </c>
      <c r="E165" s="41" t="n">
        <f aca="false">IFERROR(INDEX(المكونات!$C$2:$C$500,MATCH($B165,المكونات!$A$2:$A$500,0)),"")</f>
        <v>5.5</v>
      </c>
      <c r="F165" s="42" t="n">
        <f aca="false">IFERROR($C165*$E165,"")</f>
        <v>5.5</v>
      </c>
    </row>
    <row r="166" customFormat="false" ht="15" hidden="false" customHeight="true" outlineLevel="0" collapsed="false">
      <c r="A166" s="39" t="s">
        <v>355</v>
      </c>
      <c r="B166" s="39" t="s">
        <v>225</v>
      </c>
      <c r="C166" s="39" t="n">
        <v>3</v>
      </c>
      <c r="D166" s="40" t="str">
        <f aca="false">IFERROR(INDEX(المكونات!$B$2:$B$500,MATCH($B166,المكونات!$A$2:$A$500,0)),"")</f>
        <v>قطعة</v>
      </c>
      <c r="E166" s="41" t="n">
        <f aca="false">IFERROR(INDEX(المكونات!$C$2:$C$500,MATCH($B166,المكونات!$A$2:$A$500,0)),"")</f>
        <v>0.3</v>
      </c>
      <c r="F166" s="42" t="n">
        <f aca="false">IFERROR($C166*$E166,"")</f>
        <v>0.9</v>
      </c>
    </row>
    <row r="167" customFormat="false" ht="15" hidden="false" customHeight="true" outlineLevel="0" collapsed="false">
      <c r="A167" s="39" t="s">
        <v>355</v>
      </c>
      <c r="B167" s="39" t="s">
        <v>254</v>
      </c>
      <c r="C167" s="39" t="n">
        <v>1</v>
      </c>
      <c r="D167" s="40" t="str">
        <f aca="false">IFERROR(INDEX(المكونات!$B$2:$B$500,MATCH($B167,المكونات!$A$2:$A$500,0)),"")</f>
        <v>قطعة (ورقة)</v>
      </c>
      <c r="E167" s="41" t="n">
        <f aca="false">IFERROR(INDEX(المكونات!$C$2:$C$500,MATCH($B167,المكونات!$A$2:$A$500,0)),"")</f>
        <v>0.3665</v>
      </c>
      <c r="F167" s="42" t="n">
        <f aca="false">IFERROR($C167*$E167,"")</f>
        <v>0.3665</v>
      </c>
    </row>
    <row r="168" customFormat="false" ht="15" hidden="false" customHeight="true" outlineLevel="0" collapsed="false">
      <c r="A168" s="39" t="s">
        <v>355</v>
      </c>
      <c r="B168" s="39" t="s">
        <v>67</v>
      </c>
      <c r="C168" s="39" t="n">
        <v>1</v>
      </c>
      <c r="D168" s="40" t="str">
        <f aca="false">IFERROR(INDEX(المكونات!$B$2:$B$500,MATCH($B168,المكونات!$A$2:$A$500,0)),"")</f>
        <v>قطعة (كيس)</v>
      </c>
      <c r="E168" s="41" t="n">
        <f aca="false">IFERROR(INDEX(المكونات!$C$2:$C$500,MATCH($B168,المكونات!$A$2:$A$500,0)),"")</f>
        <v>1.4</v>
      </c>
      <c r="F168" s="42" t="n">
        <f aca="false">IFERROR($C168*$E168,"")</f>
        <v>1.4</v>
      </c>
    </row>
    <row r="169" customFormat="false" ht="15" hidden="false" customHeight="true" outlineLevel="0" collapsed="false">
      <c r="A169" s="39" t="s">
        <v>355</v>
      </c>
      <c r="B169" s="39" t="s">
        <v>228</v>
      </c>
      <c r="C169" s="39" t="n">
        <v>1</v>
      </c>
      <c r="D169" s="40" t="str">
        <f aca="false">IFERROR(INDEX(المكونات!$B$2:$B$500,MATCH($B169,المكونات!$A$2:$A$500,0)),"")</f>
        <v>قطعة</v>
      </c>
      <c r="E169" s="41" t="n">
        <f aca="false">IFERROR(INDEX(المكونات!$C$2:$C$500,MATCH($B169,المكونات!$A$2:$A$500,0)),"")</f>
        <v>0.5</v>
      </c>
      <c r="F169" s="42" t="n">
        <f aca="false">IFERROR($C169*$E169,"")</f>
        <v>0.5</v>
      </c>
    </row>
    <row r="170" customFormat="false" ht="15" hidden="false" customHeight="true" outlineLevel="0" collapsed="false">
      <c r="A170" s="39" t="s">
        <v>355</v>
      </c>
      <c r="B170" s="39" t="s">
        <v>145</v>
      </c>
      <c r="C170" s="39" t="n">
        <v>2</v>
      </c>
      <c r="D170" s="40" t="str">
        <f aca="false">IFERROR(INDEX(المكونات!$B$2:$B$500,MATCH($B170,المكونات!$A$2:$A$500,0)),"")</f>
        <v>قطعة (جلفز)</v>
      </c>
      <c r="E170" s="41" t="n">
        <f aca="false">IFERROR(INDEX(المكونات!$C$2:$C$500,MATCH($B170,المكونات!$A$2:$A$500,0)),"")</f>
        <v>0.18</v>
      </c>
      <c r="F170" s="42" t="n">
        <f aca="false">IFERROR($C170*$E170,"")</f>
        <v>0.36</v>
      </c>
    </row>
    <row r="171" customFormat="false" ht="15" hidden="false" customHeight="true" outlineLevel="0" collapsed="false">
      <c r="A171" s="39" t="s">
        <v>355</v>
      </c>
      <c r="B171" s="39" t="s">
        <v>257</v>
      </c>
      <c r="C171" s="39" t="n">
        <v>1</v>
      </c>
      <c r="D171" s="40" t="str">
        <f aca="false">IFERROR(INDEX(المكونات!$B$2:$B$500,MATCH($B171,المكونات!$A$2:$A$500,0)),"")</f>
        <v>قطعة (كيس)</v>
      </c>
      <c r="E171" s="41" t="n">
        <f aca="false">IFERROR(INDEX(المكونات!$C$2:$C$500,MATCH($B171,المكونات!$A$2:$A$500,0)),"")</f>
        <v>0.9995</v>
      </c>
      <c r="F171" s="42" t="n">
        <f aca="false">IFERROR($C171*$E171,"")</f>
        <v>0.9995</v>
      </c>
    </row>
    <row r="172" customFormat="false" ht="15" hidden="false" customHeight="true" outlineLevel="0" collapsed="false">
      <c r="A172" s="39" t="s">
        <v>355</v>
      </c>
      <c r="B172" s="39" t="s">
        <v>94</v>
      </c>
      <c r="C172" s="39" t="n">
        <v>1</v>
      </c>
      <c r="D172" s="40" t="str">
        <f aca="false">IFERROR(INDEX(المكونات!$B$2:$B$500,MATCH($B172,المكونات!$A$2:$A$500,0)),"")</f>
        <v>قطعة</v>
      </c>
      <c r="E172" s="41" t="n">
        <f aca="false">IFERROR(INDEX(المكونات!$C$2:$C$500,MATCH($B172,المكونات!$A$2:$A$500,0)),"")</f>
        <v>48.2857</v>
      </c>
      <c r="F172" s="42" t="n">
        <f aca="false">IFERROR($C172*$E172,"")</f>
        <v>48.2857</v>
      </c>
    </row>
    <row r="173" customFormat="false" ht="15" hidden="false" customHeight="true" outlineLevel="0" collapsed="false">
      <c r="A173" s="39" t="s">
        <v>355</v>
      </c>
      <c r="B173" s="39" t="s">
        <v>192</v>
      </c>
      <c r="C173" s="39" t="n">
        <v>0.15</v>
      </c>
      <c r="D173" s="40" t="str">
        <f aca="false">IFERROR(INDEX(المكونات!$B$2:$B$500,MATCH($B173,المكونات!$A$2:$A$500,0)),"")</f>
        <v>كجم</v>
      </c>
      <c r="E173" s="41" t="n">
        <f aca="false">IFERROR(INDEX(المكونات!$C$2:$C$500,MATCH($B173,المكونات!$A$2:$A$500,0)),"")</f>
        <v>105</v>
      </c>
      <c r="F173" s="42" t="n">
        <f aca="false">IFERROR($C173*$E173,"")</f>
        <v>15.75</v>
      </c>
    </row>
    <row r="174" customFormat="false" ht="15" hidden="false" customHeight="true" outlineLevel="0" collapsed="false">
      <c r="A174" s="39" t="s">
        <v>418</v>
      </c>
      <c r="B174" s="39" t="s">
        <v>198</v>
      </c>
      <c r="C174" s="39" t="n">
        <v>0.22</v>
      </c>
      <c r="D174" s="40" t="str">
        <f aca="false">IFERROR(INDEX(المكونات!$B$2:$B$500,MATCH($B174,المكونات!$A$2:$A$500,0)),"")</f>
        <v>كجم</v>
      </c>
      <c r="E174" s="41" t="n">
        <f aca="false">IFERROR(INDEX(المكونات!$C$2:$C$500,MATCH($B174,المكونات!$A$2:$A$500,0)),"")</f>
        <v>22</v>
      </c>
      <c r="F174" s="42" t="n">
        <f aca="false">IFERROR($C174*$E174,"")</f>
        <v>4.84</v>
      </c>
    </row>
    <row r="175" customFormat="false" ht="15" hidden="false" customHeight="true" outlineLevel="0" collapsed="false">
      <c r="A175" s="39" t="s">
        <v>418</v>
      </c>
      <c r="B175" s="39" t="s">
        <v>186</v>
      </c>
      <c r="C175" s="39" t="n">
        <v>0.04</v>
      </c>
      <c r="D175" s="40" t="str">
        <f aca="false">IFERROR(INDEX(المكونات!$B$2:$B$500,MATCH($B175,المكونات!$A$2:$A$500,0)),"")</f>
        <v>كجم</v>
      </c>
      <c r="E175" s="41" t="n">
        <f aca="false">IFERROR(INDEX(المكونات!$C$2:$C$500,MATCH($B175,المكونات!$A$2:$A$500,0)),"")</f>
        <v>32</v>
      </c>
      <c r="F175" s="42" t="n">
        <f aca="false">IFERROR($C175*$E175,"")</f>
        <v>1.28</v>
      </c>
    </row>
    <row r="176" customFormat="false" ht="15" hidden="false" customHeight="true" outlineLevel="0" collapsed="false">
      <c r="A176" s="39" t="s">
        <v>418</v>
      </c>
      <c r="B176" s="39" t="s">
        <v>196</v>
      </c>
      <c r="C176" s="39" t="n">
        <v>0.03</v>
      </c>
      <c r="D176" s="40" t="str">
        <f aca="false">IFERROR(INDEX(المكونات!$B$2:$B$500,MATCH($B176,المكونات!$A$2:$A$500,0)),"")</f>
        <v>كجم</v>
      </c>
      <c r="E176" s="41" t="n">
        <f aca="false">IFERROR(INDEX(المكونات!$C$2:$C$500,MATCH($B176,المكونات!$A$2:$A$500,0)),"")</f>
        <v>21</v>
      </c>
      <c r="F176" s="42" t="n">
        <f aca="false">IFERROR($C176*$E176,"")</f>
        <v>0.63</v>
      </c>
    </row>
    <row r="177" customFormat="false" ht="15" hidden="false" customHeight="true" outlineLevel="0" collapsed="false">
      <c r="A177" s="39" t="s">
        <v>418</v>
      </c>
      <c r="B177" s="39" t="s">
        <v>219</v>
      </c>
      <c r="C177" s="39" t="n">
        <v>0.02</v>
      </c>
      <c r="D177" s="40" t="str">
        <f aca="false">IFERROR(INDEX(المكونات!$B$2:$B$500,MATCH($B177,المكونات!$A$2:$A$500,0)),"")</f>
        <v>كجم</v>
      </c>
      <c r="E177" s="41" t="n">
        <f aca="false">IFERROR(INDEX(المكونات!$C$2:$C$500,MATCH($B177,المكونات!$A$2:$A$500,0)),"")</f>
        <v>27</v>
      </c>
      <c r="F177" s="42" t="n">
        <f aca="false">IFERROR($C177*$E177,"")</f>
        <v>0.54</v>
      </c>
    </row>
    <row r="178" customFormat="false" ht="15" hidden="false" customHeight="true" outlineLevel="0" collapsed="false">
      <c r="A178" s="39" t="s">
        <v>418</v>
      </c>
      <c r="B178" s="39" t="s">
        <v>162</v>
      </c>
      <c r="C178" s="39" t="n">
        <v>0.02</v>
      </c>
      <c r="D178" s="40" t="str">
        <f aca="false">IFERROR(INDEX(المكونات!$B$2:$B$500,MATCH($B178,المكونات!$A$2:$A$500,0)),"")</f>
        <v>كجم</v>
      </c>
      <c r="E178" s="41" t="n">
        <f aca="false">IFERROR(INDEX(المكونات!$C$2:$C$500,MATCH($B178,المكونات!$A$2:$A$500,0)),"")</f>
        <v>95</v>
      </c>
      <c r="F178" s="42" t="n">
        <f aca="false">IFERROR($C178*$E178,"")</f>
        <v>1.9</v>
      </c>
    </row>
    <row r="179" customFormat="false" ht="15" hidden="false" customHeight="true" outlineLevel="0" collapsed="false">
      <c r="A179" s="39" t="s">
        <v>418</v>
      </c>
      <c r="B179" s="39" t="s">
        <v>106</v>
      </c>
      <c r="C179" s="39" t="n">
        <v>1</v>
      </c>
      <c r="D179" s="40" t="str">
        <f aca="false">IFERROR(INDEX(المكونات!$B$2:$B$500,MATCH($B179,المكونات!$A$2:$A$500,0)),"")</f>
        <v>قطعة</v>
      </c>
      <c r="E179" s="41" t="n">
        <f aca="false">IFERROR(INDEX(المكونات!$C$2:$C$500,MATCH($B179,المكونات!$A$2:$A$500,0)),"")</f>
        <v>20</v>
      </c>
      <c r="F179" s="42" t="n">
        <f aca="false">IFERROR($C179*$E179,"")</f>
        <v>20</v>
      </c>
    </row>
    <row r="180" customFormat="false" ht="15" hidden="false" customHeight="true" outlineLevel="0" collapsed="false">
      <c r="A180" s="39" t="s">
        <v>418</v>
      </c>
      <c r="B180" s="39" t="s">
        <v>206</v>
      </c>
      <c r="C180" s="39" t="n">
        <v>1</v>
      </c>
      <c r="D180" s="40" t="str">
        <f aca="false">IFERROR(INDEX(المكونات!$B$2:$B$500,MATCH($B180,المكونات!$A$2:$A$500,0)),"")</f>
        <v>قطعة</v>
      </c>
      <c r="E180" s="41" t="n">
        <f aca="false">IFERROR(INDEX(المكونات!$C$2:$C$500,MATCH($B180,المكونات!$A$2:$A$500,0)),"")</f>
        <v>4.5</v>
      </c>
      <c r="F180" s="42" t="n">
        <f aca="false">IFERROR($C180*$E180,"")</f>
        <v>4.5</v>
      </c>
    </row>
    <row r="181" customFormat="false" ht="15" hidden="false" customHeight="true" outlineLevel="0" collapsed="false">
      <c r="A181" s="39" t="s">
        <v>418</v>
      </c>
      <c r="B181" s="39" t="s">
        <v>225</v>
      </c>
      <c r="C181" s="39" t="n">
        <v>2</v>
      </c>
      <c r="D181" s="40" t="str">
        <f aca="false">IFERROR(INDEX(المكونات!$B$2:$B$500,MATCH($B181,المكونات!$A$2:$A$500,0)),"")</f>
        <v>قطعة</v>
      </c>
      <c r="E181" s="41" t="n">
        <f aca="false">IFERROR(INDEX(المكونات!$C$2:$C$500,MATCH($B181,المكونات!$A$2:$A$500,0)),"")</f>
        <v>0.3</v>
      </c>
      <c r="F181" s="42" t="n">
        <f aca="false">IFERROR($C181*$E181,"")</f>
        <v>0.6</v>
      </c>
    </row>
    <row r="182" customFormat="false" ht="15" hidden="false" customHeight="true" outlineLevel="0" collapsed="false">
      <c r="A182" s="39" t="s">
        <v>418</v>
      </c>
      <c r="B182" s="39" t="s">
        <v>254</v>
      </c>
      <c r="C182" s="39" t="n">
        <v>1</v>
      </c>
      <c r="D182" s="40" t="str">
        <f aca="false">IFERROR(INDEX(المكونات!$B$2:$B$500,MATCH($B182,المكونات!$A$2:$A$500,0)),"")</f>
        <v>قطعة (ورقة)</v>
      </c>
      <c r="E182" s="41" t="n">
        <f aca="false">IFERROR(INDEX(المكونات!$C$2:$C$500,MATCH($B182,المكونات!$A$2:$A$500,0)),"")</f>
        <v>0.3665</v>
      </c>
      <c r="F182" s="42" t="n">
        <f aca="false">IFERROR($C182*$E182,"")</f>
        <v>0.3665</v>
      </c>
    </row>
    <row r="183" customFormat="false" ht="15" hidden="false" customHeight="true" outlineLevel="0" collapsed="false">
      <c r="A183" s="39" t="s">
        <v>418</v>
      </c>
      <c r="B183" s="39" t="s">
        <v>67</v>
      </c>
      <c r="C183" s="39" t="n">
        <v>1</v>
      </c>
      <c r="D183" s="40" t="str">
        <f aca="false">IFERROR(INDEX(المكونات!$B$2:$B$500,MATCH($B183,المكونات!$A$2:$A$500,0)),"")</f>
        <v>قطعة (كيس)</v>
      </c>
      <c r="E183" s="41" t="n">
        <f aca="false">IFERROR(INDEX(المكونات!$C$2:$C$500,MATCH($B183,المكونات!$A$2:$A$500,0)),"")</f>
        <v>1.4</v>
      </c>
      <c r="F183" s="42" t="n">
        <f aca="false">IFERROR($C183*$E183,"")</f>
        <v>1.4</v>
      </c>
    </row>
    <row r="184" customFormat="false" ht="15" hidden="false" customHeight="true" outlineLevel="0" collapsed="false">
      <c r="A184" s="39" t="s">
        <v>418</v>
      </c>
      <c r="B184" s="39" t="s">
        <v>228</v>
      </c>
      <c r="C184" s="39" t="n">
        <v>1</v>
      </c>
      <c r="D184" s="40" t="str">
        <f aca="false">IFERROR(INDEX(المكونات!$B$2:$B$500,MATCH($B184,المكونات!$A$2:$A$500,0)),"")</f>
        <v>قطعة</v>
      </c>
      <c r="E184" s="41" t="n">
        <f aca="false">IFERROR(INDEX(المكونات!$C$2:$C$500,MATCH($B184,المكونات!$A$2:$A$500,0)),"")</f>
        <v>0.5</v>
      </c>
      <c r="F184" s="42" t="n">
        <f aca="false">IFERROR($C184*$E184,"")</f>
        <v>0.5</v>
      </c>
    </row>
    <row r="185" customFormat="false" ht="15" hidden="false" customHeight="true" outlineLevel="0" collapsed="false">
      <c r="A185" s="39" t="s">
        <v>418</v>
      </c>
      <c r="B185" s="39" t="s">
        <v>145</v>
      </c>
      <c r="C185" s="39" t="n">
        <v>2</v>
      </c>
      <c r="D185" s="40" t="str">
        <f aca="false">IFERROR(INDEX(المكونات!$B$2:$B$500,MATCH($B185,المكونات!$A$2:$A$500,0)),"")</f>
        <v>قطعة (جلفز)</v>
      </c>
      <c r="E185" s="41" t="n">
        <f aca="false">IFERROR(INDEX(المكونات!$C$2:$C$500,MATCH($B185,المكونات!$A$2:$A$500,0)),"")</f>
        <v>0.18</v>
      </c>
      <c r="F185" s="42" t="n">
        <f aca="false">IFERROR($C185*$E185,"")</f>
        <v>0.36</v>
      </c>
    </row>
    <row r="186" customFormat="false" ht="15" hidden="false" customHeight="true" outlineLevel="0" collapsed="false">
      <c r="A186" s="39" t="s">
        <v>418</v>
      </c>
      <c r="B186" s="39" t="s">
        <v>257</v>
      </c>
      <c r="C186" s="39" t="n">
        <v>1</v>
      </c>
      <c r="D186" s="40" t="str">
        <f aca="false">IFERROR(INDEX(المكونات!$B$2:$B$500,MATCH($B186,المكونات!$A$2:$A$500,0)),"")</f>
        <v>قطعة (كيس)</v>
      </c>
      <c r="E186" s="41" t="n">
        <f aca="false">IFERROR(INDEX(المكونات!$C$2:$C$500,MATCH($B186,المكونات!$A$2:$A$500,0)),"")</f>
        <v>0.9995</v>
      </c>
      <c r="F186" s="42" t="n">
        <f aca="false">IFERROR($C186*$E186,"")</f>
        <v>0.9995</v>
      </c>
    </row>
    <row r="187" customFormat="false" ht="15" hidden="false" customHeight="true" outlineLevel="0" collapsed="false">
      <c r="A187" s="39" t="s">
        <v>418</v>
      </c>
      <c r="B187" s="39" t="s">
        <v>92</v>
      </c>
      <c r="C187" s="39" t="n">
        <v>1</v>
      </c>
      <c r="D187" s="40" t="str">
        <f aca="false">IFERROR(INDEX(المكونات!$B$2:$B$500,MATCH($B187,المكونات!$A$2:$A$500,0)),"")</f>
        <v>قطعة</v>
      </c>
      <c r="E187" s="41" t="n">
        <f aca="false">IFERROR(INDEX(المكونات!$C$2:$C$500,MATCH($B187,المكونات!$A$2:$A$500,0)),"")</f>
        <v>33.7609</v>
      </c>
      <c r="F187" s="42" t="n">
        <f aca="false">IFERROR($C187*$E187,"")</f>
        <v>33.7609</v>
      </c>
    </row>
    <row r="188" customFormat="false" ht="15" hidden="false" customHeight="true" outlineLevel="0" collapsed="false">
      <c r="A188" s="39" t="s">
        <v>418</v>
      </c>
      <c r="B188" s="39" t="s">
        <v>188</v>
      </c>
      <c r="C188" s="39" t="n">
        <v>0.1</v>
      </c>
      <c r="D188" s="40" t="str">
        <f aca="false">IFERROR(INDEX(المكونات!$B$2:$B$500,MATCH($B188,المكونات!$A$2:$A$500,0)),"")</f>
        <v>كجم</v>
      </c>
      <c r="E188" s="41" t="n">
        <f aca="false">IFERROR(INDEX(المكونات!$C$2:$C$500,MATCH($B188,المكونات!$A$2:$A$500,0)),"")</f>
        <v>70</v>
      </c>
      <c r="F188" s="42" t="n">
        <f aca="false">IFERROR($C188*$E188,"")</f>
        <v>7</v>
      </c>
    </row>
    <row r="189" customFormat="false" ht="15" hidden="false" customHeight="true" outlineLevel="0" collapsed="false">
      <c r="A189" s="39" t="s">
        <v>354</v>
      </c>
      <c r="B189" s="39" t="s">
        <v>198</v>
      </c>
      <c r="C189" s="39" t="n">
        <v>0.3</v>
      </c>
      <c r="D189" s="40" t="str">
        <f aca="false">IFERROR(INDEX(المكونات!$B$2:$B$500,MATCH($B189,المكونات!$A$2:$A$500,0)),"")</f>
        <v>كجم</v>
      </c>
      <c r="E189" s="41" t="n">
        <f aca="false">IFERROR(INDEX(المكونات!$C$2:$C$500,MATCH($B189,المكونات!$A$2:$A$500,0)),"")</f>
        <v>22</v>
      </c>
      <c r="F189" s="42" t="n">
        <f aca="false">IFERROR($C189*$E189,"")</f>
        <v>6.6</v>
      </c>
    </row>
    <row r="190" customFormat="false" ht="15" hidden="false" customHeight="true" outlineLevel="0" collapsed="false">
      <c r="A190" s="39" t="s">
        <v>354</v>
      </c>
      <c r="B190" s="39" t="s">
        <v>186</v>
      </c>
      <c r="C190" s="39" t="n">
        <v>0.06</v>
      </c>
      <c r="D190" s="40" t="str">
        <f aca="false">IFERROR(INDEX(المكونات!$B$2:$B$500,MATCH($B190,المكونات!$A$2:$A$500,0)),"")</f>
        <v>كجم</v>
      </c>
      <c r="E190" s="41" t="n">
        <f aca="false">IFERROR(INDEX(المكونات!$C$2:$C$500,MATCH($B190,المكونات!$A$2:$A$500,0)),"")</f>
        <v>32</v>
      </c>
      <c r="F190" s="42" t="n">
        <f aca="false">IFERROR($C190*$E190,"")</f>
        <v>1.92</v>
      </c>
    </row>
    <row r="191" customFormat="false" ht="15" hidden="false" customHeight="true" outlineLevel="0" collapsed="false">
      <c r="A191" s="39" t="s">
        <v>354</v>
      </c>
      <c r="B191" s="39" t="s">
        <v>196</v>
      </c>
      <c r="C191" s="39" t="n">
        <v>0.045</v>
      </c>
      <c r="D191" s="40" t="str">
        <f aca="false">IFERROR(INDEX(المكونات!$B$2:$B$500,MATCH($B191,المكونات!$A$2:$A$500,0)),"")</f>
        <v>كجم</v>
      </c>
      <c r="E191" s="41" t="n">
        <f aca="false">IFERROR(INDEX(المكونات!$C$2:$C$500,MATCH($B191,المكونات!$A$2:$A$500,0)),"")</f>
        <v>21</v>
      </c>
      <c r="F191" s="42" t="n">
        <f aca="false">IFERROR($C191*$E191,"")</f>
        <v>0.945</v>
      </c>
    </row>
    <row r="192" customFormat="false" ht="15" hidden="false" customHeight="true" outlineLevel="0" collapsed="false">
      <c r="A192" s="39" t="s">
        <v>354</v>
      </c>
      <c r="B192" s="39" t="s">
        <v>219</v>
      </c>
      <c r="C192" s="39" t="n">
        <v>0.03</v>
      </c>
      <c r="D192" s="40" t="str">
        <f aca="false">IFERROR(INDEX(المكونات!$B$2:$B$500,MATCH($B192,المكونات!$A$2:$A$500,0)),"")</f>
        <v>كجم</v>
      </c>
      <c r="E192" s="41" t="n">
        <f aca="false">IFERROR(INDEX(المكونات!$C$2:$C$500,MATCH($B192,المكونات!$A$2:$A$500,0)),"")</f>
        <v>27</v>
      </c>
      <c r="F192" s="42" t="n">
        <f aca="false">IFERROR($C192*$E192,"")</f>
        <v>0.81</v>
      </c>
    </row>
    <row r="193" customFormat="false" ht="15" hidden="false" customHeight="true" outlineLevel="0" collapsed="false">
      <c r="A193" s="39" t="s">
        <v>354</v>
      </c>
      <c r="B193" s="39" t="s">
        <v>162</v>
      </c>
      <c r="C193" s="39" t="n">
        <v>0.03</v>
      </c>
      <c r="D193" s="40" t="str">
        <f aca="false">IFERROR(INDEX(المكونات!$B$2:$B$500,MATCH($B193,المكونات!$A$2:$A$500,0)),"")</f>
        <v>كجم</v>
      </c>
      <c r="E193" s="41" t="n">
        <f aca="false">IFERROR(INDEX(المكونات!$C$2:$C$500,MATCH($B193,المكونات!$A$2:$A$500,0)),"")</f>
        <v>95</v>
      </c>
      <c r="F193" s="42" t="n">
        <f aca="false">IFERROR($C193*$E193,"")</f>
        <v>2.85</v>
      </c>
    </row>
    <row r="194" customFormat="false" ht="15" hidden="false" customHeight="true" outlineLevel="0" collapsed="false">
      <c r="A194" s="39" t="s">
        <v>354</v>
      </c>
      <c r="B194" s="39" t="s">
        <v>108</v>
      </c>
      <c r="C194" s="39" t="n">
        <v>1</v>
      </c>
      <c r="D194" s="40" t="str">
        <f aca="false">IFERROR(INDEX(المكونات!$B$2:$B$500,MATCH($B194,المكونات!$A$2:$A$500,0)),"")</f>
        <v>قطعة</v>
      </c>
      <c r="E194" s="41" t="n">
        <f aca="false">IFERROR(INDEX(المكونات!$C$2:$C$500,MATCH($B194,المكونات!$A$2:$A$500,0)),"")</f>
        <v>26.4194</v>
      </c>
      <c r="F194" s="42" t="n">
        <f aca="false">IFERROR($C194*$E194,"")</f>
        <v>26.4194</v>
      </c>
    </row>
    <row r="195" customFormat="false" ht="15" hidden="false" customHeight="true" outlineLevel="0" collapsed="false">
      <c r="A195" s="39" t="s">
        <v>354</v>
      </c>
      <c r="B195" s="39" t="s">
        <v>204</v>
      </c>
      <c r="C195" s="39" t="n">
        <v>1</v>
      </c>
      <c r="D195" s="40" t="str">
        <f aca="false">IFERROR(INDEX(المكونات!$B$2:$B$500,MATCH($B195,المكونات!$A$2:$A$500,0)),"")</f>
        <v>قطعة</v>
      </c>
      <c r="E195" s="41" t="n">
        <f aca="false">IFERROR(INDEX(المكونات!$C$2:$C$500,MATCH($B195,المكونات!$A$2:$A$500,0)),"")</f>
        <v>5.5</v>
      </c>
      <c r="F195" s="42" t="n">
        <f aca="false">IFERROR($C195*$E195,"")</f>
        <v>5.5</v>
      </c>
    </row>
    <row r="196" customFormat="false" ht="15" hidden="false" customHeight="true" outlineLevel="0" collapsed="false">
      <c r="A196" s="39" t="s">
        <v>354</v>
      </c>
      <c r="B196" s="39" t="s">
        <v>225</v>
      </c>
      <c r="C196" s="39" t="n">
        <v>3</v>
      </c>
      <c r="D196" s="40" t="str">
        <f aca="false">IFERROR(INDEX(المكونات!$B$2:$B$500,MATCH($B196,المكونات!$A$2:$A$500,0)),"")</f>
        <v>قطعة</v>
      </c>
      <c r="E196" s="41" t="n">
        <f aca="false">IFERROR(INDEX(المكونات!$C$2:$C$500,MATCH($B196,المكونات!$A$2:$A$500,0)),"")</f>
        <v>0.3</v>
      </c>
      <c r="F196" s="42" t="n">
        <f aca="false">IFERROR($C196*$E196,"")</f>
        <v>0.9</v>
      </c>
    </row>
    <row r="197" customFormat="false" ht="15" hidden="false" customHeight="true" outlineLevel="0" collapsed="false">
      <c r="A197" s="39" t="s">
        <v>354</v>
      </c>
      <c r="B197" s="39" t="s">
        <v>254</v>
      </c>
      <c r="C197" s="39" t="n">
        <v>1</v>
      </c>
      <c r="D197" s="40" t="str">
        <f aca="false">IFERROR(INDEX(المكونات!$B$2:$B$500,MATCH($B197,المكونات!$A$2:$A$500,0)),"")</f>
        <v>قطعة (ورقة)</v>
      </c>
      <c r="E197" s="41" t="n">
        <f aca="false">IFERROR(INDEX(المكونات!$C$2:$C$500,MATCH($B197,المكونات!$A$2:$A$500,0)),"")</f>
        <v>0.3665</v>
      </c>
      <c r="F197" s="42" t="n">
        <f aca="false">IFERROR($C197*$E197,"")</f>
        <v>0.3665</v>
      </c>
    </row>
    <row r="198" customFormat="false" ht="15" hidden="false" customHeight="true" outlineLevel="0" collapsed="false">
      <c r="A198" s="39" t="s">
        <v>354</v>
      </c>
      <c r="B198" s="39" t="s">
        <v>67</v>
      </c>
      <c r="C198" s="39" t="n">
        <v>1</v>
      </c>
      <c r="D198" s="40" t="str">
        <f aca="false">IFERROR(INDEX(المكونات!$B$2:$B$500,MATCH($B198,المكونات!$A$2:$A$500,0)),"")</f>
        <v>قطعة (كيس)</v>
      </c>
      <c r="E198" s="41" t="n">
        <f aca="false">IFERROR(INDEX(المكونات!$C$2:$C$500,MATCH($B198,المكونات!$A$2:$A$500,0)),"")</f>
        <v>1.4</v>
      </c>
      <c r="F198" s="42" t="n">
        <f aca="false">IFERROR($C198*$E198,"")</f>
        <v>1.4</v>
      </c>
    </row>
    <row r="199" customFormat="false" ht="15" hidden="false" customHeight="true" outlineLevel="0" collapsed="false">
      <c r="A199" s="39" t="s">
        <v>354</v>
      </c>
      <c r="B199" s="39" t="s">
        <v>228</v>
      </c>
      <c r="C199" s="39" t="n">
        <v>1</v>
      </c>
      <c r="D199" s="40" t="str">
        <f aca="false">IFERROR(INDEX(المكونات!$B$2:$B$500,MATCH($B199,المكونات!$A$2:$A$500,0)),"")</f>
        <v>قطعة</v>
      </c>
      <c r="E199" s="41" t="n">
        <f aca="false">IFERROR(INDEX(المكونات!$C$2:$C$500,MATCH($B199,المكونات!$A$2:$A$500,0)),"")</f>
        <v>0.5</v>
      </c>
      <c r="F199" s="42" t="n">
        <f aca="false">IFERROR($C199*$E199,"")</f>
        <v>0.5</v>
      </c>
    </row>
    <row r="200" customFormat="false" ht="15" hidden="false" customHeight="true" outlineLevel="0" collapsed="false">
      <c r="A200" s="39" t="s">
        <v>354</v>
      </c>
      <c r="B200" s="39" t="s">
        <v>145</v>
      </c>
      <c r="C200" s="39" t="n">
        <v>2</v>
      </c>
      <c r="D200" s="40" t="str">
        <f aca="false">IFERROR(INDEX(المكونات!$B$2:$B$500,MATCH($B200,المكونات!$A$2:$A$500,0)),"")</f>
        <v>قطعة (جلفز)</v>
      </c>
      <c r="E200" s="41" t="n">
        <f aca="false">IFERROR(INDEX(المكونات!$C$2:$C$500,MATCH($B200,المكونات!$A$2:$A$500,0)),"")</f>
        <v>0.18</v>
      </c>
      <c r="F200" s="42" t="n">
        <f aca="false">IFERROR($C200*$E200,"")</f>
        <v>0.36</v>
      </c>
    </row>
    <row r="201" customFormat="false" ht="15" hidden="false" customHeight="true" outlineLevel="0" collapsed="false">
      <c r="A201" s="39" t="s">
        <v>354</v>
      </c>
      <c r="B201" s="39" t="s">
        <v>257</v>
      </c>
      <c r="C201" s="39" t="n">
        <v>1</v>
      </c>
      <c r="D201" s="40" t="str">
        <f aca="false">IFERROR(INDEX(المكونات!$B$2:$B$500,MATCH($B201,المكونات!$A$2:$A$500,0)),"")</f>
        <v>قطعة (كيس)</v>
      </c>
      <c r="E201" s="41" t="n">
        <f aca="false">IFERROR(INDEX(المكونات!$C$2:$C$500,MATCH($B201,المكونات!$A$2:$A$500,0)),"")</f>
        <v>0.9995</v>
      </c>
      <c r="F201" s="42" t="n">
        <f aca="false">IFERROR($C201*$E201,"")</f>
        <v>0.9995</v>
      </c>
    </row>
    <row r="202" customFormat="false" ht="15" hidden="false" customHeight="true" outlineLevel="0" collapsed="false">
      <c r="A202" s="39" t="s">
        <v>354</v>
      </c>
      <c r="B202" s="39" t="s">
        <v>94</v>
      </c>
      <c r="C202" s="39" t="n">
        <v>1</v>
      </c>
      <c r="D202" s="40" t="str">
        <f aca="false">IFERROR(INDEX(المكونات!$B$2:$B$500,MATCH($B202,المكونات!$A$2:$A$500,0)),"")</f>
        <v>قطعة</v>
      </c>
      <c r="E202" s="41" t="n">
        <f aca="false">IFERROR(INDEX(المكونات!$C$2:$C$500,MATCH($B202,المكونات!$A$2:$A$500,0)),"")</f>
        <v>48.2857</v>
      </c>
      <c r="F202" s="42" t="n">
        <f aca="false">IFERROR($C202*$E202,"")</f>
        <v>48.2857</v>
      </c>
    </row>
    <row r="203" customFormat="false" ht="15" hidden="false" customHeight="true" outlineLevel="0" collapsed="false">
      <c r="A203" s="39" t="s">
        <v>354</v>
      </c>
      <c r="B203" s="39" t="s">
        <v>188</v>
      </c>
      <c r="C203" s="39" t="n">
        <v>0.15</v>
      </c>
      <c r="D203" s="40" t="str">
        <f aca="false">IFERROR(INDEX(المكونات!$B$2:$B$500,MATCH($B203,المكونات!$A$2:$A$500,0)),"")</f>
        <v>كجم</v>
      </c>
      <c r="E203" s="41" t="n">
        <f aca="false">IFERROR(INDEX(المكونات!$C$2:$C$500,MATCH($B203,المكونات!$A$2:$A$500,0)),"")</f>
        <v>70</v>
      </c>
      <c r="F203" s="42" t="n">
        <f aca="false">IFERROR($C203*$E203,"")</f>
        <v>10.5</v>
      </c>
    </row>
    <row r="204" customFormat="false" ht="15" hidden="false" customHeight="true" outlineLevel="0" collapsed="false">
      <c r="A204" s="39" t="s">
        <v>458</v>
      </c>
      <c r="B204" s="39" t="s">
        <v>198</v>
      </c>
      <c r="C204" s="39" t="n">
        <v>0.22</v>
      </c>
      <c r="D204" s="40" t="str">
        <f aca="false">IFERROR(INDEX(المكونات!$B$2:$B$500,MATCH($B204,المكونات!$A$2:$A$500,0)),"")</f>
        <v>كجم</v>
      </c>
      <c r="E204" s="41" t="n">
        <f aca="false">IFERROR(INDEX(المكونات!$C$2:$C$500,MATCH($B204,المكونات!$A$2:$A$500,0)),"")</f>
        <v>22</v>
      </c>
      <c r="F204" s="42" t="n">
        <f aca="false">IFERROR($C204*$E204,"")</f>
        <v>4.84</v>
      </c>
    </row>
    <row r="205" customFormat="false" ht="15" hidden="false" customHeight="true" outlineLevel="0" collapsed="false">
      <c r="A205" s="39" t="s">
        <v>458</v>
      </c>
      <c r="B205" s="39" t="s">
        <v>186</v>
      </c>
      <c r="C205" s="39" t="n">
        <v>0.04</v>
      </c>
      <c r="D205" s="40" t="str">
        <f aca="false">IFERROR(INDEX(المكونات!$B$2:$B$500,MATCH($B205,المكونات!$A$2:$A$500,0)),"")</f>
        <v>كجم</v>
      </c>
      <c r="E205" s="41" t="n">
        <f aca="false">IFERROR(INDEX(المكونات!$C$2:$C$500,MATCH($B205,المكونات!$A$2:$A$500,0)),"")</f>
        <v>32</v>
      </c>
      <c r="F205" s="42" t="n">
        <f aca="false">IFERROR($C205*$E205,"")</f>
        <v>1.28</v>
      </c>
    </row>
    <row r="206" customFormat="false" ht="15" hidden="false" customHeight="true" outlineLevel="0" collapsed="false">
      <c r="A206" s="39" t="s">
        <v>458</v>
      </c>
      <c r="B206" s="39" t="s">
        <v>196</v>
      </c>
      <c r="C206" s="39" t="n">
        <v>0.03</v>
      </c>
      <c r="D206" s="40" t="str">
        <f aca="false">IFERROR(INDEX(المكونات!$B$2:$B$500,MATCH($B206,المكونات!$A$2:$A$500,0)),"")</f>
        <v>كجم</v>
      </c>
      <c r="E206" s="41" t="n">
        <f aca="false">IFERROR(INDEX(المكونات!$C$2:$C$500,MATCH($B206,المكونات!$A$2:$A$500,0)),"")</f>
        <v>21</v>
      </c>
      <c r="F206" s="42" t="n">
        <f aca="false">IFERROR($C206*$E206,"")</f>
        <v>0.63</v>
      </c>
    </row>
    <row r="207" customFormat="false" ht="15" hidden="false" customHeight="true" outlineLevel="0" collapsed="false">
      <c r="A207" s="39" t="s">
        <v>458</v>
      </c>
      <c r="B207" s="39" t="s">
        <v>219</v>
      </c>
      <c r="C207" s="39" t="n">
        <v>0.02</v>
      </c>
      <c r="D207" s="40" t="str">
        <f aca="false">IFERROR(INDEX(المكونات!$B$2:$B$500,MATCH($B207,المكونات!$A$2:$A$500,0)),"")</f>
        <v>كجم</v>
      </c>
      <c r="E207" s="41" t="n">
        <f aca="false">IFERROR(INDEX(المكونات!$C$2:$C$500,MATCH($B207,المكونات!$A$2:$A$500,0)),"")</f>
        <v>27</v>
      </c>
      <c r="F207" s="42" t="n">
        <f aca="false">IFERROR($C207*$E207,"")</f>
        <v>0.54</v>
      </c>
    </row>
    <row r="208" customFormat="false" ht="15" hidden="false" customHeight="true" outlineLevel="0" collapsed="false">
      <c r="A208" s="39" t="s">
        <v>458</v>
      </c>
      <c r="B208" s="39" t="s">
        <v>162</v>
      </c>
      <c r="C208" s="39" t="n">
        <v>0.02</v>
      </c>
      <c r="D208" s="40" t="str">
        <f aca="false">IFERROR(INDEX(المكونات!$B$2:$B$500,MATCH($B208,المكونات!$A$2:$A$500,0)),"")</f>
        <v>كجم</v>
      </c>
      <c r="E208" s="41" t="n">
        <f aca="false">IFERROR(INDEX(المكونات!$C$2:$C$500,MATCH($B208,المكونات!$A$2:$A$500,0)),"")</f>
        <v>95</v>
      </c>
      <c r="F208" s="42" t="n">
        <f aca="false">IFERROR($C208*$E208,"")</f>
        <v>1.9</v>
      </c>
    </row>
    <row r="209" customFormat="false" ht="15" hidden="false" customHeight="true" outlineLevel="0" collapsed="false">
      <c r="A209" s="39" t="s">
        <v>458</v>
      </c>
      <c r="B209" s="39" t="s">
        <v>106</v>
      </c>
      <c r="C209" s="39" t="n">
        <v>1</v>
      </c>
      <c r="D209" s="40" t="str">
        <f aca="false">IFERROR(INDEX(المكونات!$B$2:$B$500,MATCH($B209,المكونات!$A$2:$A$500,0)),"")</f>
        <v>قطعة</v>
      </c>
      <c r="E209" s="41" t="n">
        <f aca="false">IFERROR(INDEX(المكونات!$C$2:$C$500,MATCH($B209,المكونات!$A$2:$A$500,0)),"")</f>
        <v>20</v>
      </c>
      <c r="F209" s="42" t="n">
        <f aca="false">IFERROR($C209*$E209,"")</f>
        <v>20</v>
      </c>
    </row>
    <row r="210" customFormat="false" ht="15" hidden="false" customHeight="true" outlineLevel="0" collapsed="false">
      <c r="A210" s="39" t="s">
        <v>458</v>
      </c>
      <c r="B210" s="39" t="s">
        <v>206</v>
      </c>
      <c r="C210" s="39" t="n">
        <v>1</v>
      </c>
      <c r="D210" s="40" t="str">
        <f aca="false">IFERROR(INDEX(المكونات!$B$2:$B$500,MATCH($B210,المكونات!$A$2:$A$500,0)),"")</f>
        <v>قطعة</v>
      </c>
      <c r="E210" s="41" t="n">
        <f aca="false">IFERROR(INDEX(المكونات!$C$2:$C$500,MATCH($B210,المكونات!$A$2:$A$500,0)),"")</f>
        <v>4.5</v>
      </c>
      <c r="F210" s="42" t="n">
        <f aca="false">IFERROR($C210*$E210,"")</f>
        <v>4.5</v>
      </c>
    </row>
    <row r="211" customFormat="false" ht="15" hidden="false" customHeight="true" outlineLevel="0" collapsed="false">
      <c r="A211" s="39" t="s">
        <v>458</v>
      </c>
      <c r="B211" s="39" t="s">
        <v>225</v>
      </c>
      <c r="C211" s="39" t="n">
        <v>2</v>
      </c>
      <c r="D211" s="40" t="str">
        <f aca="false">IFERROR(INDEX(المكونات!$B$2:$B$500,MATCH($B211,المكونات!$A$2:$A$500,0)),"")</f>
        <v>قطعة</v>
      </c>
      <c r="E211" s="41" t="n">
        <f aca="false">IFERROR(INDEX(المكونات!$C$2:$C$500,MATCH($B211,المكونات!$A$2:$A$500,0)),"")</f>
        <v>0.3</v>
      </c>
      <c r="F211" s="42" t="n">
        <f aca="false">IFERROR($C211*$E211,"")</f>
        <v>0.6</v>
      </c>
    </row>
    <row r="212" customFormat="false" ht="15" hidden="false" customHeight="true" outlineLevel="0" collapsed="false">
      <c r="A212" s="39" t="s">
        <v>458</v>
      </c>
      <c r="B212" s="39" t="s">
        <v>254</v>
      </c>
      <c r="C212" s="39" t="n">
        <v>1</v>
      </c>
      <c r="D212" s="40" t="str">
        <f aca="false">IFERROR(INDEX(المكونات!$B$2:$B$500,MATCH($B212,المكونات!$A$2:$A$500,0)),"")</f>
        <v>قطعة (ورقة)</v>
      </c>
      <c r="E212" s="41" t="n">
        <f aca="false">IFERROR(INDEX(المكونات!$C$2:$C$500,MATCH($B212,المكونات!$A$2:$A$500,0)),"")</f>
        <v>0.3665</v>
      </c>
      <c r="F212" s="42" t="n">
        <f aca="false">IFERROR($C212*$E212,"")</f>
        <v>0.3665</v>
      </c>
    </row>
    <row r="213" customFormat="false" ht="15" hidden="false" customHeight="true" outlineLevel="0" collapsed="false">
      <c r="A213" s="39" t="s">
        <v>458</v>
      </c>
      <c r="B213" s="39" t="s">
        <v>67</v>
      </c>
      <c r="C213" s="39" t="n">
        <v>1</v>
      </c>
      <c r="D213" s="40" t="str">
        <f aca="false">IFERROR(INDEX(المكونات!$B$2:$B$500,MATCH($B213,المكونات!$A$2:$A$500,0)),"")</f>
        <v>قطعة (كيس)</v>
      </c>
      <c r="E213" s="41" t="n">
        <f aca="false">IFERROR(INDEX(المكونات!$C$2:$C$500,MATCH($B213,المكونات!$A$2:$A$500,0)),"")</f>
        <v>1.4</v>
      </c>
      <c r="F213" s="42" t="n">
        <f aca="false">IFERROR($C213*$E213,"")</f>
        <v>1.4</v>
      </c>
    </row>
    <row r="214" customFormat="false" ht="15" hidden="false" customHeight="true" outlineLevel="0" collapsed="false">
      <c r="A214" s="39" t="s">
        <v>458</v>
      </c>
      <c r="B214" s="39" t="s">
        <v>228</v>
      </c>
      <c r="C214" s="39" t="n">
        <v>1</v>
      </c>
      <c r="D214" s="40" t="str">
        <f aca="false">IFERROR(INDEX(المكونات!$B$2:$B$500,MATCH($B214,المكونات!$A$2:$A$500,0)),"")</f>
        <v>قطعة</v>
      </c>
      <c r="E214" s="41" t="n">
        <f aca="false">IFERROR(INDEX(المكونات!$C$2:$C$500,MATCH($B214,المكونات!$A$2:$A$500,0)),"")</f>
        <v>0.5</v>
      </c>
      <c r="F214" s="42" t="n">
        <f aca="false">IFERROR($C214*$E214,"")</f>
        <v>0.5</v>
      </c>
    </row>
    <row r="215" customFormat="false" ht="15" hidden="false" customHeight="true" outlineLevel="0" collapsed="false">
      <c r="A215" s="39" t="s">
        <v>458</v>
      </c>
      <c r="B215" s="39" t="s">
        <v>145</v>
      </c>
      <c r="C215" s="39" t="n">
        <v>2</v>
      </c>
      <c r="D215" s="40" t="str">
        <f aca="false">IFERROR(INDEX(المكونات!$B$2:$B$500,MATCH($B215,المكونات!$A$2:$A$500,0)),"")</f>
        <v>قطعة (جلفز)</v>
      </c>
      <c r="E215" s="41" t="n">
        <f aca="false">IFERROR(INDEX(المكونات!$C$2:$C$500,MATCH($B215,المكونات!$A$2:$A$500,0)),"")</f>
        <v>0.18</v>
      </c>
      <c r="F215" s="42" t="n">
        <f aca="false">IFERROR($C215*$E215,"")</f>
        <v>0.36</v>
      </c>
    </row>
    <row r="216" customFormat="false" ht="15" hidden="false" customHeight="true" outlineLevel="0" collapsed="false">
      <c r="A216" s="39" t="s">
        <v>458</v>
      </c>
      <c r="B216" s="39" t="s">
        <v>257</v>
      </c>
      <c r="C216" s="39" t="n">
        <v>1</v>
      </c>
      <c r="D216" s="40" t="str">
        <f aca="false">IFERROR(INDEX(المكونات!$B$2:$B$500,MATCH($B216,المكونات!$A$2:$A$500,0)),"")</f>
        <v>قطعة (كيس)</v>
      </c>
      <c r="E216" s="41" t="n">
        <f aca="false">IFERROR(INDEX(المكونات!$C$2:$C$500,MATCH($B216,المكونات!$A$2:$A$500,0)),"")</f>
        <v>0.9995</v>
      </c>
      <c r="F216" s="42" t="n">
        <f aca="false">IFERROR($C216*$E216,"")</f>
        <v>0.9995</v>
      </c>
    </row>
    <row r="217" customFormat="false" ht="15" hidden="false" customHeight="true" outlineLevel="0" collapsed="false">
      <c r="A217" s="39" t="s">
        <v>458</v>
      </c>
      <c r="B217" s="39" t="s">
        <v>84</v>
      </c>
      <c r="C217" s="39" t="n">
        <v>1</v>
      </c>
      <c r="D217" s="40" t="str">
        <f aca="false">IFERROR(INDEX(المكونات!$B$2:$B$500,MATCH($B217,المكونات!$A$2:$A$500,0)),"")</f>
        <v>قطعة</v>
      </c>
      <c r="E217" s="41" t="n">
        <f aca="false">IFERROR(INDEX(المكونات!$C$2:$C$500,MATCH($B217,المكونات!$A$2:$A$500,0)),"")</f>
        <v>95</v>
      </c>
      <c r="F217" s="42" t="n">
        <f aca="false">IFERROR($C217*$E217,"")</f>
        <v>95</v>
      </c>
    </row>
    <row r="218" customFormat="false" ht="15" hidden="false" customHeight="true" outlineLevel="0" collapsed="false">
      <c r="A218" s="39" t="s">
        <v>395</v>
      </c>
      <c r="B218" s="39" t="s">
        <v>198</v>
      </c>
      <c r="C218" s="39" t="n">
        <v>0.3</v>
      </c>
      <c r="D218" s="40" t="str">
        <f aca="false">IFERROR(INDEX(المكونات!$B$2:$B$500,MATCH($B218,المكونات!$A$2:$A$500,0)),"")</f>
        <v>كجم</v>
      </c>
      <c r="E218" s="41" t="n">
        <f aca="false">IFERROR(INDEX(المكونات!$C$2:$C$500,MATCH($B218,المكونات!$A$2:$A$500,0)),"")</f>
        <v>22</v>
      </c>
      <c r="F218" s="42" t="n">
        <f aca="false">IFERROR($C218*$E218,"")</f>
        <v>6.6</v>
      </c>
    </row>
    <row r="219" customFormat="false" ht="15" hidden="false" customHeight="true" outlineLevel="0" collapsed="false">
      <c r="A219" s="39" t="s">
        <v>395</v>
      </c>
      <c r="B219" s="39" t="s">
        <v>186</v>
      </c>
      <c r="C219" s="39" t="n">
        <v>0.06</v>
      </c>
      <c r="D219" s="40" t="str">
        <f aca="false">IFERROR(INDEX(المكونات!$B$2:$B$500,MATCH($B219,المكونات!$A$2:$A$500,0)),"")</f>
        <v>كجم</v>
      </c>
      <c r="E219" s="41" t="n">
        <f aca="false">IFERROR(INDEX(المكونات!$C$2:$C$500,MATCH($B219,المكونات!$A$2:$A$500,0)),"")</f>
        <v>32</v>
      </c>
      <c r="F219" s="42" t="n">
        <f aca="false">IFERROR($C219*$E219,"")</f>
        <v>1.92</v>
      </c>
    </row>
    <row r="220" customFormat="false" ht="15" hidden="false" customHeight="true" outlineLevel="0" collapsed="false">
      <c r="A220" s="39" t="s">
        <v>395</v>
      </c>
      <c r="B220" s="39" t="s">
        <v>196</v>
      </c>
      <c r="C220" s="39" t="n">
        <v>0.045</v>
      </c>
      <c r="D220" s="40" t="str">
        <f aca="false">IFERROR(INDEX(المكونات!$B$2:$B$500,MATCH($B220,المكونات!$A$2:$A$500,0)),"")</f>
        <v>كجم</v>
      </c>
      <c r="E220" s="41" t="n">
        <f aca="false">IFERROR(INDEX(المكونات!$C$2:$C$500,MATCH($B220,المكونات!$A$2:$A$500,0)),"")</f>
        <v>21</v>
      </c>
      <c r="F220" s="42" t="n">
        <f aca="false">IFERROR($C220*$E220,"")</f>
        <v>0.945</v>
      </c>
    </row>
    <row r="221" customFormat="false" ht="15" hidden="false" customHeight="true" outlineLevel="0" collapsed="false">
      <c r="A221" s="39" t="s">
        <v>395</v>
      </c>
      <c r="B221" s="39" t="s">
        <v>219</v>
      </c>
      <c r="C221" s="39" t="n">
        <v>0.03</v>
      </c>
      <c r="D221" s="40" t="str">
        <f aca="false">IFERROR(INDEX(المكونات!$B$2:$B$500,MATCH($B221,المكونات!$A$2:$A$500,0)),"")</f>
        <v>كجم</v>
      </c>
      <c r="E221" s="41" t="n">
        <f aca="false">IFERROR(INDEX(المكونات!$C$2:$C$500,MATCH($B221,المكونات!$A$2:$A$500,0)),"")</f>
        <v>27</v>
      </c>
      <c r="F221" s="42" t="n">
        <f aca="false">IFERROR($C221*$E221,"")</f>
        <v>0.81</v>
      </c>
    </row>
    <row r="222" customFormat="false" ht="15" hidden="false" customHeight="true" outlineLevel="0" collapsed="false">
      <c r="A222" s="39" t="s">
        <v>395</v>
      </c>
      <c r="B222" s="39" t="s">
        <v>162</v>
      </c>
      <c r="C222" s="39" t="n">
        <v>0.03</v>
      </c>
      <c r="D222" s="40" t="str">
        <f aca="false">IFERROR(INDEX(المكونات!$B$2:$B$500,MATCH($B222,المكونات!$A$2:$A$500,0)),"")</f>
        <v>كجم</v>
      </c>
      <c r="E222" s="41" t="n">
        <f aca="false">IFERROR(INDEX(المكونات!$C$2:$C$500,MATCH($B222,المكونات!$A$2:$A$500,0)),"")</f>
        <v>95</v>
      </c>
      <c r="F222" s="42" t="n">
        <f aca="false">IFERROR($C222*$E222,"")</f>
        <v>2.85</v>
      </c>
    </row>
    <row r="223" customFormat="false" ht="15" hidden="false" customHeight="true" outlineLevel="0" collapsed="false">
      <c r="A223" s="39" t="s">
        <v>395</v>
      </c>
      <c r="B223" s="39" t="s">
        <v>108</v>
      </c>
      <c r="C223" s="39" t="n">
        <v>1</v>
      </c>
      <c r="D223" s="40" t="str">
        <f aca="false">IFERROR(INDEX(المكونات!$B$2:$B$500,MATCH($B223,المكونات!$A$2:$A$500,0)),"")</f>
        <v>قطعة</v>
      </c>
      <c r="E223" s="41" t="n">
        <f aca="false">IFERROR(INDEX(المكونات!$C$2:$C$500,MATCH($B223,المكونات!$A$2:$A$500,0)),"")</f>
        <v>26.4194</v>
      </c>
      <c r="F223" s="42" t="n">
        <f aca="false">IFERROR($C223*$E223,"")</f>
        <v>26.4194</v>
      </c>
    </row>
    <row r="224" customFormat="false" ht="15" hidden="false" customHeight="true" outlineLevel="0" collapsed="false">
      <c r="A224" s="39" t="s">
        <v>395</v>
      </c>
      <c r="B224" s="39" t="s">
        <v>204</v>
      </c>
      <c r="C224" s="39" t="n">
        <v>1</v>
      </c>
      <c r="D224" s="40" t="str">
        <f aca="false">IFERROR(INDEX(المكونات!$B$2:$B$500,MATCH($B224,المكونات!$A$2:$A$500,0)),"")</f>
        <v>قطعة</v>
      </c>
      <c r="E224" s="41" t="n">
        <f aca="false">IFERROR(INDEX(المكونات!$C$2:$C$500,MATCH($B224,المكونات!$A$2:$A$500,0)),"")</f>
        <v>5.5</v>
      </c>
      <c r="F224" s="42" t="n">
        <f aca="false">IFERROR($C224*$E224,"")</f>
        <v>5.5</v>
      </c>
    </row>
    <row r="225" customFormat="false" ht="15" hidden="false" customHeight="true" outlineLevel="0" collapsed="false">
      <c r="A225" s="39" t="s">
        <v>395</v>
      </c>
      <c r="B225" s="39" t="s">
        <v>225</v>
      </c>
      <c r="C225" s="39" t="n">
        <v>3</v>
      </c>
      <c r="D225" s="40" t="str">
        <f aca="false">IFERROR(INDEX(المكونات!$B$2:$B$500,MATCH($B225,المكونات!$A$2:$A$500,0)),"")</f>
        <v>قطعة</v>
      </c>
      <c r="E225" s="41" t="n">
        <f aca="false">IFERROR(INDEX(المكونات!$C$2:$C$500,MATCH($B225,المكونات!$A$2:$A$500,0)),"")</f>
        <v>0.3</v>
      </c>
      <c r="F225" s="42" t="n">
        <f aca="false">IFERROR($C225*$E225,"")</f>
        <v>0.9</v>
      </c>
    </row>
    <row r="226" customFormat="false" ht="15" hidden="false" customHeight="true" outlineLevel="0" collapsed="false">
      <c r="A226" s="39" t="s">
        <v>395</v>
      </c>
      <c r="B226" s="39" t="s">
        <v>254</v>
      </c>
      <c r="C226" s="39" t="n">
        <v>1</v>
      </c>
      <c r="D226" s="40" t="str">
        <f aca="false">IFERROR(INDEX(المكونات!$B$2:$B$500,MATCH($B226,المكونات!$A$2:$A$500,0)),"")</f>
        <v>قطعة (ورقة)</v>
      </c>
      <c r="E226" s="41" t="n">
        <f aca="false">IFERROR(INDEX(المكونات!$C$2:$C$500,MATCH($B226,المكونات!$A$2:$A$500,0)),"")</f>
        <v>0.3665</v>
      </c>
      <c r="F226" s="42" t="n">
        <f aca="false">IFERROR($C226*$E226,"")</f>
        <v>0.3665</v>
      </c>
    </row>
    <row r="227" customFormat="false" ht="15" hidden="false" customHeight="true" outlineLevel="0" collapsed="false">
      <c r="A227" s="39" t="s">
        <v>395</v>
      </c>
      <c r="B227" s="39" t="s">
        <v>67</v>
      </c>
      <c r="C227" s="39" t="n">
        <v>1</v>
      </c>
      <c r="D227" s="40" t="str">
        <f aca="false">IFERROR(INDEX(المكونات!$B$2:$B$500,MATCH($B227,المكونات!$A$2:$A$500,0)),"")</f>
        <v>قطعة (كيس)</v>
      </c>
      <c r="E227" s="41" t="n">
        <f aca="false">IFERROR(INDEX(المكونات!$C$2:$C$500,MATCH($B227,المكونات!$A$2:$A$500,0)),"")</f>
        <v>1.4</v>
      </c>
      <c r="F227" s="42" t="n">
        <f aca="false">IFERROR($C227*$E227,"")</f>
        <v>1.4</v>
      </c>
    </row>
    <row r="228" customFormat="false" ht="15" hidden="false" customHeight="true" outlineLevel="0" collapsed="false">
      <c r="A228" s="39" t="s">
        <v>395</v>
      </c>
      <c r="B228" s="39" t="s">
        <v>228</v>
      </c>
      <c r="C228" s="39" t="n">
        <v>1</v>
      </c>
      <c r="D228" s="40" t="str">
        <f aca="false">IFERROR(INDEX(المكونات!$B$2:$B$500,MATCH($B228,المكونات!$A$2:$A$500,0)),"")</f>
        <v>قطعة</v>
      </c>
      <c r="E228" s="41" t="n">
        <f aca="false">IFERROR(INDEX(المكونات!$C$2:$C$500,MATCH($B228,المكونات!$A$2:$A$500,0)),"")</f>
        <v>0.5</v>
      </c>
      <c r="F228" s="42" t="n">
        <f aca="false">IFERROR($C228*$E228,"")</f>
        <v>0.5</v>
      </c>
    </row>
    <row r="229" customFormat="false" ht="15" hidden="false" customHeight="true" outlineLevel="0" collapsed="false">
      <c r="A229" s="39" t="s">
        <v>395</v>
      </c>
      <c r="B229" s="39" t="s">
        <v>145</v>
      </c>
      <c r="C229" s="39" t="n">
        <v>2</v>
      </c>
      <c r="D229" s="40" t="str">
        <f aca="false">IFERROR(INDEX(المكونات!$B$2:$B$500,MATCH($B229,المكونات!$A$2:$A$500,0)),"")</f>
        <v>قطعة (جلفز)</v>
      </c>
      <c r="E229" s="41" t="n">
        <f aca="false">IFERROR(INDEX(المكونات!$C$2:$C$500,MATCH($B229,المكونات!$A$2:$A$500,0)),"")</f>
        <v>0.18</v>
      </c>
      <c r="F229" s="42" t="n">
        <f aca="false">IFERROR($C229*$E229,"")</f>
        <v>0.36</v>
      </c>
    </row>
    <row r="230" customFormat="false" ht="15" hidden="false" customHeight="true" outlineLevel="0" collapsed="false">
      <c r="A230" s="39" t="s">
        <v>395</v>
      </c>
      <c r="B230" s="39" t="s">
        <v>257</v>
      </c>
      <c r="C230" s="39" t="n">
        <v>1</v>
      </c>
      <c r="D230" s="40" t="str">
        <f aca="false">IFERROR(INDEX(المكونات!$B$2:$B$500,MATCH($B230,المكونات!$A$2:$A$500,0)),"")</f>
        <v>قطعة (كيس)</v>
      </c>
      <c r="E230" s="41" t="n">
        <f aca="false">IFERROR(INDEX(المكونات!$C$2:$C$500,MATCH($B230,المكونات!$A$2:$A$500,0)),"")</f>
        <v>0.9995</v>
      </c>
      <c r="F230" s="42" t="n">
        <f aca="false">IFERROR($C230*$E230,"")</f>
        <v>0.9995</v>
      </c>
    </row>
    <row r="231" customFormat="false" ht="15" hidden="false" customHeight="true" outlineLevel="0" collapsed="false">
      <c r="A231" s="39" t="s">
        <v>395</v>
      </c>
      <c r="B231" s="39" t="s">
        <v>84</v>
      </c>
      <c r="C231" s="39" t="n">
        <v>1.5</v>
      </c>
      <c r="D231" s="40" t="str">
        <f aca="false">IFERROR(INDEX(المكونات!$B$2:$B$500,MATCH($B231,المكونات!$A$2:$A$500,0)),"")</f>
        <v>قطعة</v>
      </c>
      <c r="E231" s="41" t="n">
        <f aca="false">IFERROR(INDEX(المكونات!$C$2:$C$500,MATCH($B231,المكونات!$A$2:$A$500,0)),"")</f>
        <v>95</v>
      </c>
      <c r="F231" s="42" t="n">
        <f aca="false">IFERROR($C231*$E231,"")</f>
        <v>142.5</v>
      </c>
    </row>
    <row r="232" customFormat="false" ht="15" hidden="false" customHeight="true" outlineLevel="0" collapsed="false">
      <c r="A232" s="39" t="s">
        <v>394</v>
      </c>
      <c r="B232" s="39" t="s">
        <v>198</v>
      </c>
      <c r="C232" s="39" t="n">
        <v>0.22</v>
      </c>
      <c r="D232" s="40" t="str">
        <f aca="false">IFERROR(INDEX(المكونات!$B$2:$B$500,MATCH($B232,المكونات!$A$2:$A$500,0)),"")</f>
        <v>كجم</v>
      </c>
      <c r="E232" s="41" t="n">
        <f aca="false">IFERROR(INDEX(المكونات!$C$2:$C$500,MATCH($B232,المكونات!$A$2:$A$500,0)),"")</f>
        <v>22</v>
      </c>
      <c r="F232" s="42" t="n">
        <f aca="false">IFERROR($C232*$E232,"")</f>
        <v>4.84</v>
      </c>
    </row>
    <row r="233" customFormat="false" ht="15" hidden="false" customHeight="true" outlineLevel="0" collapsed="false">
      <c r="A233" s="39" t="s">
        <v>394</v>
      </c>
      <c r="B233" s="39" t="s">
        <v>186</v>
      </c>
      <c r="C233" s="39" t="n">
        <v>0.04</v>
      </c>
      <c r="D233" s="40" t="str">
        <f aca="false">IFERROR(INDEX(المكونات!$B$2:$B$500,MATCH($B233,المكونات!$A$2:$A$500,0)),"")</f>
        <v>كجم</v>
      </c>
      <c r="E233" s="41" t="n">
        <f aca="false">IFERROR(INDEX(المكونات!$C$2:$C$500,MATCH($B233,المكونات!$A$2:$A$500,0)),"")</f>
        <v>32</v>
      </c>
      <c r="F233" s="42" t="n">
        <f aca="false">IFERROR($C233*$E233,"")</f>
        <v>1.28</v>
      </c>
    </row>
    <row r="234" customFormat="false" ht="15" hidden="false" customHeight="true" outlineLevel="0" collapsed="false">
      <c r="A234" s="39" t="s">
        <v>394</v>
      </c>
      <c r="B234" s="39" t="s">
        <v>196</v>
      </c>
      <c r="C234" s="39" t="n">
        <v>0.03</v>
      </c>
      <c r="D234" s="40" t="str">
        <f aca="false">IFERROR(INDEX(المكونات!$B$2:$B$500,MATCH($B234,المكونات!$A$2:$A$500,0)),"")</f>
        <v>كجم</v>
      </c>
      <c r="E234" s="41" t="n">
        <f aca="false">IFERROR(INDEX(المكونات!$C$2:$C$500,MATCH($B234,المكونات!$A$2:$A$500,0)),"")</f>
        <v>21</v>
      </c>
      <c r="F234" s="42" t="n">
        <f aca="false">IFERROR($C234*$E234,"")</f>
        <v>0.63</v>
      </c>
    </row>
    <row r="235" customFormat="false" ht="15" hidden="false" customHeight="true" outlineLevel="0" collapsed="false">
      <c r="A235" s="39" t="s">
        <v>394</v>
      </c>
      <c r="B235" s="39" t="s">
        <v>219</v>
      </c>
      <c r="C235" s="39" t="n">
        <v>0.02</v>
      </c>
      <c r="D235" s="40" t="str">
        <f aca="false">IFERROR(INDEX(المكونات!$B$2:$B$500,MATCH($B235,المكونات!$A$2:$A$500,0)),"")</f>
        <v>كجم</v>
      </c>
      <c r="E235" s="41" t="n">
        <f aca="false">IFERROR(INDEX(المكونات!$C$2:$C$500,MATCH($B235,المكونات!$A$2:$A$500,0)),"")</f>
        <v>27</v>
      </c>
      <c r="F235" s="42" t="n">
        <f aca="false">IFERROR($C235*$E235,"")</f>
        <v>0.54</v>
      </c>
    </row>
    <row r="236" customFormat="false" ht="15" hidden="false" customHeight="true" outlineLevel="0" collapsed="false">
      <c r="A236" s="39" t="s">
        <v>394</v>
      </c>
      <c r="B236" s="39" t="s">
        <v>162</v>
      </c>
      <c r="C236" s="39" t="n">
        <v>0.02</v>
      </c>
      <c r="D236" s="40" t="str">
        <f aca="false">IFERROR(INDEX(المكونات!$B$2:$B$500,MATCH($B236,المكونات!$A$2:$A$500,0)),"")</f>
        <v>كجم</v>
      </c>
      <c r="E236" s="41" t="n">
        <f aca="false">IFERROR(INDEX(المكونات!$C$2:$C$500,MATCH($B236,المكونات!$A$2:$A$500,0)),"")</f>
        <v>95</v>
      </c>
      <c r="F236" s="42" t="n">
        <f aca="false">IFERROR($C236*$E236,"")</f>
        <v>1.9</v>
      </c>
    </row>
    <row r="237" customFormat="false" ht="15" hidden="false" customHeight="true" outlineLevel="0" collapsed="false">
      <c r="A237" s="39" t="s">
        <v>394</v>
      </c>
      <c r="B237" s="39" t="s">
        <v>106</v>
      </c>
      <c r="C237" s="39" t="n">
        <v>1</v>
      </c>
      <c r="D237" s="40" t="str">
        <f aca="false">IFERROR(INDEX(المكونات!$B$2:$B$500,MATCH($B237,المكونات!$A$2:$A$500,0)),"")</f>
        <v>قطعة</v>
      </c>
      <c r="E237" s="41" t="n">
        <f aca="false">IFERROR(INDEX(المكونات!$C$2:$C$500,MATCH($B237,المكونات!$A$2:$A$500,0)),"")</f>
        <v>20</v>
      </c>
      <c r="F237" s="42" t="n">
        <f aca="false">IFERROR($C237*$E237,"")</f>
        <v>20</v>
      </c>
    </row>
    <row r="238" customFormat="false" ht="15" hidden="false" customHeight="true" outlineLevel="0" collapsed="false">
      <c r="A238" s="39" t="s">
        <v>394</v>
      </c>
      <c r="B238" s="39" t="s">
        <v>206</v>
      </c>
      <c r="C238" s="39" t="n">
        <v>1</v>
      </c>
      <c r="D238" s="40" t="str">
        <f aca="false">IFERROR(INDEX(المكونات!$B$2:$B$500,MATCH($B238,المكونات!$A$2:$A$500,0)),"")</f>
        <v>قطعة</v>
      </c>
      <c r="E238" s="41" t="n">
        <f aca="false">IFERROR(INDEX(المكونات!$C$2:$C$500,MATCH($B238,المكونات!$A$2:$A$500,0)),"")</f>
        <v>4.5</v>
      </c>
      <c r="F238" s="42" t="n">
        <f aca="false">IFERROR($C238*$E238,"")</f>
        <v>4.5</v>
      </c>
    </row>
    <row r="239" customFormat="false" ht="15" hidden="false" customHeight="true" outlineLevel="0" collapsed="false">
      <c r="A239" s="39" t="s">
        <v>394</v>
      </c>
      <c r="B239" s="39" t="s">
        <v>225</v>
      </c>
      <c r="C239" s="39" t="n">
        <v>2</v>
      </c>
      <c r="D239" s="40" t="str">
        <f aca="false">IFERROR(INDEX(المكونات!$B$2:$B$500,MATCH($B239,المكونات!$A$2:$A$500,0)),"")</f>
        <v>قطعة</v>
      </c>
      <c r="E239" s="41" t="n">
        <f aca="false">IFERROR(INDEX(المكونات!$C$2:$C$500,MATCH($B239,المكونات!$A$2:$A$500,0)),"")</f>
        <v>0.3</v>
      </c>
      <c r="F239" s="42" t="n">
        <f aca="false">IFERROR($C239*$E239,"")</f>
        <v>0.6</v>
      </c>
    </row>
    <row r="240" customFormat="false" ht="15" hidden="false" customHeight="true" outlineLevel="0" collapsed="false">
      <c r="A240" s="39" t="s">
        <v>394</v>
      </c>
      <c r="B240" s="39" t="s">
        <v>254</v>
      </c>
      <c r="C240" s="39" t="n">
        <v>1</v>
      </c>
      <c r="D240" s="40" t="str">
        <f aca="false">IFERROR(INDEX(المكونات!$B$2:$B$500,MATCH($B240,المكونات!$A$2:$A$500,0)),"")</f>
        <v>قطعة (ورقة)</v>
      </c>
      <c r="E240" s="41" t="n">
        <f aca="false">IFERROR(INDEX(المكونات!$C$2:$C$500,MATCH($B240,المكونات!$A$2:$A$500,0)),"")</f>
        <v>0.3665</v>
      </c>
      <c r="F240" s="42" t="n">
        <f aca="false">IFERROR($C240*$E240,"")</f>
        <v>0.3665</v>
      </c>
    </row>
    <row r="241" customFormat="false" ht="15" hidden="false" customHeight="true" outlineLevel="0" collapsed="false">
      <c r="A241" s="39" t="s">
        <v>394</v>
      </c>
      <c r="B241" s="39" t="s">
        <v>67</v>
      </c>
      <c r="C241" s="39" t="n">
        <v>1</v>
      </c>
      <c r="D241" s="40" t="str">
        <f aca="false">IFERROR(INDEX(المكونات!$B$2:$B$500,MATCH($B241,المكونات!$A$2:$A$500,0)),"")</f>
        <v>قطعة (كيس)</v>
      </c>
      <c r="E241" s="41" t="n">
        <f aca="false">IFERROR(INDEX(المكونات!$C$2:$C$500,MATCH($B241,المكونات!$A$2:$A$500,0)),"")</f>
        <v>1.4</v>
      </c>
      <c r="F241" s="42" t="n">
        <f aca="false">IFERROR($C241*$E241,"")</f>
        <v>1.4</v>
      </c>
    </row>
    <row r="242" customFormat="false" ht="15" hidden="false" customHeight="true" outlineLevel="0" collapsed="false">
      <c r="A242" s="39" t="s">
        <v>394</v>
      </c>
      <c r="B242" s="39" t="s">
        <v>228</v>
      </c>
      <c r="C242" s="39" t="n">
        <v>1</v>
      </c>
      <c r="D242" s="40" t="str">
        <f aca="false">IFERROR(INDEX(المكونات!$B$2:$B$500,MATCH($B242,المكونات!$A$2:$A$500,0)),"")</f>
        <v>قطعة</v>
      </c>
      <c r="E242" s="41" t="n">
        <f aca="false">IFERROR(INDEX(المكونات!$C$2:$C$500,MATCH($B242,المكونات!$A$2:$A$500,0)),"")</f>
        <v>0.5</v>
      </c>
      <c r="F242" s="42" t="n">
        <f aca="false">IFERROR($C242*$E242,"")</f>
        <v>0.5</v>
      </c>
    </row>
    <row r="243" customFormat="false" ht="15" hidden="false" customHeight="true" outlineLevel="0" collapsed="false">
      <c r="A243" s="39" t="s">
        <v>394</v>
      </c>
      <c r="B243" s="39" t="s">
        <v>145</v>
      </c>
      <c r="C243" s="39" t="n">
        <v>2</v>
      </c>
      <c r="D243" s="40" t="str">
        <f aca="false">IFERROR(INDEX(المكونات!$B$2:$B$500,MATCH($B243,المكونات!$A$2:$A$500,0)),"")</f>
        <v>قطعة (جلفز)</v>
      </c>
      <c r="E243" s="41" t="n">
        <f aca="false">IFERROR(INDEX(المكونات!$C$2:$C$500,MATCH($B243,المكونات!$A$2:$A$500,0)),"")</f>
        <v>0.18</v>
      </c>
      <c r="F243" s="42" t="n">
        <f aca="false">IFERROR($C243*$E243,"")</f>
        <v>0.36</v>
      </c>
    </row>
    <row r="244" customFormat="false" ht="15" hidden="false" customHeight="true" outlineLevel="0" collapsed="false">
      <c r="A244" s="39" t="s">
        <v>394</v>
      </c>
      <c r="B244" s="39" t="s">
        <v>257</v>
      </c>
      <c r="C244" s="39" t="n">
        <v>1</v>
      </c>
      <c r="D244" s="40" t="str">
        <f aca="false">IFERROR(INDEX(المكونات!$B$2:$B$500,MATCH($B244,المكونات!$A$2:$A$500,0)),"")</f>
        <v>قطعة (كيس)</v>
      </c>
      <c r="E244" s="41" t="n">
        <f aca="false">IFERROR(INDEX(المكونات!$C$2:$C$500,MATCH($B244,المكونات!$A$2:$A$500,0)),"")</f>
        <v>0.9995</v>
      </c>
      <c r="F244" s="42" t="n">
        <f aca="false">IFERROR($C244*$E244,"")</f>
        <v>0.9995</v>
      </c>
    </row>
    <row r="245" customFormat="false" ht="15" hidden="false" customHeight="true" outlineLevel="0" collapsed="false">
      <c r="A245" s="39" t="s">
        <v>394</v>
      </c>
      <c r="B245" s="39" t="s">
        <v>96</v>
      </c>
      <c r="C245" s="39" t="n">
        <v>1</v>
      </c>
      <c r="D245" s="40" t="str">
        <f aca="false">IFERROR(INDEX(المكونات!$B$2:$B$500,MATCH($B245,المكونات!$A$2:$A$500,0)),"")</f>
        <v>قطعة</v>
      </c>
      <c r="E245" s="41" t="n">
        <f aca="false">IFERROR(INDEX(المكونات!$C$2:$C$500,MATCH($B245,المكونات!$A$2:$A$500,0)),"")</f>
        <v>30</v>
      </c>
      <c r="F245" s="42" t="n">
        <f aca="false">IFERROR($C245*$E245,"")</f>
        <v>30</v>
      </c>
    </row>
    <row r="246" customFormat="false" ht="15" hidden="false" customHeight="true" outlineLevel="0" collapsed="false">
      <c r="A246" s="39" t="s">
        <v>394</v>
      </c>
      <c r="B246" s="39" t="s">
        <v>192</v>
      </c>
      <c r="C246" s="39" t="n">
        <v>0.1</v>
      </c>
      <c r="D246" s="40" t="str">
        <f aca="false">IFERROR(INDEX(المكونات!$B$2:$B$500,MATCH($B246,المكونات!$A$2:$A$500,0)),"")</f>
        <v>كجم</v>
      </c>
      <c r="E246" s="41" t="n">
        <f aca="false">IFERROR(INDEX(المكونات!$C$2:$C$500,MATCH($B246,المكونات!$A$2:$A$500,0)),"")</f>
        <v>105</v>
      </c>
      <c r="F246" s="42" t="n">
        <f aca="false">IFERROR($C246*$E246,"")</f>
        <v>10.5</v>
      </c>
    </row>
    <row r="247" customFormat="false" ht="15" hidden="false" customHeight="true" outlineLevel="0" collapsed="false">
      <c r="A247" s="39" t="s">
        <v>318</v>
      </c>
      <c r="B247" s="39" t="s">
        <v>198</v>
      </c>
      <c r="C247" s="39" t="n">
        <v>0.3</v>
      </c>
      <c r="D247" s="40" t="str">
        <f aca="false">IFERROR(INDEX(المكونات!$B$2:$B$500,MATCH($B247,المكونات!$A$2:$A$500,0)),"")</f>
        <v>كجم</v>
      </c>
      <c r="E247" s="41" t="n">
        <f aca="false">IFERROR(INDEX(المكونات!$C$2:$C$500,MATCH($B247,المكونات!$A$2:$A$500,0)),"")</f>
        <v>22</v>
      </c>
      <c r="F247" s="42" t="n">
        <f aca="false">IFERROR($C247*$E247,"")</f>
        <v>6.6</v>
      </c>
    </row>
    <row r="248" customFormat="false" ht="15" hidden="false" customHeight="true" outlineLevel="0" collapsed="false">
      <c r="A248" s="39" t="s">
        <v>318</v>
      </c>
      <c r="B248" s="39" t="s">
        <v>186</v>
      </c>
      <c r="C248" s="39" t="n">
        <v>0.06</v>
      </c>
      <c r="D248" s="40" t="str">
        <f aca="false">IFERROR(INDEX(المكونات!$B$2:$B$500,MATCH($B248,المكونات!$A$2:$A$500,0)),"")</f>
        <v>كجم</v>
      </c>
      <c r="E248" s="41" t="n">
        <f aca="false">IFERROR(INDEX(المكونات!$C$2:$C$500,MATCH($B248,المكونات!$A$2:$A$500,0)),"")</f>
        <v>32</v>
      </c>
      <c r="F248" s="42" t="n">
        <f aca="false">IFERROR($C248*$E248,"")</f>
        <v>1.92</v>
      </c>
    </row>
    <row r="249" customFormat="false" ht="15" hidden="false" customHeight="true" outlineLevel="0" collapsed="false">
      <c r="A249" s="39" t="s">
        <v>318</v>
      </c>
      <c r="B249" s="39" t="s">
        <v>196</v>
      </c>
      <c r="C249" s="39" t="n">
        <v>0.045</v>
      </c>
      <c r="D249" s="40" t="str">
        <f aca="false">IFERROR(INDEX(المكونات!$B$2:$B$500,MATCH($B249,المكونات!$A$2:$A$500,0)),"")</f>
        <v>كجم</v>
      </c>
      <c r="E249" s="41" t="n">
        <f aca="false">IFERROR(INDEX(المكونات!$C$2:$C$500,MATCH($B249,المكونات!$A$2:$A$500,0)),"")</f>
        <v>21</v>
      </c>
      <c r="F249" s="42" t="n">
        <f aca="false">IFERROR($C249*$E249,"")</f>
        <v>0.945</v>
      </c>
    </row>
    <row r="250" customFormat="false" ht="15" hidden="false" customHeight="true" outlineLevel="0" collapsed="false">
      <c r="A250" s="39" t="s">
        <v>318</v>
      </c>
      <c r="B250" s="39" t="s">
        <v>219</v>
      </c>
      <c r="C250" s="39" t="n">
        <v>0.03</v>
      </c>
      <c r="D250" s="40" t="str">
        <f aca="false">IFERROR(INDEX(المكونات!$B$2:$B$500,MATCH($B250,المكونات!$A$2:$A$500,0)),"")</f>
        <v>كجم</v>
      </c>
      <c r="E250" s="41" t="n">
        <f aca="false">IFERROR(INDEX(المكونات!$C$2:$C$500,MATCH($B250,المكونات!$A$2:$A$500,0)),"")</f>
        <v>27</v>
      </c>
      <c r="F250" s="42" t="n">
        <f aca="false">IFERROR($C250*$E250,"")</f>
        <v>0.81</v>
      </c>
    </row>
    <row r="251" customFormat="false" ht="15" hidden="false" customHeight="true" outlineLevel="0" collapsed="false">
      <c r="A251" s="39" t="s">
        <v>318</v>
      </c>
      <c r="B251" s="39" t="s">
        <v>162</v>
      </c>
      <c r="C251" s="39" t="n">
        <v>0.03</v>
      </c>
      <c r="D251" s="40" t="str">
        <f aca="false">IFERROR(INDEX(المكونات!$B$2:$B$500,MATCH($B251,المكونات!$A$2:$A$500,0)),"")</f>
        <v>كجم</v>
      </c>
      <c r="E251" s="41" t="n">
        <f aca="false">IFERROR(INDEX(المكونات!$C$2:$C$500,MATCH($B251,المكونات!$A$2:$A$500,0)),"")</f>
        <v>95</v>
      </c>
      <c r="F251" s="42" t="n">
        <f aca="false">IFERROR($C251*$E251,"")</f>
        <v>2.85</v>
      </c>
    </row>
    <row r="252" customFormat="false" ht="15" hidden="false" customHeight="true" outlineLevel="0" collapsed="false">
      <c r="A252" s="39" t="s">
        <v>318</v>
      </c>
      <c r="B252" s="39" t="s">
        <v>108</v>
      </c>
      <c r="C252" s="39" t="n">
        <v>1</v>
      </c>
      <c r="D252" s="40" t="str">
        <f aca="false">IFERROR(INDEX(المكونات!$B$2:$B$500,MATCH($B252,المكونات!$A$2:$A$500,0)),"")</f>
        <v>قطعة</v>
      </c>
      <c r="E252" s="41" t="n">
        <f aca="false">IFERROR(INDEX(المكونات!$C$2:$C$500,MATCH($B252,المكونات!$A$2:$A$500,0)),"")</f>
        <v>26.4194</v>
      </c>
      <c r="F252" s="42" t="n">
        <f aca="false">IFERROR($C252*$E252,"")</f>
        <v>26.4194</v>
      </c>
    </row>
    <row r="253" customFormat="false" ht="15" hidden="false" customHeight="true" outlineLevel="0" collapsed="false">
      <c r="A253" s="39" t="s">
        <v>318</v>
      </c>
      <c r="B253" s="39" t="s">
        <v>204</v>
      </c>
      <c r="C253" s="39" t="n">
        <v>1</v>
      </c>
      <c r="D253" s="40" t="str">
        <f aca="false">IFERROR(INDEX(المكونات!$B$2:$B$500,MATCH($B253,المكونات!$A$2:$A$500,0)),"")</f>
        <v>قطعة</v>
      </c>
      <c r="E253" s="41" t="n">
        <f aca="false">IFERROR(INDEX(المكونات!$C$2:$C$500,MATCH($B253,المكونات!$A$2:$A$500,0)),"")</f>
        <v>5.5</v>
      </c>
      <c r="F253" s="42" t="n">
        <f aca="false">IFERROR($C253*$E253,"")</f>
        <v>5.5</v>
      </c>
    </row>
    <row r="254" customFormat="false" ht="15" hidden="false" customHeight="true" outlineLevel="0" collapsed="false">
      <c r="A254" s="39" t="s">
        <v>318</v>
      </c>
      <c r="B254" s="39" t="s">
        <v>225</v>
      </c>
      <c r="C254" s="39" t="n">
        <v>3</v>
      </c>
      <c r="D254" s="40" t="str">
        <f aca="false">IFERROR(INDEX(المكونات!$B$2:$B$500,MATCH($B254,المكونات!$A$2:$A$500,0)),"")</f>
        <v>قطعة</v>
      </c>
      <c r="E254" s="41" t="n">
        <f aca="false">IFERROR(INDEX(المكونات!$C$2:$C$500,MATCH($B254,المكونات!$A$2:$A$500,0)),"")</f>
        <v>0.3</v>
      </c>
      <c r="F254" s="42" t="n">
        <f aca="false">IFERROR($C254*$E254,"")</f>
        <v>0.9</v>
      </c>
    </row>
    <row r="255" customFormat="false" ht="15" hidden="false" customHeight="true" outlineLevel="0" collapsed="false">
      <c r="A255" s="39" t="s">
        <v>318</v>
      </c>
      <c r="B255" s="39" t="s">
        <v>254</v>
      </c>
      <c r="C255" s="39" t="n">
        <v>1</v>
      </c>
      <c r="D255" s="40" t="str">
        <f aca="false">IFERROR(INDEX(المكونات!$B$2:$B$500,MATCH($B255,المكونات!$A$2:$A$500,0)),"")</f>
        <v>قطعة (ورقة)</v>
      </c>
      <c r="E255" s="41" t="n">
        <f aca="false">IFERROR(INDEX(المكونات!$C$2:$C$500,MATCH($B255,المكونات!$A$2:$A$500,0)),"")</f>
        <v>0.3665</v>
      </c>
      <c r="F255" s="42" t="n">
        <f aca="false">IFERROR($C255*$E255,"")</f>
        <v>0.3665</v>
      </c>
    </row>
    <row r="256" customFormat="false" ht="15" hidden="false" customHeight="true" outlineLevel="0" collapsed="false">
      <c r="A256" s="39" t="s">
        <v>318</v>
      </c>
      <c r="B256" s="39" t="s">
        <v>67</v>
      </c>
      <c r="C256" s="39" t="n">
        <v>1</v>
      </c>
      <c r="D256" s="40" t="str">
        <f aca="false">IFERROR(INDEX(المكونات!$B$2:$B$500,MATCH($B256,المكونات!$A$2:$A$500,0)),"")</f>
        <v>قطعة (كيس)</v>
      </c>
      <c r="E256" s="41" t="n">
        <f aca="false">IFERROR(INDEX(المكونات!$C$2:$C$500,MATCH($B256,المكونات!$A$2:$A$500,0)),"")</f>
        <v>1.4</v>
      </c>
      <c r="F256" s="42" t="n">
        <f aca="false">IFERROR($C256*$E256,"")</f>
        <v>1.4</v>
      </c>
    </row>
    <row r="257" customFormat="false" ht="15" hidden="false" customHeight="true" outlineLevel="0" collapsed="false">
      <c r="A257" s="39" t="s">
        <v>318</v>
      </c>
      <c r="B257" s="39" t="s">
        <v>228</v>
      </c>
      <c r="C257" s="39" t="n">
        <v>1</v>
      </c>
      <c r="D257" s="40" t="str">
        <f aca="false">IFERROR(INDEX(المكونات!$B$2:$B$500,MATCH($B257,المكونات!$A$2:$A$500,0)),"")</f>
        <v>قطعة</v>
      </c>
      <c r="E257" s="41" t="n">
        <f aca="false">IFERROR(INDEX(المكونات!$C$2:$C$500,MATCH($B257,المكونات!$A$2:$A$500,0)),"")</f>
        <v>0.5</v>
      </c>
      <c r="F257" s="42" t="n">
        <f aca="false">IFERROR($C257*$E257,"")</f>
        <v>0.5</v>
      </c>
    </row>
    <row r="258" customFormat="false" ht="15" hidden="false" customHeight="true" outlineLevel="0" collapsed="false">
      <c r="A258" s="39" t="s">
        <v>318</v>
      </c>
      <c r="B258" s="39" t="s">
        <v>145</v>
      </c>
      <c r="C258" s="39" t="n">
        <v>2</v>
      </c>
      <c r="D258" s="40" t="str">
        <f aca="false">IFERROR(INDEX(المكونات!$B$2:$B$500,MATCH($B258,المكونات!$A$2:$A$500,0)),"")</f>
        <v>قطعة (جلفز)</v>
      </c>
      <c r="E258" s="41" t="n">
        <f aca="false">IFERROR(INDEX(المكونات!$C$2:$C$500,MATCH($B258,المكونات!$A$2:$A$500,0)),"")</f>
        <v>0.18</v>
      </c>
      <c r="F258" s="42" t="n">
        <f aca="false">IFERROR($C258*$E258,"")</f>
        <v>0.36</v>
      </c>
    </row>
    <row r="259" customFormat="false" ht="15" hidden="false" customHeight="true" outlineLevel="0" collapsed="false">
      <c r="A259" s="39" t="s">
        <v>318</v>
      </c>
      <c r="B259" s="39" t="s">
        <v>257</v>
      </c>
      <c r="C259" s="39" t="n">
        <v>1</v>
      </c>
      <c r="D259" s="40" t="str">
        <f aca="false">IFERROR(INDEX(المكونات!$B$2:$B$500,MATCH($B259,المكونات!$A$2:$A$500,0)),"")</f>
        <v>قطعة (كيس)</v>
      </c>
      <c r="E259" s="41" t="n">
        <f aca="false">IFERROR(INDEX(المكونات!$C$2:$C$500,MATCH($B259,المكونات!$A$2:$A$500,0)),"")</f>
        <v>0.9995</v>
      </c>
      <c r="F259" s="42" t="n">
        <f aca="false">IFERROR($C259*$E259,"")</f>
        <v>0.9995</v>
      </c>
    </row>
    <row r="260" customFormat="false" ht="15" hidden="false" customHeight="true" outlineLevel="0" collapsed="false">
      <c r="A260" s="39" t="s">
        <v>318</v>
      </c>
      <c r="B260" s="39" t="s">
        <v>98</v>
      </c>
      <c r="C260" s="39" t="n">
        <v>1</v>
      </c>
      <c r="D260" s="40" t="str">
        <f aca="false">IFERROR(INDEX(المكونات!$B$2:$B$500,MATCH($B260,المكونات!$A$2:$A$500,0)),"")</f>
        <v>قطعة</v>
      </c>
      <c r="E260" s="41" t="n">
        <f aca="false">IFERROR(INDEX(المكونات!$C$2:$C$500,MATCH($B260,المكونات!$A$2:$A$500,0)),"")</f>
        <v>29</v>
      </c>
      <c r="F260" s="42" t="n">
        <f aca="false">IFERROR($C260*$E260,"")</f>
        <v>29</v>
      </c>
    </row>
    <row r="261" customFormat="false" ht="15" hidden="false" customHeight="true" outlineLevel="0" collapsed="false">
      <c r="A261" s="39" t="s">
        <v>318</v>
      </c>
      <c r="B261" s="39" t="s">
        <v>192</v>
      </c>
      <c r="C261" s="39" t="n">
        <v>0.15</v>
      </c>
      <c r="D261" s="40" t="str">
        <f aca="false">IFERROR(INDEX(المكونات!$B$2:$B$500,MATCH($B261,المكونات!$A$2:$A$500,0)),"")</f>
        <v>كجم</v>
      </c>
      <c r="E261" s="41" t="n">
        <f aca="false">IFERROR(INDEX(المكونات!$C$2:$C$500,MATCH($B261,المكونات!$A$2:$A$500,0)),"")</f>
        <v>105</v>
      </c>
      <c r="F261" s="42" t="n">
        <f aca="false">IFERROR($C261*$E261,"")</f>
        <v>15.75</v>
      </c>
    </row>
    <row r="262" customFormat="false" ht="15" hidden="false" customHeight="true" outlineLevel="0" collapsed="false">
      <c r="A262" s="39" t="s">
        <v>411</v>
      </c>
      <c r="B262" s="39" t="s">
        <v>198</v>
      </c>
      <c r="C262" s="39" t="n">
        <v>0.22</v>
      </c>
      <c r="D262" s="40" t="str">
        <f aca="false">IFERROR(INDEX(المكونات!$B$2:$B$500,MATCH($B262,المكونات!$A$2:$A$500,0)),"")</f>
        <v>كجم</v>
      </c>
      <c r="E262" s="41" t="n">
        <f aca="false">IFERROR(INDEX(المكونات!$C$2:$C$500,MATCH($B262,المكونات!$A$2:$A$500,0)),"")</f>
        <v>22</v>
      </c>
      <c r="F262" s="42" t="n">
        <f aca="false">IFERROR($C262*$E262,"")</f>
        <v>4.84</v>
      </c>
    </row>
    <row r="263" customFormat="false" ht="15" hidden="false" customHeight="true" outlineLevel="0" collapsed="false">
      <c r="A263" s="39" t="s">
        <v>411</v>
      </c>
      <c r="B263" s="39" t="s">
        <v>186</v>
      </c>
      <c r="C263" s="39" t="n">
        <v>0.04</v>
      </c>
      <c r="D263" s="40" t="str">
        <f aca="false">IFERROR(INDEX(المكونات!$B$2:$B$500,MATCH($B263,المكونات!$A$2:$A$500,0)),"")</f>
        <v>كجم</v>
      </c>
      <c r="E263" s="41" t="n">
        <f aca="false">IFERROR(INDEX(المكونات!$C$2:$C$500,MATCH($B263,المكونات!$A$2:$A$500,0)),"")</f>
        <v>32</v>
      </c>
      <c r="F263" s="42" t="n">
        <f aca="false">IFERROR($C263*$E263,"")</f>
        <v>1.28</v>
      </c>
    </row>
    <row r="264" customFormat="false" ht="15" hidden="false" customHeight="true" outlineLevel="0" collapsed="false">
      <c r="A264" s="39" t="s">
        <v>411</v>
      </c>
      <c r="B264" s="39" t="s">
        <v>196</v>
      </c>
      <c r="C264" s="39" t="n">
        <v>0.03</v>
      </c>
      <c r="D264" s="40" t="str">
        <f aca="false">IFERROR(INDEX(المكونات!$B$2:$B$500,MATCH($B264,المكونات!$A$2:$A$500,0)),"")</f>
        <v>كجم</v>
      </c>
      <c r="E264" s="41" t="n">
        <f aca="false">IFERROR(INDEX(المكونات!$C$2:$C$500,MATCH($B264,المكونات!$A$2:$A$500,0)),"")</f>
        <v>21</v>
      </c>
      <c r="F264" s="42" t="n">
        <f aca="false">IFERROR($C264*$E264,"")</f>
        <v>0.63</v>
      </c>
    </row>
    <row r="265" customFormat="false" ht="15" hidden="false" customHeight="true" outlineLevel="0" collapsed="false">
      <c r="A265" s="39" t="s">
        <v>411</v>
      </c>
      <c r="B265" s="39" t="s">
        <v>219</v>
      </c>
      <c r="C265" s="39" t="n">
        <v>0.02</v>
      </c>
      <c r="D265" s="40" t="str">
        <f aca="false">IFERROR(INDEX(المكونات!$B$2:$B$500,MATCH($B265,المكونات!$A$2:$A$500,0)),"")</f>
        <v>كجم</v>
      </c>
      <c r="E265" s="41" t="n">
        <f aca="false">IFERROR(INDEX(المكونات!$C$2:$C$500,MATCH($B265,المكونات!$A$2:$A$500,0)),"")</f>
        <v>27</v>
      </c>
      <c r="F265" s="42" t="n">
        <f aca="false">IFERROR($C265*$E265,"")</f>
        <v>0.54</v>
      </c>
    </row>
    <row r="266" customFormat="false" ht="15" hidden="false" customHeight="true" outlineLevel="0" collapsed="false">
      <c r="A266" s="39" t="s">
        <v>411</v>
      </c>
      <c r="B266" s="39" t="s">
        <v>162</v>
      </c>
      <c r="C266" s="39" t="n">
        <v>0.02</v>
      </c>
      <c r="D266" s="40" t="str">
        <f aca="false">IFERROR(INDEX(المكونات!$B$2:$B$500,MATCH($B266,المكونات!$A$2:$A$500,0)),"")</f>
        <v>كجم</v>
      </c>
      <c r="E266" s="41" t="n">
        <f aca="false">IFERROR(INDEX(المكونات!$C$2:$C$500,MATCH($B266,المكونات!$A$2:$A$500,0)),"")</f>
        <v>95</v>
      </c>
      <c r="F266" s="42" t="n">
        <f aca="false">IFERROR($C266*$E266,"")</f>
        <v>1.9</v>
      </c>
    </row>
    <row r="267" customFormat="false" ht="15" hidden="false" customHeight="true" outlineLevel="0" collapsed="false">
      <c r="A267" s="39" t="s">
        <v>411</v>
      </c>
      <c r="B267" s="39" t="s">
        <v>106</v>
      </c>
      <c r="C267" s="39" t="n">
        <v>1</v>
      </c>
      <c r="D267" s="40" t="str">
        <f aca="false">IFERROR(INDEX(المكونات!$B$2:$B$500,MATCH($B267,المكونات!$A$2:$A$500,0)),"")</f>
        <v>قطعة</v>
      </c>
      <c r="E267" s="41" t="n">
        <f aca="false">IFERROR(INDEX(المكونات!$C$2:$C$500,MATCH($B267,المكونات!$A$2:$A$500,0)),"")</f>
        <v>20</v>
      </c>
      <c r="F267" s="42" t="n">
        <f aca="false">IFERROR($C267*$E267,"")</f>
        <v>20</v>
      </c>
    </row>
    <row r="268" customFormat="false" ht="15" hidden="false" customHeight="true" outlineLevel="0" collapsed="false">
      <c r="A268" s="39" t="s">
        <v>411</v>
      </c>
      <c r="B268" s="39" t="s">
        <v>206</v>
      </c>
      <c r="C268" s="39" t="n">
        <v>1</v>
      </c>
      <c r="D268" s="40" t="str">
        <f aca="false">IFERROR(INDEX(المكونات!$B$2:$B$500,MATCH($B268,المكونات!$A$2:$A$500,0)),"")</f>
        <v>قطعة</v>
      </c>
      <c r="E268" s="41" t="n">
        <f aca="false">IFERROR(INDEX(المكونات!$C$2:$C$500,MATCH($B268,المكونات!$A$2:$A$500,0)),"")</f>
        <v>4.5</v>
      </c>
      <c r="F268" s="42" t="n">
        <f aca="false">IFERROR($C268*$E268,"")</f>
        <v>4.5</v>
      </c>
    </row>
    <row r="269" customFormat="false" ht="15" hidden="false" customHeight="true" outlineLevel="0" collapsed="false">
      <c r="A269" s="39" t="s">
        <v>411</v>
      </c>
      <c r="B269" s="39" t="s">
        <v>225</v>
      </c>
      <c r="C269" s="39" t="n">
        <v>2</v>
      </c>
      <c r="D269" s="40" t="str">
        <f aca="false">IFERROR(INDEX(المكونات!$B$2:$B$500,MATCH($B269,المكونات!$A$2:$A$500,0)),"")</f>
        <v>قطعة</v>
      </c>
      <c r="E269" s="41" t="n">
        <f aca="false">IFERROR(INDEX(المكونات!$C$2:$C$500,MATCH($B269,المكونات!$A$2:$A$500,0)),"")</f>
        <v>0.3</v>
      </c>
      <c r="F269" s="42" t="n">
        <f aca="false">IFERROR($C269*$E269,"")</f>
        <v>0.6</v>
      </c>
    </row>
    <row r="270" customFormat="false" ht="15" hidden="false" customHeight="true" outlineLevel="0" collapsed="false">
      <c r="A270" s="39" t="s">
        <v>411</v>
      </c>
      <c r="B270" s="39" t="s">
        <v>254</v>
      </c>
      <c r="C270" s="39" t="n">
        <v>1</v>
      </c>
      <c r="D270" s="40" t="str">
        <f aca="false">IFERROR(INDEX(المكونات!$B$2:$B$500,MATCH($B270,المكونات!$A$2:$A$500,0)),"")</f>
        <v>قطعة (ورقة)</v>
      </c>
      <c r="E270" s="41" t="n">
        <f aca="false">IFERROR(INDEX(المكونات!$C$2:$C$500,MATCH($B270,المكونات!$A$2:$A$500,0)),"")</f>
        <v>0.3665</v>
      </c>
      <c r="F270" s="42" t="n">
        <f aca="false">IFERROR($C270*$E270,"")</f>
        <v>0.3665</v>
      </c>
    </row>
    <row r="271" customFormat="false" ht="15" hidden="false" customHeight="true" outlineLevel="0" collapsed="false">
      <c r="A271" s="39" t="s">
        <v>411</v>
      </c>
      <c r="B271" s="39" t="s">
        <v>67</v>
      </c>
      <c r="C271" s="39" t="n">
        <v>1</v>
      </c>
      <c r="D271" s="40" t="str">
        <f aca="false">IFERROR(INDEX(المكونات!$B$2:$B$500,MATCH($B271,المكونات!$A$2:$A$500,0)),"")</f>
        <v>قطعة (كيس)</v>
      </c>
      <c r="E271" s="41" t="n">
        <f aca="false">IFERROR(INDEX(المكونات!$C$2:$C$500,MATCH($B271,المكونات!$A$2:$A$500,0)),"")</f>
        <v>1.4</v>
      </c>
      <c r="F271" s="42" t="n">
        <f aca="false">IFERROR($C271*$E271,"")</f>
        <v>1.4</v>
      </c>
    </row>
    <row r="272" customFormat="false" ht="15" hidden="false" customHeight="true" outlineLevel="0" collapsed="false">
      <c r="A272" s="39" t="s">
        <v>411</v>
      </c>
      <c r="B272" s="39" t="s">
        <v>228</v>
      </c>
      <c r="C272" s="39" t="n">
        <v>1</v>
      </c>
      <c r="D272" s="40" t="str">
        <f aca="false">IFERROR(INDEX(المكونات!$B$2:$B$500,MATCH($B272,المكونات!$A$2:$A$500,0)),"")</f>
        <v>قطعة</v>
      </c>
      <c r="E272" s="41" t="n">
        <f aca="false">IFERROR(INDEX(المكونات!$C$2:$C$500,MATCH($B272,المكونات!$A$2:$A$500,0)),"")</f>
        <v>0.5</v>
      </c>
      <c r="F272" s="42" t="n">
        <f aca="false">IFERROR($C272*$E272,"")</f>
        <v>0.5</v>
      </c>
    </row>
    <row r="273" customFormat="false" ht="15" hidden="false" customHeight="true" outlineLevel="0" collapsed="false">
      <c r="A273" s="39" t="s">
        <v>411</v>
      </c>
      <c r="B273" s="39" t="s">
        <v>145</v>
      </c>
      <c r="C273" s="39" t="n">
        <v>2</v>
      </c>
      <c r="D273" s="40" t="str">
        <f aca="false">IFERROR(INDEX(المكونات!$B$2:$B$500,MATCH($B273,المكونات!$A$2:$A$500,0)),"")</f>
        <v>قطعة (جلفز)</v>
      </c>
      <c r="E273" s="41" t="n">
        <f aca="false">IFERROR(INDEX(المكونات!$C$2:$C$500,MATCH($B273,المكونات!$A$2:$A$500,0)),"")</f>
        <v>0.18</v>
      </c>
      <c r="F273" s="42" t="n">
        <f aca="false">IFERROR($C273*$E273,"")</f>
        <v>0.36</v>
      </c>
    </row>
    <row r="274" customFormat="false" ht="15" hidden="false" customHeight="true" outlineLevel="0" collapsed="false">
      <c r="A274" s="39" t="s">
        <v>411</v>
      </c>
      <c r="B274" s="39" t="s">
        <v>257</v>
      </c>
      <c r="C274" s="39" t="n">
        <v>1</v>
      </c>
      <c r="D274" s="40" t="str">
        <f aca="false">IFERROR(INDEX(المكونات!$B$2:$B$500,MATCH($B274,المكونات!$A$2:$A$500,0)),"")</f>
        <v>قطعة (كيس)</v>
      </c>
      <c r="E274" s="41" t="n">
        <f aca="false">IFERROR(INDEX(المكونات!$C$2:$C$500,MATCH($B274,المكونات!$A$2:$A$500,0)),"")</f>
        <v>0.9995</v>
      </c>
      <c r="F274" s="42" t="n">
        <f aca="false">IFERROR($C274*$E274,"")</f>
        <v>0.9995</v>
      </c>
    </row>
    <row r="275" customFormat="false" ht="15" hidden="false" customHeight="true" outlineLevel="0" collapsed="false">
      <c r="A275" s="39" t="s">
        <v>411</v>
      </c>
      <c r="B275" s="39" t="s">
        <v>96</v>
      </c>
      <c r="C275" s="39" t="n">
        <v>1</v>
      </c>
      <c r="D275" s="40" t="str">
        <f aca="false">IFERROR(INDEX(المكونات!$B$2:$B$500,MATCH($B275,المكونات!$A$2:$A$500,0)),"")</f>
        <v>قطعة</v>
      </c>
      <c r="E275" s="41" t="n">
        <f aca="false">IFERROR(INDEX(المكونات!$C$2:$C$500,MATCH($B275,المكونات!$A$2:$A$500,0)),"")</f>
        <v>30</v>
      </c>
      <c r="F275" s="42" t="n">
        <f aca="false">IFERROR($C275*$E275,"")</f>
        <v>30</v>
      </c>
    </row>
    <row r="276" customFormat="false" ht="15" hidden="false" customHeight="true" outlineLevel="0" collapsed="false">
      <c r="A276" s="39" t="s">
        <v>411</v>
      </c>
      <c r="B276" s="39" t="s">
        <v>194</v>
      </c>
      <c r="C276" s="39" t="n">
        <v>0.1</v>
      </c>
      <c r="D276" s="40" t="str">
        <f aca="false">IFERROR(INDEX(المكونات!$B$2:$B$500,MATCH($B276,المكونات!$A$2:$A$500,0)),"")</f>
        <v>كجم</v>
      </c>
      <c r="E276" s="41" t="n">
        <f aca="false">IFERROR(INDEX(المكونات!$C$2:$C$500,MATCH($B276,المكونات!$A$2:$A$500,0)),"")</f>
        <v>140</v>
      </c>
      <c r="F276" s="42" t="n">
        <f aca="false">IFERROR($C276*$E276,"")</f>
        <v>14</v>
      </c>
    </row>
    <row r="277" customFormat="false" ht="15" hidden="false" customHeight="true" outlineLevel="0" collapsed="false">
      <c r="A277" s="39" t="s">
        <v>324</v>
      </c>
      <c r="B277" s="39" t="s">
        <v>198</v>
      </c>
      <c r="C277" s="39" t="n">
        <v>0.3</v>
      </c>
      <c r="D277" s="40" t="str">
        <f aca="false">IFERROR(INDEX(المكونات!$B$2:$B$500,MATCH($B277,المكونات!$A$2:$A$500,0)),"")</f>
        <v>كجم</v>
      </c>
      <c r="E277" s="41" t="n">
        <f aca="false">IFERROR(INDEX(المكونات!$C$2:$C$500,MATCH($B277,المكونات!$A$2:$A$500,0)),"")</f>
        <v>22</v>
      </c>
      <c r="F277" s="42" t="n">
        <f aca="false">IFERROR($C277*$E277,"")</f>
        <v>6.6</v>
      </c>
    </row>
    <row r="278" customFormat="false" ht="15" hidden="false" customHeight="true" outlineLevel="0" collapsed="false">
      <c r="A278" s="39" t="s">
        <v>324</v>
      </c>
      <c r="B278" s="39" t="s">
        <v>186</v>
      </c>
      <c r="C278" s="39" t="n">
        <v>0.06</v>
      </c>
      <c r="D278" s="40" t="str">
        <f aca="false">IFERROR(INDEX(المكونات!$B$2:$B$500,MATCH($B278,المكونات!$A$2:$A$500,0)),"")</f>
        <v>كجم</v>
      </c>
      <c r="E278" s="41" t="n">
        <f aca="false">IFERROR(INDEX(المكونات!$C$2:$C$500,MATCH($B278,المكونات!$A$2:$A$500,0)),"")</f>
        <v>32</v>
      </c>
      <c r="F278" s="42" t="n">
        <f aca="false">IFERROR($C278*$E278,"")</f>
        <v>1.92</v>
      </c>
    </row>
    <row r="279" customFormat="false" ht="15" hidden="false" customHeight="true" outlineLevel="0" collapsed="false">
      <c r="A279" s="39" t="s">
        <v>324</v>
      </c>
      <c r="B279" s="39" t="s">
        <v>196</v>
      </c>
      <c r="C279" s="39" t="n">
        <v>0.045</v>
      </c>
      <c r="D279" s="40" t="str">
        <f aca="false">IFERROR(INDEX(المكونات!$B$2:$B$500,MATCH($B279,المكونات!$A$2:$A$500,0)),"")</f>
        <v>كجم</v>
      </c>
      <c r="E279" s="41" t="n">
        <f aca="false">IFERROR(INDEX(المكونات!$C$2:$C$500,MATCH($B279,المكونات!$A$2:$A$500,0)),"")</f>
        <v>21</v>
      </c>
      <c r="F279" s="42" t="n">
        <f aca="false">IFERROR($C279*$E279,"")</f>
        <v>0.945</v>
      </c>
    </row>
    <row r="280" customFormat="false" ht="15" hidden="false" customHeight="true" outlineLevel="0" collapsed="false">
      <c r="A280" s="39" t="s">
        <v>324</v>
      </c>
      <c r="B280" s="39" t="s">
        <v>219</v>
      </c>
      <c r="C280" s="39" t="n">
        <v>0.03</v>
      </c>
      <c r="D280" s="40" t="str">
        <f aca="false">IFERROR(INDEX(المكونات!$B$2:$B$500,MATCH($B280,المكونات!$A$2:$A$500,0)),"")</f>
        <v>كجم</v>
      </c>
      <c r="E280" s="41" t="n">
        <f aca="false">IFERROR(INDEX(المكونات!$C$2:$C$500,MATCH($B280,المكونات!$A$2:$A$500,0)),"")</f>
        <v>27</v>
      </c>
      <c r="F280" s="42" t="n">
        <f aca="false">IFERROR($C280*$E280,"")</f>
        <v>0.81</v>
      </c>
    </row>
    <row r="281" customFormat="false" ht="15" hidden="false" customHeight="true" outlineLevel="0" collapsed="false">
      <c r="A281" s="39" t="s">
        <v>324</v>
      </c>
      <c r="B281" s="39" t="s">
        <v>162</v>
      </c>
      <c r="C281" s="39" t="n">
        <v>0.03</v>
      </c>
      <c r="D281" s="40" t="str">
        <f aca="false">IFERROR(INDEX(المكونات!$B$2:$B$500,MATCH($B281,المكونات!$A$2:$A$500,0)),"")</f>
        <v>كجم</v>
      </c>
      <c r="E281" s="41" t="n">
        <f aca="false">IFERROR(INDEX(المكونات!$C$2:$C$500,MATCH($B281,المكونات!$A$2:$A$500,0)),"")</f>
        <v>95</v>
      </c>
      <c r="F281" s="42" t="n">
        <f aca="false">IFERROR($C281*$E281,"")</f>
        <v>2.85</v>
      </c>
    </row>
    <row r="282" customFormat="false" ht="15" hidden="false" customHeight="true" outlineLevel="0" collapsed="false">
      <c r="A282" s="39" t="s">
        <v>324</v>
      </c>
      <c r="B282" s="39" t="s">
        <v>108</v>
      </c>
      <c r="C282" s="39" t="n">
        <v>1</v>
      </c>
      <c r="D282" s="40" t="str">
        <f aca="false">IFERROR(INDEX(المكونات!$B$2:$B$500,MATCH($B282,المكونات!$A$2:$A$500,0)),"")</f>
        <v>قطعة</v>
      </c>
      <c r="E282" s="41" t="n">
        <f aca="false">IFERROR(INDEX(المكونات!$C$2:$C$500,MATCH($B282,المكونات!$A$2:$A$500,0)),"")</f>
        <v>26.4194</v>
      </c>
      <c r="F282" s="42" t="n">
        <f aca="false">IFERROR($C282*$E282,"")</f>
        <v>26.4194</v>
      </c>
    </row>
    <row r="283" customFormat="false" ht="15" hidden="false" customHeight="true" outlineLevel="0" collapsed="false">
      <c r="A283" s="39" t="s">
        <v>324</v>
      </c>
      <c r="B283" s="39" t="s">
        <v>204</v>
      </c>
      <c r="C283" s="39" t="n">
        <v>1</v>
      </c>
      <c r="D283" s="40" t="str">
        <f aca="false">IFERROR(INDEX(المكونات!$B$2:$B$500,MATCH($B283,المكونات!$A$2:$A$500,0)),"")</f>
        <v>قطعة</v>
      </c>
      <c r="E283" s="41" t="n">
        <f aca="false">IFERROR(INDEX(المكونات!$C$2:$C$500,MATCH($B283,المكونات!$A$2:$A$500,0)),"")</f>
        <v>5.5</v>
      </c>
      <c r="F283" s="42" t="n">
        <f aca="false">IFERROR($C283*$E283,"")</f>
        <v>5.5</v>
      </c>
    </row>
    <row r="284" customFormat="false" ht="15" hidden="false" customHeight="true" outlineLevel="0" collapsed="false">
      <c r="A284" s="39" t="s">
        <v>324</v>
      </c>
      <c r="B284" s="39" t="s">
        <v>225</v>
      </c>
      <c r="C284" s="39" t="n">
        <v>3</v>
      </c>
      <c r="D284" s="40" t="str">
        <f aca="false">IFERROR(INDEX(المكونات!$B$2:$B$500,MATCH($B284,المكونات!$A$2:$A$500,0)),"")</f>
        <v>قطعة</v>
      </c>
      <c r="E284" s="41" t="n">
        <f aca="false">IFERROR(INDEX(المكونات!$C$2:$C$500,MATCH($B284,المكونات!$A$2:$A$500,0)),"")</f>
        <v>0.3</v>
      </c>
      <c r="F284" s="42" t="n">
        <f aca="false">IFERROR($C284*$E284,"")</f>
        <v>0.9</v>
      </c>
    </row>
    <row r="285" customFormat="false" ht="15" hidden="false" customHeight="true" outlineLevel="0" collapsed="false">
      <c r="A285" s="39" t="s">
        <v>324</v>
      </c>
      <c r="B285" s="39" t="s">
        <v>254</v>
      </c>
      <c r="C285" s="39" t="n">
        <v>1</v>
      </c>
      <c r="D285" s="40" t="str">
        <f aca="false">IFERROR(INDEX(المكونات!$B$2:$B$500,MATCH($B285,المكونات!$A$2:$A$500,0)),"")</f>
        <v>قطعة (ورقة)</v>
      </c>
      <c r="E285" s="41" t="n">
        <f aca="false">IFERROR(INDEX(المكونات!$C$2:$C$500,MATCH($B285,المكونات!$A$2:$A$500,0)),"")</f>
        <v>0.3665</v>
      </c>
      <c r="F285" s="42" t="n">
        <f aca="false">IFERROR($C285*$E285,"")</f>
        <v>0.3665</v>
      </c>
    </row>
    <row r="286" customFormat="false" ht="15" hidden="false" customHeight="true" outlineLevel="0" collapsed="false">
      <c r="A286" s="39" t="s">
        <v>324</v>
      </c>
      <c r="B286" s="39" t="s">
        <v>67</v>
      </c>
      <c r="C286" s="39" t="n">
        <v>1</v>
      </c>
      <c r="D286" s="40" t="str">
        <f aca="false">IFERROR(INDEX(المكونات!$B$2:$B$500,MATCH($B286,المكونات!$A$2:$A$500,0)),"")</f>
        <v>قطعة (كيس)</v>
      </c>
      <c r="E286" s="41" t="n">
        <f aca="false">IFERROR(INDEX(المكونات!$C$2:$C$500,MATCH($B286,المكونات!$A$2:$A$500,0)),"")</f>
        <v>1.4</v>
      </c>
      <c r="F286" s="42" t="n">
        <f aca="false">IFERROR($C286*$E286,"")</f>
        <v>1.4</v>
      </c>
    </row>
    <row r="287" customFormat="false" ht="15" hidden="false" customHeight="true" outlineLevel="0" collapsed="false">
      <c r="A287" s="39" t="s">
        <v>324</v>
      </c>
      <c r="B287" s="39" t="s">
        <v>228</v>
      </c>
      <c r="C287" s="39" t="n">
        <v>1</v>
      </c>
      <c r="D287" s="40" t="str">
        <f aca="false">IFERROR(INDEX(المكونات!$B$2:$B$500,MATCH($B287,المكونات!$A$2:$A$500,0)),"")</f>
        <v>قطعة</v>
      </c>
      <c r="E287" s="41" t="n">
        <f aca="false">IFERROR(INDEX(المكونات!$C$2:$C$500,MATCH($B287,المكونات!$A$2:$A$500,0)),"")</f>
        <v>0.5</v>
      </c>
      <c r="F287" s="42" t="n">
        <f aca="false">IFERROR($C287*$E287,"")</f>
        <v>0.5</v>
      </c>
    </row>
    <row r="288" customFormat="false" ht="15" hidden="false" customHeight="true" outlineLevel="0" collapsed="false">
      <c r="A288" s="39" t="s">
        <v>324</v>
      </c>
      <c r="B288" s="39" t="s">
        <v>145</v>
      </c>
      <c r="C288" s="39" t="n">
        <v>2</v>
      </c>
      <c r="D288" s="40" t="str">
        <f aca="false">IFERROR(INDEX(المكونات!$B$2:$B$500,MATCH($B288,المكونات!$A$2:$A$500,0)),"")</f>
        <v>قطعة (جلفز)</v>
      </c>
      <c r="E288" s="41" t="n">
        <f aca="false">IFERROR(INDEX(المكونات!$C$2:$C$500,MATCH($B288,المكونات!$A$2:$A$500,0)),"")</f>
        <v>0.18</v>
      </c>
      <c r="F288" s="42" t="n">
        <f aca="false">IFERROR($C288*$E288,"")</f>
        <v>0.36</v>
      </c>
    </row>
    <row r="289" customFormat="false" ht="15" hidden="false" customHeight="true" outlineLevel="0" collapsed="false">
      <c r="A289" s="39" t="s">
        <v>324</v>
      </c>
      <c r="B289" s="39" t="s">
        <v>257</v>
      </c>
      <c r="C289" s="39" t="n">
        <v>1</v>
      </c>
      <c r="D289" s="40" t="str">
        <f aca="false">IFERROR(INDEX(المكونات!$B$2:$B$500,MATCH($B289,المكونات!$A$2:$A$500,0)),"")</f>
        <v>قطعة (كيس)</v>
      </c>
      <c r="E289" s="41" t="n">
        <f aca="false">IFERROR(INDEX(المكونات!$C$2:$C$500,MATCH($B289,المكونات!$A$2:$A$500,0)),"")</f>
        <v>0.9995</v>
      </c>
      <c r="F289" s="42" t="n">
        <f aca="false">IFERROR($C289*$E289,"")</f>
        <v>0.9995</v>
      </c>
    </row>
    <row r="290" customFormat="false" ht="15" hidden="false" customHeight="true" outlineLevel="0" collapsed="false">
      <c r="A290" s="39" t="s">
        <v>324</v>
      </c>
      <c r="B290" s="39" t="s">
        <v>98</v>
      </c>
      <c r="C290" s="39" t="n">
        <v>1</v>
      </c>
      <c r="D290" s="40" t="str">
        <f aca="false">IFERROR(INDEX(المكونات!$B$2:$B$500,MATCH($B290,المكونات!$A$2:$A$500,0)),"")</f>
        <v>قطعة</v>
      </c>
      <c r="E290" s="41" t="n">
        <f aca="false">IFERROR(INDEX(المكونات!$C$2:$C$500,MATCH($B290,المكونات!$A$2:$A$500,0)),"")</f>
        <v>29</v>
      </c>
      <c r="F290" s="42" t="n">
        <f aca="false">IFERROR($C290*$E290,"")</f>
        <v>29</v>
      </c>
    </row>
    <row r="291" customFormat="false" ht="15" hidden="false" customHeight="true" outlineLevel="0" collapsed="false">
      <c r="A291" s="39" t="s">
        <v>324</v>
      </c>
      <c r="B291" s="39" t="s">
        <v>194</v>
      </c>
      <c r="C291" s="39" t="n">
        <v>0.15</v>
      </c>
      <c r="D291" s="40" t="str">
        <f aca="false">IFERROR(INDEX(المكونات!$B$2:$B$500,MATCH($B291,المكونات!$A$2:$A$500,0)),"")</f>
        <v>كجم</v>
      </c>
      <c r="E291" s="41" t="n">
        <f aca="false">IFERROR(INDEX(المكونات!$C$2:$C$500,MATCH($B291,المكونات!$A$2:$A$500,0)),"")</f>
        <v>140</v>
      </c>
      <c r="F291" s="42" t="n">
        <f aca="false">IFERROR($C291*$E291,"")</f>
        <v>21</v>
      </c>
    </row>
    <row r="292" customFormat="false" ht="15" hidden="false" customHeight="true" outlineLevel="0" collapsed="false">
      <c r="A292" s="39" t="s">
        <v>396</v>
      </c>
      <c r="B292" s="39" t="s">
        <v>198</v>
      </c>
      <c r="C292" s="39" t="n">
        <v>0.22</v>
      </c>
      <c r="D292" s="40" t="str">
        <f aca="false">IFERROR(INDEX(المكونات!$B$2:$B$500,MATCH($B292,المكونات!$A$2:$A$500,0)),"")</f>
        <v>كجم</v>
      </c>
      <c r="E292" s="41" t="n">
        <f aca="false">IFERROR(INDEX(المكونات!$C$2:$C$500,MATCH($B292,المكونات!$A$2:$A$500,0)),"")</f>
        <v>22</v>
      </c>
      <c r="F292" s="42" t="n">
        <f aca="false">IFERROR($C292*$E292,"")</f>
        <v>4.84</v>
      </c>
    </row>
    <row r="293" customFormat="false" ht="15" hidden="false" customHeight="true" outlineLevel="0" collapsed="false">
      <c r="A293" s="39" t="s">
        <v>396</v>
      </c>
      <c r="B293" s="39" t="s">
        <v>186</v>
      </c>
      <c r="C293" s="39" t="n">
        <v>0.04</v>
      </c>
      <c r="D293" s="40" t="str">
        <f aca="false">IFERROR(INDEX(المكونات!$B$2:$B$500,MATCH($B293,المكونات!$A$2:$A$500,0)),"")</f>
        <v>كجم</v>
      </c>
      <c r="E293" s="41" t="n">
        <f aca="false">IFERROR(INDEX(المكونات!$C$2:$C$500,MATCH($B293,المكونات!$A$2:$A$500,0)),"")</f>
        <v>32</v>
      </c>
      <c r="F293" s="42" t="n">
        <f aca="false">IFERROR($C293*$E293,"")</f>
        <v>1.28</v>
      </c>
    </row>
    <row r="294" customFormat="false" ht="15" hidden="false" customHeight="true" outlineLevel="0" collapsed="false">
      <c r="A294" s="39" t="s">
        <v>396</v>
      </c>
      <c r="B294" s="39" t="s">
        <v>196</v>
      </c>
      <c r="C294" s="39" t="n">
        <v>0.03</v>
      </c>
      <c r="D294" s="40" t="str">
        <f aca="false">IFERROR(INDEX(المكونات!$B$2:$B$500,MATCH($B294,المكونات!$A$2:$A$500,0)),"")</f>
        <v>كجم</v>
      </c>
      <c r="E294" s="41" t="n">
        <f aca="false">IFERROR(INDEX(المكونات!$C$2:$C$500,MATCH($B294,المكونات!$A$2:$A$500,0)),"")</f>
        <v>21</v>
      </c>
      <c r="F294" s="42" t="n">
        <f aca="false">IFERROR($C294*$E294,"")</f>
        <v>0.63</v>
      </c>
    </row>
    <row r="295" customFormat="false" ht="15" hidden="false" customHeight="true" outlineLevel="0" collapsed="false">
      <c r="A295" s="39" t="s">
        <v>396</v>
      </c>
      <c r="B295" s="39" t="s">
        <v>219</v>
      </c>
      <c r="C295" s="39" t="n">
        <v>0.02</v>
      </c>
      <c r="D295" s="40" t="str">
        <f aca="false">IFERROR(INDEX(المكونات!$B$2:$B$500,MATCH($B295,المكونات!$A$2:$A$500,0)),"")</f>
        <v>كجم</v>
      </c>
      <c r="E295" s="41" t="n">
        <f aca="false">IFERROR(INDEX(المكونات!$C$2:$C$500,MATCH($B295,المكونات!$A$2:$A$500,0)),"")</f>
        <v>27</v>
      </c>
      <c r="F295" s="42" t="n">
        <f aca="false">IFERROR($C295*$E295,"")</f>
        <v>0.54</v>
      </c>
    </row>
    <row r="296" customFormat="false" ht="15" hidden="false" customHeight="true" outlineLevel="0" collapsed="false">
      <c r="A296" s="39" t="s">
        <v>396</v>
      </c>
      <c r="B296" s="39" t="s">
        <v>162</v>
      </c>
      <c r="C296" s="39" t="n">
        <v>0.02</v>
      </c>
      <c r="D296" s="40" t="str">
        <f aca="false">IFERROR(INDEX(المكونات!$B$2:$B$500,MATCH($B296,المكونات!$A$2:$A$500,0)),"")</f>
        <v>كجم</v>
      </c>
      <c r="E296" s="41" t="n">
        <f aca="false">IFERROR(INDEX(المكونات!$C$2:$C$500,MATCH($B296,المكونات!$A$2:$A$500,0)),"")</f>
        <v>95</v>
      </c>
      <c r="F296" s="42" t="n">
        <f aca="false">IFERROR($C296*$E296,"")</f>
        <v>1.9</v>
      </c>
    </row>
    <row r="297" customFormat="false" ht="15" hidden="false" customHeight="true" outlineLevel="0" collapsed="false">
      <c r="A297" s="39" t="s">
        <v>396</v>
      </c>
      <c r="B297" s="39" t="s">
        <v>106</v>
      </c>
      <c r="C297" s="39" t="n">
        <v>1</v>
      </c>
      <c r="D297" s="40" t="str">
        <f aca="false">IFERROR(INDEX(المكونات!$B$2:$B$500,MATCH($B297,المكونات!$A$2:$A$500,0)),"")</f>
        <v>قطعة</v>
      </c>
      <c r="E297" s="41" t="n">
        <f aca="false">IFERROR(INDEX(المكونات!$C$2:$C$500,MATCH($B297,المكونات!$A$2:$A$500,0)),"")</f>
        <v>20</v>
      </c>
      <c r="F297" s="42" t="n">
        <f aca="false">IFERROR($C297*$E297,"")</f>
        <v>20</v>
      </c>
    </row>
    <row r="298" customFormat="false" ht="15" hidden="false" customHeight="true" outlineLevel="0" collapsed="false">
      <c r="A298" s="39" t="s">
        <v>396</v>
      </c>
      <c r="B298" s="39" t="s">
        <v>206</v>
      </c>
      <c r="C298" s="39" t="n">
        <v>1</v>
      </c>
      <c r="D298" s="40" t="str">
        <f aca="false">IFERROR(INDEX(المكونات!$B$2:$B$500,MATCH($B298,المكونات!$A$2:$A$500,0)),"")</f>
        <v>قطعة</v>
      </c>
      <c r="E298" s="41" t="n">
        <f aca="false">IFERROR(INDEX(المكونات!$C$2:$C$500,MATCH($B298,المكونات!$A$2:$A$500,0)),"")</f>
        <v>4.5</v>
      </c>
      <c r="F298" s="42" t="n">
        <f aca="false">IFERROR($C298*$E298,"")</f>
        <v>4.5</v>
      </c>
    </row>
    <row r="299" customFormat="false" ht="15" hidden="false" customHeight="true" outlineLevel="0" collapsed="false">
      <c r="A299" s="39" t="s">
        <v>396</v>
      </c>
      <c r="B299" s="39" t="s">
        <v>225</v>
      </c>
      <c r="C299" s="39" t="n">
        <v>2</v>
      </c>
      <c r="D299" s="40" t="str">
        <f aca="false">IFERROR(INDEX(المكونات!$B$2:$B$500,MATCH($B299,المكونات!$A$2:$A$500,0)),"")</f>
        <v>قطعة</v>
      </c>
      <c r="E299" s="41" t="n">
        <f aca="false">IFERROR(INDEX(المكونات!$C$2:$C$500,MATCH($B299,المكونات!$A$2:$A$500,0)),"")</f>
        <v>0.3</v>
      </c>
      <c r="F299" s="42" t="n">
        <f aca="false">IFERROR($C299*$E299,"")</f>
        <v>0.6</v>
      </c>
    </row>
    <row r="300" customFormat="false" ht="15" hidden="false" customHeight="true" outlineLevel="0" collapsed="false">
      <c r="A300" s="39" t="s">
        <v>396</v>
      </c>
      <c r="B300" s="39" t="s">
        <v>254</v>
      </c>
      <c r="C300" s="39" t="n">
        <v>1</v>
      </c>
      <c r="D300" s="40" t="str">
        <f aca="false">IFERROR(INDEX(المكونات!$B$2:$B$500,MATCH($B300,المكونات!$A$2:$A$500,0)),"")</f>
        <v>قطعة (ورقة)</v>
      </c>
      <c r="E300" s="41" t="n">
        <f aca="false">IFERROR(INDEX(المكونات!$C$2:$C$500,MATCH($B300,المكونات!$A$2:$A$500,0)),"")</f>
        <v>0.3665</v>
      </c>
      <c r="F300" s="42" t="n">
        <f aca="false">IFERROR($C300*$E300,"")</f>
        <v>0.3665</v>
      </c>
    </row>
    <row r="301" customFormat="false" ht="15" hidden="false" customHeight="true" outlineLevel="0" collapsed="false">
      <c r="A301" s="39" t="s">
        <v>396</v>
      </c>
      <c r="B301" s="39" t="s">
        <v>67</v>
      </c>
      <c r="C301" s="39" t="n">
        <v>1</v>
      </c>
      <c r="D301" s="40" t="str">
        <f aca="false">IFERROR(INDEX(المكونات!$B$2:$B$500,MATCH($B301,المكونات!$A$2:$A$500,0)),"")</f>
        <v>قطعة (كيس)</v>
      </c>
      <c r="E301" s="41" t="n">
        <f aca="false">IFERROR(INDEX(المكونات!$C$2:$C$500,MATCH($B301,المكونات!$A$2:$A$500,0)),"")</f>
        <v>1.4</v>
      </c>
      <c r="F301" s="42" t="n">
        <f aca="false">IFERROR($C301*$E301,"")</f>
        <v>1.4</v>
      </c>
    </row>
    <row r="302" customFormat="false" ht="15" hidden="false" customHeight="true" outlineLevel="0" collapsed="false">
      <c r="A302" s="39" t="s">
        <v>396</v>
      </c>
      <c r="B302" s="39" t="s">
        <v>228</v>
      </c>
      <c r="C302" s="39" t="n">
        <v>1</v>
      </c>
      <c r="D302" s="40" t="str">
        <f aca="false">IFERROR(INDEX(المكونات!$B$2:$B$500,MATCH($B302,المكونات!$A$2:$A$500,0)),"")</f>
        <v>قطعة</v>
      </c>
      <c r="E302" s="41" t="n">
        <f aca="false">IFERROR(INDEX(المكونات!$C$2:$C$500,MATCH($B302,المكونات!$A$2:$A$500,0)),"")</f>
        <v>0.5</v>
      </c>
      <c r="F302" s="42" t="n">
        <f aca="false">IFERROR($C302*$E302,"")</f>
        <v>0.5</v>
      </c>
    </row>
    <row r="303" customFormat="false" ht="15" hidden="false" customHeight="true" outlineLevel="0" collapsed="false">
      <c r="A303" s="39" t="s">
        <v>396</v>
      </c>
      <c r="B303" s="39" t="s">
        <v>145</v>
      </c>
      <c r="C303" s="39" t="n">
        <v>2</v>
      </c>
      <c r="D303" s="40" t="str">
        <f aca="false">IFERROR(INDEX(المكونات!$B$2:$B$500,MATCH($B303,المكونات!$A$2:$A$500,0)),"")</f>
        <v>قطعة (جلفز)</v>
      </c>
      <c r="E303" s="41" t="n">
        <f aca="false">IFERROR(INDEX(المكونات!$C$2:$C$500,MATCH($B303,المكونات!$A$2:$A$500,0)),"")</f>
        <v>0.18</v>
      </c>
      <c r="F303" s="42" t="n">
        <f aca="false">IFERROR($C303*$E303,"")</f>
        <v>0.36</v>
      </c>
    </row>
    <row r="304" customFormat="false" ht="15" hidden="false" customHeight="true" outlineLevel="0" collapsed="false">
      <c r="A304" s="39" t="s">
        <v>396</v>
      </c>
      <c r="B304" s="39" t="s">
        <v>257</v>
      </c>
      <c r="C304" s="39" t="n">
        <v>1</v>
      </c>
      <c r="D304" s="40" t="str">
        <f aca="false">IFERROR(INDEX(المكونات!$B$2:$B$500,MATCH($B304,المكونات!$A$2:$A$500,0)),"")</f>
        <v>قطعة (كيس)</v>
      </c>
      <c r="E304" s="41" t="n">
        <f aca="false">IFERROR(INDEX(المكونات!$C$2:$C$500,MATCH($B304,المكونات!$A$2:$A$500,0)),"")</f>
        <v>0.9995</v>
      </c>
      <c r="F304" s="42" t="n">
        <f aca="false">IFERROR($C304*$E304,"")</f>
        <v>0.9995</v>
      </c>
    </row>
    <row r="305" customFormat="false" ht="15" hidden="false" customHeight="true" outlineLevel="0" collapsed="false">
      <c r="A305" s="39" t="s">
        <v>396</v>
      </c>
      <c r="B305" s="39" t="s">
        <v>76</v>
      </c>
      <c r="C305" s="39" t="n">
        <v>1</v>
      </c>
      <c r="D305" s="40" t="str">
        <f aca="false">IFERROR(INDEX(المكونات!$B$2:$B$500,MATCH($B305,المكونات!$A$2:$A$500,0)),"")</f>
        <v>قطعة</v>
      </c>
      <c r="E305" s="41" t="n">
        <f aca="false">IFERROR(INDEX(المكونات!$C$2:$C$500,MATCH($B305,المكونات!$A$2:$A$500,0)),"")</f>
        <v>35</v>
      </c>
      <c r="F305" s="42" t="n">
        <f aca="false">IFERROR($C305*$E305,"")</f>
        <v>35</v>
      </c>
    </row>
    <row r="306" customFormat="false" ht="15" hidden="false" customHeight="true" outlineLevel="0" collapsed="false">
      <c r="A306" s="39" t="s">
        <v>396</v>
      </c>
      <c r="B306" s="39" t="s">
        <v>86</v>
      </c>
      <c r="C306" s="39" t="n">
        <v>1</v>
      </c>
      <c r="D306" s="40" t="str">
        <f aca="false">IFERROR(INDEX(المكونات!$B$2:$B$500,MATCH($B306,المكونات!$A$2:$A$500,0)),"")</f>
        <v>قطعة</v>
      </c>
      <c r="E306" s="41" t="n">
        <f aca="false">IFERROR(INDEX(المكونات!$C$2:$C$500,MATCH($B306,المكونات!$A$2:$A$500,0)),"")</f>
        <v>34</v>
      </c>
      <c r="F306" s="42" t="n">
        <f aca="false">IFERROR($C306*$E306,"")</f>
        <v>34</v>
      </c>
    </row>
    <row r="307" customFormat="false" ht="15" hidden="false" customHeight="true" outlineLevel="0" collapsed="false">
      <c r="A307" s="39" t="s">
        <v>396</v>
      </c>
      <c r="B307" s="39" t="s">
        <v>102</v>
      </c>
      <c r="C307" s="39" t="n">
        <v>1</v>
      </c>
      <c r="D307" s="40" t="str">
        <f aca="false">IFERROR(INDEX(المكونات!$B$2:$B$500,MATCH($B307,المكونات!$A$2:$A$500,0)),"")</f>
        <v>قطعة</v>
      </c>
      <c r="E307" s="41" t="n">
        <f aca="false">IFERROR(INDEX(المكونات!$C$2:$C$500,MATCH($B307,المكونات!$A$2:$A$500,0)),"")</f>
        <v>21</v>
      </c>
      <c r="F307" s="42" t="n">
        <f aca="false">IFERROR($C307*$E307,"")</f>
        <v>21</v>
      </c>
    </row>
    <row r="308" customFormat="false" ht="15" hidden="false" customHeight="true" outlineLevel="0" collapsed="false">
      <c r="A308" s="39" t="s">
        <v>461</v>
      </c>
      <c r="B308" s="39" t="s">
        <v>198</v>
      </c>
      <c r="C308" s="39" t="n">
        <v>0.3</v>
      </c>
      <c r="D308" s="40" t="str">
        <f aca="false">IFERROR(INDEX(المكونات!$B$2:$B$500,MATCH($B308,المكونات!$A$2:$A$500,0)),"")</f>
        <v>كجم</v>
      </c>
      <c r="E308" s="41" t="n">
        <f aca="false">IFERROR(INDEX(المكونات!$C$2:$C$500,MATCH($B308,المكونات!$A$2:$A$500,0)),"")</f>
        <v>22</v>
      </c>
      <c r="F308" s="42" t="n">
        <f aca="false">IFERROR($C308*$E308,"")</f>
        <v>6.6</v>
      </c>
    </row>
    <row r="309" customFormat="false" ht="15" hidden="false" customHeight="true" outlineLevel="0" collapsed="false">
      <c r="A309" s="39" t="s">
        <v>461</v>
      </c>
      <c r="B309" s="39" t="s">
        <v>186</v>
      </c>
      <c r="C309" s="39" t="n">
        <v>0.06</v>
      </c>
      <c r="D309" s="40" t="str">
        <f aca="false">IFERROR(INDEX(المكونات!$B$2:$B$500,MATCH($B309,المكونات!$A$2:$A$500,0)),"")</f>
        <v>كجم</v>
      </c>
      <c r="E309" s="41" t="n">
        <f aca="false">IFERROR(INDEX(المكونات!$C$2:$C$500,MATCH($B309,المكونات!$A$2:$A$500,0)),"")</f>
        <v>32</v>
      </c>
      <c r="F309" s="42" t="n">
        <f aca="false">IFERROR($C309*$E309,"")</f>
        <v>1.92</v>
      </c>
    </row>
    <row r="310" customFormat="false" ht="15" hidden="false" customHeight="true" outlineLevel="0" collapsed="false">
      <c r="A310" s="39" t="s">
        <v>461</v>
      </c>
      <c r="B310" s="39" t="s">
        <v>196</v>
      </c>
      <c r="C310" s="39" t="n">
        <v>0.045</v>
      </c>
      <c r="D310" s="40" t="str">
        <f aca="false">IFERROR(INDEX(المكونات!$B$2:$B$500,MATCH($B310,المكونات!$A$2:$A$500,0)),"")</f>
        <v>كجم</v>
      </c>
      <c r="E310" s="41" t="n">
        <f aca="false">IFERROR(INDEX(المكونات!$C$2:$C$500,MATCH($B310,المكونات!$A$2:$A$500,0)),"")</f>
        <v>21</v>
      </c>
      <c r="F310" s="42" t="n">
        <f aca="false">IFERROR($C310*$E310,"")</f>
        <v>0.945</v>
      </c>
    </row>
    <row r="311" customFormat="false" ht="15" hidden="false" customHeight="true" outlineLevel="0" collapsed="false">
      <c r="A311" s="39" t="s">
        <v>461</v>
      </c>
      <c r="B311" s="39" t="s">
        <v>219</v>
      </c>
      <c r="C311" s="39" t="n">
        <v>0.03</v>
      </c>
      <c r="D311" s="40" t="str">
        <f aca="false">IFERROR(INDEX(المكونات!$B$2:$B$500,MATCH($B311,المكونات!$A$2:$A$500,0)),"")</f>
        <v>كجم</v>
      </c>
      <c r="E311" s="41" t="n">
        <f aca="false">IFERROR(INDEX(المكونات!$C$2:$C$500,MATCH($B311,المكونات!$A$2:$A$500,0)),"")</f>
        <v>27</v>
      </c>
      <c r="F311" s="42" t="n">
        <f aca="false">IFERROR($C311*$E311,"")</f>
        <v>0.81</v>
      </c>
    </row>
    <row r="312" customFormat="false" ht="15" hidden="false" customHeight="true" outlineLevel="0" collapsed="false">
      <c r="A312" s="39" t="s">
        <v>461</v>
      </c>
      <c r="B312" s="39" t="s">
        <v>162</v>
      </c>
      <c r="C312" s="39" t="n">
        <v>0.03</v>
      </c>
      <c r="D312" s="40" t="str">
        <f aca="false">IFERROR(INDEX(المكونات!$B$2:$B$500,MATCH($B312,المكونات!$A$2:$A$500,0)),"")</f>
        <v>كجم</v>
      </c>
      <c r="E312" s="41" t="n">
        <f aca="false">IFERROR(INDEX(المكونات!$C$2:$C$500,MATCH($B312,المكونات!$A$2:$A$500,0)),"")</f>
        <v>95</v>
      </c>
      <c r="F312" s="42" t="n">
        <f aca="false">IFERROR($C312*$E312,"")</f>
        <v>2.85</v>
      </c>
    </row>
    <row r="313" customFormat="false" ht="15" hidden="false" customHeight="true" outlineLevel="0" collapsed="false">
      <c r="A313" s="39" t="s">
        <v>461</v>
      </c>
      <c r="B313" s="39" t="s">
        <v>108</v>
      </c>
      <c r="C313" s="39" t="n">
        <v>1</v>
      </c>
      <c r="D313" s="40" t="str">
        <f aca="false">IFERROR(INDEX(المكونات!$B$2:$B$500,MATCH($B313,المكونات!$A$2:$A$500,0)),"")</f>
        <v>قطعة</v>
      </c>
      <c r="E313" s="41" t="n">
        <f aca="false">IFERROR(INDEX(المكونات!$C$2:$C$500,MATCH($B313,المكونات!$A$2:$A$500,0)),"")</f>
        <v>26.4194</v>
      </c>
      <c r="F313" s="42" t="n">
        <f aca="false">IFERROR($C313*$E313,"")</f>
        <v>26.4194</v>
      </c>
    </row>
    <row r="314" customFormat="false" ht="15" hidden="false" customHeight="true" outlineLevel="0" collapsed="false">
      <c r="A314" s="39" t="s">
        <v>461</v>
      </c>
      <c r="B314" s="39" t="s">
        <v>204</v>
      </c>
      <c r="C314" s="39" t="n">
        <v>1</v>
      </c>
      <c r="D314" s="40" t="str">
        <f aca="false">IFERROR(INDEX(المكونات!$B$2:$B$500,MATCH($B314,المكونات!$A$2:$A$500,0)),"")</f>
        <v>قطعة</v>
      </c>
      <c r="E314" s="41" t="n">
        <f aca="false">IFERROR(INDEX(المكونات!$C$2:$C$500,MATCH($B314,المكونات!$A$2:$A$500,0)),"")</f>
        <v>5.5</v>
      </c>
      <c r="F314" s="42" t="n">
        <f aca="false">IFERROR($C314*$E314,"")</f>
        <v>5.5</v>
      </c>
    </row>
    <row r="315" customFormat="false" ht="15" hidden="false" customHeight="true" outlineLevel="0" collapsed="false">
      <c r="A315" s="39" t="s">
        <v>461</v>
      </c>
      <c r="B315" s="39" t="s">
        <v>225</v>
      </c>
      <c r="C315" s="39" t="n">
        <v>3</v>
      </c>
      <c r="D315" s="40" t="str">
        <f aca="false">IFERROR(INDEX(المكونات!$B$2:$B$500,MATCH($B315,المكونات!$A$2:$A$500,0)),"")</f>
        <v>قطعة</v>
      </c>
      <c r="E315" s="41" t="n">
        <f aca="false">IFERROR(INDEX(المكونات!$C$2:$C$500,MATCH($B315,المكونات!$A$2:$A$500,0)),"")</f>
        <v>0.3</v>
      </c>
      <c r="F315" s="42" t="n">
        <f aca="false">IFERROR($C315*$E315,"")</f>
        <v>0.9</v>
      </c>
    </row>
    <row r="316" customFormat="false" ht="15" hidden="false" customHeight="true" outlineLevel="0" collapsed="false">
      <c r="A316" s="39" t="s">
        <v>461</v>
      </c>
      <c r="B316" s="39" t="s">
        <v>254</v>
      </c>
      <c r="C316" s="39" t="n">
        <v>1</v>
      </c>
      <c r="D316" s="40" t="str">
        <f aca="false">IFERROR(INDEX(المكونات!$B$2:$B$500,MATCH($B316,المكونات!$A$2:$A$500,0)),"")</f>
        <v>قطعة (ورقة)</v>
      </c>
      <c r="E316" s="41" t="n">
        <f aca="false">IFERROR(INDEX(المكونات!$C$2:$C$500,MATCH($B316,المكونات!$A$2:$A$500,0)),"")</f>
        <v>0.3665</v>
      </c>
      <c r="F316" s="42" t="n">
        <f aca="false">IFERROR($C316*$E316,"")</f>
        <v>0.3665</v>
      </c>
    </row>
    <row r="317" customFormat="false" ht="15" hidden="false" customHeight="true" outlineLevel="0" collapsed="false">
      <c r="A317" s="39" t="s">
        <v>461</v>
      </c>
      <c r="B317" s="39" t="s">
        <v>67</v>
      </c>
      <c r="C317" s="39" t="n">
        <v>1</v>
      </c>
      <c r="D317" s="40" t="str">
        <f aca="false">IFERROR(INDEX(المكونات!$B$2:$B$500,MATCH($B317,المكونات!$A$2:$A$500,0)),"")</f>
        <v>قطعة (كيس)</v>
      </c>
      <c r="E317" s="41" t="n">
        <f aca="false">IFERROR(INDEX(المكونات!$C$2:$C$500,MATCH($B317,المكونات!$A$2:$A$500,0)),"")</f>
        <v>1.4</v>
      </c>
      <c r="F317" s="42" t="n">
        <f aca="false">IFERROR($C317*$E317,"")</f>
        <v>1.4</v>
      </c>
    </row>
    <row r="318" customFormat="false" ht="15" hidden="false" customHeight="true" outlineLevel="0" collapsed="false">
      <c r="A318" s="39" t="s">
        <v>461</v>
      </c>
      <c r="B318" s="39" t="s">
        <v>228</v>
      </c>
      <c r="C318" s="39" t="n">
        <v>1</v>
      </c>
      <c r="D318" s="40" t="str">
        <f aca="false">IFERROR(INDEX(المكونات!$B$2:$B$500,MATCH($B318,المكونات!$A$2:$A$500,0)),"")</f>
        <v>قطعة</v>
      </c>
      <c r="E318" s="41" t="n">
        <f aca="false">IFERROR(INDEX(المكونات!$C$2:$C$500,MATCH($B318,المكونات!$A$2:$A$500,0)),"")</f>
        <v>0.5</v>
      </c>
      <c r="F318" s="42" t="n">
        <f aca="false">IFERROR($C318*$E318,"")</f>
        <v>0.5</v>
      </c>
    </row>
    <row r="319" customFormat="false" ht="15" hidden="false" customHeight="true" outlineLevel="0" collapsed="false">
      <c r="A319" s="39" t="s">
        <v>461</v>
      </c>
      <c r="B319" s="39" t="s">
        <v>145</v>
      </c>
      <c r="C319" s="39" t="n">
        <v>2</v>
      </c>
      <c r="D319" s="40" t="str">
        <f aca="false">IFERROR(INDEX(المكونات!$B$2:$B$500,MATCH($B319,المكونات!$A$2:$A$500,0)),"")</f>
        <v>قطعة (جلفز)</v>
      </c>
      <c r="E319" s="41" t="n">
        <f aca="false">IFERROR(INDEX(المكونات!$C$2:$C$500,MATCH($B319,المكونات!$A$2:$A$500,0)),"")</f>
        <v>0.18</v>
      </c>
      <c r="F319" s="42" t="n">
        <f aca="false">IFERROR($C319*$E319,"")</f>
        <v>0.36</v>
      </c>
    </row>
    <row r="320" customFormat="false" ht="15" hidden="false" customHeight="true" outlineLevel="0" collapsed="false">
      <c r="A320" s="39" t="s">
        <v>461</v>
      </c>
      <c r="B320" s="39" t="s">
        <v>257</v>
      </c>
      <c r="C320" s="39" t="n">
        <v>1</v>
      </c>
      <c r="D320" s="40" t="str">
        <f aca="false">IFERROR(INDEX(المكونات!$B$2:$B$500,MATCH($B320,المكونات!$A$2:$A$500,0)),"")</f>
        <v>قطعة (كيس)</v>
      </c>
      <c r="E320" s="41" t="n">
        <f aca="false">IFERROR(INDEX(المكونات!$C$2:$C$500,MATCH($B320,المكونات!$A$2:$A$500,0)),"")</f>
        <v>0.9995</v>
      </c>
      <c r="F320" s="42" t="n">
        <f aca="false">IFERROR($C320*$E320,"")</f>
        <v>0.9995</v>
      </c>
    </row>
    <row r="321" customFormat="false" ht="15" hidden="false" customHeight="true" outlineLevel="0" collapsed="false">
      <c r="A321" s="39" t="s">
        <v>461</v>
      </c>
      <c r="B321" s="39" t="s">
        <v>78</v>
      </c>
      <c r="C321" s="39" t="n">
        <v>1</v>
      </c>
      <c r="D321" s="40" t="str">
        <f aca="false">IFERROR(INDEX(المكونات!$B$2:$B$500,MATCH($B321,المكونات!$A$2:$A$500,0)),"")</f>
        <v>قطعة</v>
      </c>
      <c r="E321" s="41" t="n">
        <f aca="false">IFERROR(INDEX(المكونات!$C$2:$C$500,MATCH($B321,المكونات!$A$2:$A$500,0)),"")</f>
        <v>46.8889</v>
      </c>
      <c r="F321" s="42" t="n">
        <f aca="false">IFERROR($C321*$E321,"")</f>
        <v>46.8889</v>
      </c>
    </row>
    <row r="322" customFormat="false" ht="15" hidden="false" customHeight="true" outlineLevel="0" collapsed="false">
      <c r="A322" s="39" t="s">
        <v>461</v>
      </c>
      <c r="B322" s="39" t="s">
        <v>88</v>
      </c>
      <c r="C322" s="39" t="n">
        <v>1</v>
      </c>
      <c r="D322" s="40" t="str">
        <f aca="false">IFERROR(INDEX(المكونات!$B$2:$B$500,MATCH($B322,المكونات!$A$2:$A$500,0)),"")</f>
        <v>قطعة</v>
      </c>
      <c r="E322" s="41" t="n">
        <f aca="false">IFERROR(INDEX(المكونات!$C$2:$C$500,MATCH($B322,المكونات!$A$2:$A$500,0)),"")</f>
        <v>45</v>
      </c>
      <c r="F322" s="42" t="n">
        <f aca="false">IFERROR($C322*$E322,"")</f>
        <v>45</v>
      </c>
    </row>
    <row r="323" customFormat="false" ht="15" hidden="false" customHeight="true" outlineLevel="0" collapsed="false">
      <c r="A323" s="39" t="s">
        <v>461</v>
      </c>
      <c r="B323" s="39" t="s">
        <v>102</v>
      </c>
      <c r="C323" s="39" t="n">
        <v>1</v>
      </c>
      <c r="D323" s="40" t="str">
        <f aca="false">IFERROR(INDEX(المكونات!$B$2:$B$500,MATCH($B323,المكونات!$A$2:$A$500,0)),"")</f>
        <v>قطعة</v>
      </c>
      <c r="E323" s="41" t="n">
        <f aca="false">IFERROR(INDEX(المكونات!$C$2:$C$500,MATCH($B323,المكونات!$A$2:$A$500,0)),"")</f>
        <v>21</v>
      </c>
      <c r="F323" s="42" t="n">
        <f aca="false">IFERROR($C323*$E323,"")</f>
        <v>21</v>
      </c>
    </row>
    <row r="324" customFormat="false" ht="15" hidden="false" customHeight="true" outlineLevel="0" collapsed="false">
      <c r="A324" s="39" t="s">
        <v>453</v>
      </c>
      <c r="B324" s="39" t="s">
        <v>200</v>
      </c>
      <c r="C324" s="39" t="n">
        <v>1</v>
      </c>
      <c r="D324" s="40" t="str">
        <f aca="false">IFERROR(INDEX(المكونات!$B$2:$B$500,MATCH($B324,المكونات!$A$2:$A$500,0)),"")</f>
        <v>قطعة</v>
      </c>
      <c r="E324" s="41" t="n">
        <f aca="false">IFERROR(INDEX(المكونات!$C$2:$C$500,MATCH($B324,المكونات!$A$2:$A$500,0)),"")</f>
        <v>4</v>
      </c>
      <c r="F324" s="42" t="n">
        <f aca="false">IFERROR($C324*$E324,"")</f>
        <v>4</v>
      </c>
    </row>
    <row r="325" customFormat="false" ht="15" hidden="false" customHeight="true" outlineLevel="0" collapsed="false">
      <c r="A325" s="39" t="s">
        <v>453</v>
      </c>
      <c r="B325" s="39" t="s">
        <v>196</v>
      </c>
      <c r="C325" s="39" t="n">
        <v>0.03</v>
      </c>
      <c r="D325" s="40" t="str">
        <f aca="false">IFERROR(INDEX(المكونات!$B$2:$B$500,MATCH($B325,المكونات!$A$2:$A$500,0)),"")</f>
        <v>كجم</v>
      </c>
      <c r="E325" s="41" t="n">
        <f aca="false">IFERROR(INDEX(المكونات!$C$2:$C$500,MATCH($B325,المكونات!$A$2:$A$500,0)),"")</f>
        <v>21</v>
      </c>
      <c r="F325" s="42" t="n">
        <f aca="false">IFERROR($C325*$E325,"")</f>
        <v>0.63</v>
      </c>
    </row>
    <row r="326" customFormat="false" ht="15" hidden="false" customHeight="true" outlineLevel="0" collapsed="false">
      <c r="A326" s="39" t="s">
        <v>453</v>
      </c>
      <c r="B326" s="39" t="s">
        <v>219</v>
      </c>
      <c r="C326" s="39" t="n">
        <v>0.02</v>
      </c>
      <c r="D326" s="40" t="str">
        <f aca="false">IFERROR(INDEX(المكونات!$B$2:$B$500,MATCH($B326,المكونات!$A$2:$A$500,0)),"")</f>
        <v>كجم</v>
      </c>
      <c r="E326" s="41" t="n">
        <f aca="false">IFERROR(INDEX(المكونات!$C$2:$C$500,MATCH($B326,المكونات!$A$2:$A$500,0)),"")</f>
        <v>27</v>
      </c>
      <c r="F326" s="42" t="n">
        <f aca="false">IFERROR($C326*$E326,"")</f>
        <v>0.54</v>
      </c>
    </row>
    <row r="327" customFormat="false" ht="15" hidden="false" customHeight="true" outlineLevel="0" collapsed="false">
      <c r="A327" s="39" t="s">
        <v>453</v>
      </c>
      <c r="B327" s="39" t="s">
        <v>162</v>
      </c>
      <c r="C327" s="39" t="n">
        <v>0.02</v>
      </c>
      <c r="D327" s="40" t="str">
        <f aca="false">IFERROR(INDEX(المكونات!$B$2:$B$500,MATCH($B327,المكونات!$A$2:$A$500,0)),"")</f>
        <v>كجم</v>
      </c>
      <c r="E327" s="41" t="n">
        <f aca="false">IFERROR(INDEX(المكونات!$C$2:$C$500,MATCH($B327,المكونات!$A$2:$A$500,0)),"")</f>
        <v>95</v>
      </c>
      <c r="F327" s="42" t="n">
        <f aca="false">IFERROR($C327*$E327,"")</f>
        <v>1.9</v>
      </c>
    </row>
    <row r="328" customFormat="false" ht="15" hidden="false" customHeight="true" outlineLevel="0" collapsed="false">
      <c r="A328" s="39" t="s">
        <v>453</v>
      </c>
      <c r="B328" s="39" t="s">
        <v>110</v>
      </c>
      <c r="C328" s="39" t="n">
        <v>1</v>
      </c>
      <c r="D328" s="40" t="str">
        <f aca="false">IFERROR(INDEX(المكونات!$B$2:$B$500,MATCH($B328,المكونات!$A$2:$A$500,0)),"")</f>
        <v>قطعة</v>
      </c>
      <c r="E328" s="41" t="n">
        <f aca="false">IFERROR(INDEX(المكونات!$C$2:$C$500,MATCH($B328,المكونات!$A$2:$A$500,0)),"")</f>
        <v>17.5</v>
      </c>
      <c r="F328" s="42" t="n">
        <f aca="false">IFERROR($C328*$E328,"")</f>
        <v>17.5</v>
      </c>
    </row>
    <row r="329" customFormat="false" ht="15" hidden="false" customHeight="true" outlineLevel="0" collapsed="false">
      <c r="A329" s="39" t="s">
        <v>453</v>
      </c>
      <c r="B329" s="39" t="s">
        <v>206</v>
      </c>
      <c r="C329" s="39" t="n">
        <v>1</v>
      </c>
      <c r="D329" s="40" t="str">
        <f aca="false">IFERROR(INDEX(المكونات!$B$2:$B$500,MATCH($B329,المكونات!$A$2:$A$500,0)),"")</f>
        <v>قطعة</v>
      </c>
      <c r="E329" s="41" t="n">
        <f aca="false">IFERROR(INDEX(المكونات!$C$2:$C$500,MATCH($B329,المكونات!$A$2:$A$500,0)),"")</f>
        <v>4.5</v>
      </c>
      <c r="F329" s="42" t="n">
        <f aca="false">IFERROR($C329*$E329,"")</f>
        <v>4.5</v>
      </c>
    </row>
    <row r="330" customFormat="false" ht="15" hidden="false" customHeight="true" outlineLevel="0" collapsed="false">
      <c r="A330" s="39" t="s">
        <v>453</v>
      </c>
      <c r="B330" s="39" t="s">
        <v>225</v>
      </c>
      <c r="C330" s="39" t="n">
        <v>2</v>
      </c>
      <c r="D330" s="40" t="str">
        <f aca="false">IFERROR(INDEX(المكونات!$B$2:$B$500,MATCH($B330,المكونات!$A$2:$A$500,0)),"")</f>
        <v>قطعة</v>
      </c>
      <c r="E330" s="41" t="n">
        <f aca="false">IFERROR(INDEX(المكونات!$C$2:$C$500,MATCH($B330,المكونات!$A$2:$A$500,0)),"")</f>
        <v>0.3</v>
      </c>
      <c r="F330" s="42" t="n">
        <f aca="false">IFERROR($C330*$E330,"")</f>
        <v>0.6</v>
      </c>
    </row>
    <row r="331" customFormat="false" ht="15" hidden="false" customHeight="true" outlineLevel="0" collapsed="false">
      <c r="A331" s="39" t="s">
        <v>453</v>
      </c>
      <c r="B331" s="39" t="s">
        <v>254</v>
      </c>
      <c r="C331" s="39" t="n">
        <v>1</v>
      </c>
      <c r="D331" s="40" t="str">
        <f aca="false">IFERROR(INDEX(المكونات!$B$2:$B$500,MATCH($B331,المكونات!$A$2:$A$500,0)),"")</f>
        <v>قطعة (ورقة)</v>
      </c>
      <c r="E331" s="41" t="n">
        <f aca="false">IFERROR(INDEX(المكونات!$C$2:$C$500,MATCH($B331,المكونات!$A$2:$A$500,0)),"")</f>
        <v>0.3665</v>
      </c>
      <c r="F331" s="42" t="n">
        <f aca="false">IFERROR($C331*$E331,"")</f>
        <v>0.3665</v>
      </c>
    </row>
    <row r="332" customFormat="false" ht="15" hidden="false" customHeight="true" outlineLevel="0" collapsed="false">
      <c r="A332" s="39" t="s">
        <v>453</v>
      </c>
      <c r="B332" s="39" t="s">
        <v>67</v>
      </c>
      <c r="C332" s="39" t="n">
        <v>1</v>
      </c>
      <c r="D332" s="40" t="str">
        <f aca="false">IFERROR(INDEX(المكونات!$B$2:$B$500,MATCH($B332,المكونات!$A$2:$A$500,0)),"")</f>
        <v>قطعة (كيس)</v>
      </c>
      <c r="E332" s="41" t="n">
        <f aca="false">IFERROR(INDEX(المكونات!$C$2:$C$500,MATCH($B332,المكونات!$A$2:$A$500,0)),"")</f>
        <v>1.4</v>
      </c>
      <c r="F332" s="42" t="n">
        <f aca="false">IFERROR($C332*$E332,"")</f>
        <v>1.4</v>
      </c>
    </row>
    <row r="333" customFormat="false" ht="15" hidden="false" customHeight="true" outlineLevel="0" collapsed="false">
      <c r="A333" s="39" t="s">
        <v>453</v>
      </c>
      <c r="B333" s="39" t="s">
        <v>228</v>
      </c>
      <c r="C333" s="39" t="n">
        <v>1</v>
      </c>
      <c r="D333" s="40" t="str">
        <f aca="false">IFERROR(INDEX(المكونات!$B$2:$B$500,MATCH($B333,المكونات!$A$2:$A$500,0)),"")</f>
        <v>قطعة</v>
      </c>
      <c r="E333" s="41" t="n">
        <f aca="false">IFERROR(INDEX(المكونات!$C$2:$C$500,MATCH($B333,المكونات!$A$2:$A$500,0)),"")</f>
        <v>0.5</v>
      </c>
      <c r="F333" s="42" t="n">
        <f aca="false">IFERROR($C333*$E333,"")</f>
        <v>0.5</v>
      </c>
    </row>
    <row r="334" customFormat="false" ht="15" hidden="false" customHeight="true" outlineLevel="0" collapsed="false">
      <c r="A334" s="39" t="s">
        <v>453</v>
      </c>
      <c r="B334" s="39" t="s">
        <v>145</v>
      </c>
      <c r="C334" s="39" t="n">
        <v>2</v>
      </c>
      <c r="D334" s="40" t="str">
        <f aca="false">IFERROR(INDEX(المكونات!$B$2:$B$500,MATCH($B334,المكونات!$A$2:$A$500,0)),"")</f>
        <v>قطعة (جلفز)</v>
      </c>
      <c r="E334" s="41" t="n">
        <f aca="false">IFERROR(INDEX(المكونات!$C$2:$C$500,MATCH($B334,المكونات!$A$2:$A$500,0)),"")</f>
        <v>0.18</v>
      </c>
      <c r="F334" s="42" t="n">
        <f aca="false">IFERROR($C334*$E334,"")</f>
        <v>0.36</v>
      </c>
    </row>
    <row r="335" customFormat="false" ht="15" hidden="false" customHeight="true" outlineLevel="0" collapsed="false">
      <c r="A335" s="39" t="s">
        <v>453</v>
      </c>
      <c r="B335" s="39" t="s">
        <v>257</v>
      </c>
      <c r="C335" s="39" t="n">
        <v>1</v>
      </c>
      <c r="D335" s="40" t="str">
        <f aca="false">IFERROR(INDEX(المكونات!$B$2:$B$500,MATCH($B335,المكونات!$A$2:$A$500,0)),"")</f>
        <v>قطعة (كيس)</v>
      </c>
      <c r="E335" s="41" t="n">
        <f aca="false">IFERROR(INDEX(المكونات!$C$2:$C$500,MATCH($B335,المكونات!$A$2:$A$500,0)),"")</f>
        <v>0.9995</v>
      </c>
      <c r="F335" s="42" t="n">
        <f aca="false">IFERROR($C335*$E335,"")</f>
        <v>0.9995</v>
      </c>
    </row>
    <row r="336" customFormat="false" ht="15" hidden="false" customHeight="true" outlineLevel="0" collapsed="false">
      <c r="A336" s="39" t="s">
        <v>453</v>
      </c>
      <c r="B336" s="39" t="s">
        <v>86</v>
      </c>
      <c r="C336" s="39" t="n">
        <v>1</v>
      </c>
      <c r="D336" s="40" t="str">
        <f aca="false">IFERROR(INDEX(المكونات!$B$2:$B$500,MATCH($B336,المكونات!$A$2:$A$500,0)),"")</f>
        <v>قطعة</v>
      </c>
      <c r="E336" s="41" t="n">
        <f aca="false">IFERROR(INDEX(المكونات!$C$2:$C$500,MATCH($B336,المكونات!$A$2:$A$500,0)),"")</f>
        <v>34</v>
      </c>
      <c r="F336" s="42" t="n">
        <f aca="false">IFERROR($C336*$E336,"")</f>
        <v>34</v>
      </c>
    </row>
    <row r="337" customFormat="false" ht="15" hidden="false" customHeight="true" outlineLevel="0" collapsed="false">
      <c r="A337" s="39" t="s">
        <v>453</v>
      </c>
      <c r="B337" s="39" t="s">
        <v>82</v>
      </c>
      <c r="C337" s="39" t="n">
        <v>1</v>
      </c>
      <c r="D337" s="40" t="str">
        <f aca="false">IFERROR(INDEX(المكونات!$B$2:$B$500,MATCH($B337,المكونات!$A$2:$A$500,0)),"")</f>
        <v>قطعة</v>
      </c>
      <c r="E337" s="41" t="n">
        <f aca="false">IFERROR(INDEX(المكونات!$C$2:$C$500,MATCH($B337,المكونات!$A$2:$A$500,0)),"")</f>
        <v>9</v>
      </c>
      <c r="F337" s="42" t="n">
        <f aca="false">IFERROR($C337*$E337,"")</f>
        <v>9</v>
      </c>
    </row>
    <row r="338" customFormat="false" ht="15" hidden="false" customHeight="true" outlineLevel="0" collapsed="false">
      <c r="A338" s="39" t="s">
        <v>384</v>
      </c>
      <c r="B338" s="39" t="s">
        <v>200</v>
      </c>
      <c r="C338" s="39" t="n">
        <v>1.5</v>
      </c>
      <c r="D338" s="40" t="str">
        <f aca="false">IFERROR(INDEX(المكونات!$B$2:$B$500,MATCH($B338,المكونات!$A$2:$A$500,0)),"")</f>
        <v>قطعة</v>
      </c>
      <c r="E338" s="41" t="n">
        <f aca="false">IFERROR(INDEX(المكونات!$C$2:$C$500,MATCH($B338,المكونات!$A$2:$A$500,0)),"")</f>
        <v>4</v>
      </c>
      <c r="F338" s="42" t="n">
        <f aca="false">IFERROR($C338*$E338,"")</f>
        <v>6</v>
      </c>
    </row>
    <row r="339" customFormat="false" ht="15" hidden="false" customHeight="true" outlineLevel="0" collapsed="false">
      <c r="A339" s="39" t="s">
        <v>384</v>
      </c>
      <c r="B339" s="39" t="s">
        <v>196</v>
      </c>
      <c r="C339" s="39" t="n">
        <v>0.045</v>
      </c>
      <c r="D339" s="40" t="str">
        <f aca="false">IFERROR(INDEX(المكونات!$B$2:$B$500,MATCH($B339,المكونات!$A$2:$A$500,0)),"")</f>
        <v>كجم</v>
      </c>
      <c r="E339" s="41" t="n">
        <f aca="false">IFERROR(INDEX(المكونات!$C$2:$C$500,MATCH($B339,المكونات!$A$2:$A$500,0)),"")</f>
        <v>21</v>
      </c>
      <c r="F339" s="42" t="n">
        <f aca="false">IFERROR($C339*$E339,"")</f>
        <v>0.945</v>
      </c>
    </row>
    <row r="340" customFormat="false" ht="15" hidden="false" customHeight="true" outlineLevel="0" collapsed="false">
      <c r="A340" s="39" t="s">
        <v>384</v>
      </c>
      <c r="B340" s="39" t="s">
        <v>219</v>
      </c>
      <c r="C340" s="39" t="n">
        <v>0.03</v>
      </c>
      <c r="D340" s="40" t="str">
        <f aca="false">IFERROR(INDEX(المكونات!$B$2:$B$500,MATCH($B340,المكونات!$A$2:$A$500,0)),"")</f>
        <v>كجم</v>
      </c>
      <c r="E340" s="41" t="n">
        <f aca="false">IFERROR(INDEX(المكونات!$C$2:$C$500,MATCH($B340,المكونات!$A$2:$A$500,0)),"")</f>
        <v>27</v>
      </c>
      <c r="F340" s="42" t="n">
        <f aca="false">IFERROR($C340*$E340,"")</f>
        <v>0.81</v>
      </c>
    </row>
    <row r="341" customFormat="false" ht="15" hidden="false" customHeight="true" outlineLevel="0" collapsed="false">
      <c r="A341" s="39" t="s">
        <v>384</v>
      </c>
      <c r="B341" s="39" t="s">
        <v>162</v>
      </c>
      <c r="C341" s="39" t="n">
        <v>0.03</v>
      </c>
      <c r="D341" s="40" t="str">
        <f aca="false">IFERROR(INDEX(المكونات!$B$2:$B$500,MATCH($B341,المكونات!$A$2:$A$500,0)),"")</f>
        <v>كجم</v>
      </c>
      <c r="E341" s="41" t="n">
        <f aca="false">IFERROR(INDEX(المكونات!$C$2:$C$500,MATCH($B341,المكونات!$A$2:$A$500,0)),"")</f>
        <v>95</v>
      </c>
      <c r="F341" s="42" t="n">
        <f aca="false">IFERROR($C341*$E341,"")</f>
        <v>2.85</v>
      </c>
    </row>
    <row r="342" customFormat="false" ht="15" hidden="false" customHeight="true" outlineLevel="0" collapsed="false">
      <c r="A342" s="39" t="s">
        <v>384</v>
      </c>
      <c r="B342" s="39" t="s">
        <v>112</v>
      </c>
      <c r="C342" s="39" t="n">
        <v>1</v>
      </c>
      <c r="D342" s="40" t="str">
        <f aca="false">IFERROR(INDEX(المكونات!$B$2:$B$500,MATCH($B342,المكونات!$A$2:$A$500,0)),"")</f>
        <v>قطعة</v>
      </c>
      <c r="E342" s="41" t="n">
        <f aca="false">IFERROR(INDEX(المكونات!$C$2:$C$500,MATCH($B342,المكونات!$A$2:$A$500,0)),"")</f>
        <v>25</v>
      </c>
      <c r="F342" s="42" t="n">
        <f aca="false">IFERROR($C342*$E342,"")</f>
        <v>25</v>
      </c>
    </row>
    <row r="343" customFormat="false" ht="15" hidden="false" customHeight="true" outlineLevel="0" collapsed="false">
      <c r="A343" s="39" t="s">
        <v>384</v>
      </c>
      <c r="B343" s="39" t="s">
        <v>204</v>
      </c>
      <c r="C343" s="39" t="n">
        <v>1</v>
      </c>
      <c r="D343" s="40" t="str">
        <f aca="false">IFERROR(INDEX(المكونات!$B$2:$B$500,MATCH($B343,المكونات!$A$2:$A$500,0)),"")</f>
        <v>قطعة</v>
      </c>
      <c r="E343" s="41" t="n">
        <f aca="false">IFERROR(INDEX(المكونات!$C$2:$C$500,MATCH($B343,المكونات!$A$2:$A$500,0)),"")</f>
        <v>5.5</v>
      </c>
      <c r="F343" s="42" t="n">
        <f aca="false">IFERROR($C343*$E343,"")</f>
        <v>5.5</v>
      </c>
    </row>
    <row r="344" customFormat="false" ht="15" hidden="false" customHeight="true" outlineLevel="0" collapsed="false">
      <c r="A344" s="39" t="s">
        <v>384</v>
      </c>
      <c r="B344" s="39" t="s">
        <v>225</v>
      </c>
      <c r="C344" s="39" t="n">
        <v>3</v>
      </c>
      <c r="D344" s="40" t="str">
        <f aca="false">IFERROR(INDEX(المكونات!$B$2:$B$500,MATCH($B344,المكونات!$A$2:$A$500,0)),"")</f>
        <v>قطعة</v>
      </c>
      <c r="E344" s="41" t="n">
        <f aca="false">IFERROR(INDEX(المكونات!$C$2:$C$500,MATCH($B344,المكونات!$A$2:$A$500,0)),"")</f>
        <v>0.3</v>
      </c>
      <c r="F344" s="42" t="n">
        <f aca="false">IFERROR($C344*$E344,"")</f>
        <v>0.9</v>
      </c>
    </row>
    <row r="345" customFormat="false" ht="15" hidden="false" customHeight="true" outlineLevel="0" collapsed="false">
      <c r="A345" s="39" t="s">
        <v>384</v>
      </c>
      <c r="B345" s="39" t="s">
        <v>254</v>
      </c>
      <c r="C345" s="39" t="n">
        <v>1</v>
      </c>
      <c r="D345" s="40" t="str">
        <f aca="false">IFERROR(INDEX(المكونات!$B$2:$B$500,MATCH($B345,المكونات!$A$2:$A$500,0)),"")</f>
        <v>قطعة (ورقة)</v>
      </c>
      <c r="E345" s="41" t="n">
        <f aca="false">IFERROR(INDEX(المكونات!$C$2:$C$500,MATCH($B345,المكونات!$A$2:$A$500,0)),"")</f>
        <v>0.3665</v>
      </c>
      <c r="F345" s="42" t="n">
        <f aca="false">IFERROR($C345*$E345,"")</f>
        <v>0.3665</v>
      </c>
    </row>
    <row r="346" customFormat="false" ht="15" hidden="false" customHeight="true" outlineLevel="0" collapsed="false">
      <c r="A346" s="39" t="s">
        <v>384</v>
      </c>
      <c r="B346" s="39" t="s">
        <v>67</v>
      </c>
      <c r="C346" s="39" t="n">
        <v>1</v>
      </c>
      <c r="D346" s="40" t="str">
        <f aca="false">IFERROR(INDEX(المكونات!$B$2:$B$500,MATCH($B346,المكونات!$A$2:$A$500,0)),"")</f>
        <v>قطعة (كيس)</v>
      </c>
      <c r="E346" s="41" t="n">
        <f aca="false">IFERROR(INDEX(المكونات!$C$2:$C$500,MATCH($B346,المكونات!$A$2:$A$500,0)),"")</f>
        <v>1.4</v>
      </c>
      <c r="F346" s="42" t="n">
        <f aca="false">IFERROR($C346*$E346,"")</f>
        <v>1.4</v>
      </c>
    </row>
    <row r="347" customFormat="false" ht="15" hidden="false" customHeight="true" outlineLevel="0" collapsed="false">
      <c r="A347" s="39" t="s">
        <v>384</v>
      </c>
      <c r="B347" s="39" t="s">
        <v>228</v>
      </c>
      <c r="C347" s="39" t="n">
        <v>1</v>
      </c>
      <c r="D347" s="40" t="str">
        <f aca="false">IFERROR(INDEX(المكونات!$B$2:$B$500,MATCH($B347,المكونات!$A$2:$A$500,0)),"")</f>
        <v>قطعة</v>
      </c>
      <c r="E347" s="41" t="n">
        <f aca="false">IFERROR(INDEX(المكونات!$C$2:$C$500,MATCH($B347,المكونات!$A$2:$A$500,0)),"")</f>
        <v>0.5</v>
      </c>
      <c r="F347" s="42" t="n">
        <f aca="false">IFERROR($C347*$E347,"")</f>
        <v>0.5</v>
      </c>
    </row>
    <row r="348" customFormat="false" ht="15" hidden="false" customHeight="true" outlineLevel="0" collapsed="false">
      <c r="A348" s="39" t="s">
        <v>384</v>
      </c>
      <c r="B348" s="39" t="s">
        <v>145</v>
      </c>
      <c r="C348" s="39" t="n">
        <v>2</v>
      </c>
      <c r="D348" s="40" t="str">
        <f aca="false">IFERROR(INDEX(المكونات!$B$2:$B$500,MATCH($B348,المكونات!$A$2:$A$500,0)),"")</f>
        <v>قطعة (جلفز)</v>
      </c>
      <c r="E348" s="41" t="n">
        <f aca="false">IFERROR(INDEX(المكونات!$C$2:$C$500,MATCH($B348,المكونات!$A$2:$A$500,0)),"")</f>
        <v>0.18</v>
      </c>
      <c r="F348" s="42" t="n">
        <f aca="false">IFERROR($C348*$E348,"")</f>
        <v>0.36</v>
      </c>
    </row>
    <row r="349" customFormat="false" ht="15" hidden="false" customHeight="true" outlineLevel="0" collapsed="false">
      <c r="A349" s="39" t="s">
        <v>384</v>
      </c>
      <c r="B349" s="39" t="s">
        <v>257</v>
      </c>
      <c r="C349" s="39" t="n">
        <v>1</v>
      </c>
      <c r="D349" s="40" t="str">
        <f aca="false">IFERROR(INDEX(المكونات!$B$2:$B$500,MATCH($B349,المكونات!$A$2:$A$500,0)),"")</f>
        <v>قطعة (كيس)</v>
      </c>
      <c r="E349" s="41" t="n">
        <f aca="false">IFERROR(INDEX(المكونات!$C$2:$C$500,MATCH($B349,المكونات!$A$2:$A$500,0)),"")</f>
        <v>0.9995</v>
      </c>
      <c r="F349" s="42" t="n">
        <f aca="false">IFERROR($C349*$E349,"")</f>
        <v>0.9995</v>
      </c>
    </row>
    <row r="350" customFormat="false" ht="15" hidden="false" customHeight="true" outlineLevel="0" collapsed="false">
      <c r="A350" s="39" t="s">
        <v>384</v>
      </c>
      <c r="B350" s="39" t="s">
        <v>88</v>
      </c>
      <c r="C350" s="39" t="n">
        <v>1</v>
      </c>
      <c r="D350" s="40" t="str">
        <f aca="false">IFERROR(INDEX(المكونات!$B$2:$B$500,MATCH($B350,المكونات!$A$2:$A$500,0)),"")</f>
        <v>قطعة</v>
      </c>
      <c r="E350" s="41" t="n">
        <f aca="false">IFERROR(INDEX(المكونات!$C$2:$C$500,MATCH($B350,المكونات!$A$2:$A$500,0)),"")</f>
        <v>45</v>
      </c>
      <c r="F350" s="42" t="n">
        <f aca="false">IFERROR($C350*$E350,"")</f>
        <v>45</v>
      </c>
    </row>
    <row r="351" customFormat="false" ht="15" hidden="false" customHeight="true" outlineLevel="0" collapsed="false">
      <c r="A351" s="39" t="s">
        <v>384</v>
      </c>
      <c r="B351" s="39" t="s">
        <v>82</v>
      </c>
      <c r="C351" s="39" t="n">
        <v>1.5</v>
      </c>
      <c r="D351" s="40" t="str">
        <f aca="false">IFERROR(INDEX(المكونات!$B$2:$B$500,MATCH($B351,المكونات!$A$2:$A$500,0)),"")</f>
        <v>قطعة</v>
      </c>
      <c r="E351" s="41" t="n">
        <f aca="false">IFERROR(INDEX(المكونات!$C$2:$C$500,MATCH($B351,المكونات!$A$2:$A$500,0)),"")</f>
        <v>9</v>
      </c>
      <c r="F351" s="42" t="n">
        <f aca="false">IFERROR($C351*$E351,"")</f>
        <v>13.5</v>
      </c>
    </row>
    <row r="352" customFormat="false" ht="15" hidden="false" customHeight="true" outlineLevel="0" collapsed="false">
      <c r="A352" s="39" t="s">
        <v>383</v>
      </c>
      <c r="B352" s="39" t="s">
        <v>200</v>
      </c>
      <c r="C352" s="39" t="n">
        <v>1</v>
      </c>
      <c r="D352" s="40" t="str">
        <f aca="false">IFERROR(INDEX(المكونات!$B$2:$B$500,MATCH($B352,المكونات!$A$2:$A$500,0)),"")</f>
        <v>قطعة</v>
      </c>
      <c r="E352" s="41" t="n">
        <f aca="false">IFERROR(INDEX(المكونات!$C$2:$C$500,MATCH($B352,المكونات!$A$2:$A$500,0)),"")</f>
        <v>4</v>
      </c>
      <c r="F352" s="42" t="n">
        <f aca="false">IFERROR($C352*$E352,"")</f>
        <v>4</v>
      </c>
    </row>
    <row r="353" customFormat="false" ht="15" hidden="false" customHeight="true" outlineLevel="0" collapsed="false">
      <c r="A353" s="39" t="s">
        <v>383</v>
      </c>
      <c r="B353" s="39" t="s">
        <v>196</v>
      </c>
      <c r="C353" s="39" t="n">
        <v>0.03</v>
      </c>
      <c r="D353" s="40" t="str">
        <f aca="false">IFERROR(INDEX(المكونات!$B$2:$B$500,MATCH($B353,المكونات!$A$2:$A$500,0)),"")</f>
        <v>كجم</v>
      </c>
      <c r="E353" s="41" t="n">
        <f aca="false">IFERROR(INDEX(المكونات!$C$2:$C$500,MATCH($B353,المكونات!$A$2:$A$500,0)),"")</f>
        <v>21</v>
      </c>
      <c r="F353" s="42" t="n">
        <f aca="false">IFERROR($C353*$E353,"")</f>
        <v>0.63</v>
      </c>
    </row>
    <row r="354" customFormat="false" ht="15" hidden="false" customHeight="true" outlineLevel="0" collapsed="false">
      <c r="A354" s="39" t="s">
        <v>383</v>
      </c>
      <c r="B354" s="39" t="s">
        <v>219</v>
      </c>
      <c r="C354" s="39" t="n">
        <v>0.02</v>
      </c>
      <c r="D354" s="40" t="str">
        <f aca="false">IFERROR(INDEX(المكونات!$B$2:$B$500,MATCH($B354,المكونات!$A$2:$A$500,0)),"")</f>
        <v>كجم</v>
      </c>
      <c r="E354" s="41" t="n">
        <f aca="false">IFERROR(INDEX(المكونات!$C$2:$C$500,MATCH($B354,المكونات!$A$2:$A$500,0)),"")</f>
        <v>27</v>
      </c>
      <c r="F354" s="42" t="n">
        <f aca="false">IFERROR($C354*$E354,"")</f>
        <v>0.54</v>
      </c>
    </row>
    <row r="355" customFormat="false" ht="15" hidden="false" customHeight="true" outlineLevel="0" collapsed="false">
      <c r="A355" s="39" t="s">
        <v>383</v>
      </c>
      <c r="B355" s="39" t="s">
        <v>162</v>
      </c>
      <c r="C355" s="39" t="n">
        <v>0.02</v>
      </c>
      <c r="D355" s="40" t="str">
        <f aca="false">IFERROR(INDEX(المكونات!$B$2:$B$500,MATCH($B355,المكونات!$A$2:$A$500,0)),"")</f>
        <v>كجم</v>
      </c>
      <c r="E355" s="41" t="n">
        <f aca="false">IFERROR(INDEX(المكونات!$C$2:$C$500,MATCH($B355,المكونات!$A$2:$A$500,0)),"")</f>
        <v>95</v>
      </c>
      <c r="F355" s="42" t="n">
        <f aca="false">IFERROR($C355*$E355,"")</f>
        <v>1.9</v>
      </c>
    </row>
    <row r="356" customFormat="false" ht="15" hidden="false" customHeight="true" outlineLevel="0" collapsed="false">
      <c r="A356" s="39" t="s">
        <v>383</v>
      </c>
      <c r="B356" s="39" t="s">
        <v>110</v>
      </c>
      <c r="C356" s="39" t="n">
        <v>1</v>
      </c>
      <c r="D356" s="40" t="str">
        <f aca="false">IFERROR(INDEX(المكونات!$B$2:$B$500,MATCH($B356,المكونات!$A$2:$A$500,0)),"")</f>
        <v>قطعة</v>
      </c>
      <c r="E356" s="41" t="n">
        <f aca="false">IFERROR(INDEX(المكونات!$C$2:$C$500,MATCH($B356,المكونات!$A$2:$A$500,0)),"")</f>
        <v>17.5</v>
      </c>
      <c r="F356" s="42" t="n">
        <f aca="false">IFERROR($C356*$E356,"")</f>
        <v>17.5</v>
      </c>
    </row>
    <row r="357" customFormat="false" ht="15" hidden="false" customHeight="true" outlineLevel="0" collapsed="false">
      <c r="A357" s="39" t="s">
        <v>383</v>
      </c>
      <c r="B357" s="39" t="s">
        <v>206</v>
      </c>
      <c r="C357" s="39" t="n">
        <v>1</v>
      </c>
      <c r="D357" s="40" t="str">
        <f aca="false">IFERROR(INDEX(المكونات!$B$2:$B$500,MATCH($B357,المكونات!$A$2:$A$500,0)),"")</f>
        <v>قطعة</v>
      </c>
      <c r="E357" s="41" t="n">
        <f aca="false">IFERROR(INDEX(المكونات!$C$2:$C$500,MATCH($B357,المكونات!$A$2:$A$500,0)),"")</f>
        <v>4.5</v>
      </c>
      <c r="F357" s="42" t="n">
        <f aca="false">IFERROR($C357*$E357,"")</f>
        <v>4.5</v>
      </c>
    </row>
    <row r="358" customFormat="false" ht="15" hidden="false" customHeight="true" outlineLevel="0" collapsed="false">
      <c r="A358" s="39" t="s">
        <v>383</v>
      </c>
      <c r="B358" s="39" t="s">
        <v>225</v>
      </c>
      <c r="C358" s="39" t="n">
        <v>2</v>
      </c>
      <c r="D358" s="40" t="str">
        <f aca="false">IFERROR(INDEX(المكونات!$B$2:$B$500,MATCH($B358,المكونات!$A$2:$A$500,0)),"")</f>
        <v>قطعة</v>
      </c>
      <c r="E358" s="41" t="n">
        <f aca="false">IFERROR(INDEX(المكونات!$C$2:$C$500,MATCH($B358,المكونات!$A$2:$A$500,0)),"")</f>
        <v>0.3</v>
      </c>
      <c r="F358" s="42" t="n">
        <f aca="false">IFERROR($C358*$E358,"")</f>
        <v>0.6</v>
      </c>
    </row>
    <row r="359" customFormat="false" ht="15" hidden="false" customHeight="true" outlineLevel="0" collapsed="false">
      <c r="A359" s="39" t="s">
        <v>383</v>
      </c>
      <c r="B359" s="39" t="s">
        <v>254</v>
      </c>
      <c r="C359" s="39" t="n">
        <v>1</v>
      </c>
      <c r="D359" s="40" t="str">
        <f aca="false">IFERROR(INDEX(المكونات!$B$2:$B$500,MATCH($B359,المكونات!$A$2:$A$500,0)),"")</f>
        <v>قطعة (ورقة)</v>
      </c>
      <c r="E359" s="41" t="n">
        <f aca="false">IFERROR(INDEX(المكونات!$C$2:$C$500,MATCH($B359,المكونات!$A$2:$A$500,0)),"")</f>
        <v>0.3665</v>
      </c>
      <c r="F359" s="42" t="n">
        <f aca="false">IFERROR($C359*$E359,"")</f>
        <v>0.3665</v>
      </c>
    </row>
    <row r="360" customFormat="false" ht="15" hidden="false" customHeight="true" outlineLevel="0" collapsed="false">
      <c r="A360" s="39" t="s">
        <v>383</v>
      </c>
      <c r="B360" s="39" t="s">
        <v>67</v>
      </c>
      <c r="C360" s="39" t="n">
        <v>1</v>
      </c>
      <c r="D360" s="40" t="str">
        <f aca="false">IFERROR(INDEX(المكونات!$B$2:$B$500,MATCH($B360,المكونات!$A$2:$A$500,0)),"")</f>
        <v>قطعة (كيس)</v>
      </c>
      <c r="E360" s="41" t="n">
        <f aca="false">IFERROR(INDEX(المكونات!$C$2:$C$500,MATCH($B360,المكونات!$A$2:$A$500,0)),"")</f>
        <v>1.4</v>
      </c>
      <c r="F360" s="42" t="n">
        <f aca="false">IFERROR($C360*$E360,"")</f>
        <v>1.4</v>
      </c>
    </row>
    <row r="361" customFormat="false" ht="15" hidden="false" customHeight="true" outlineLevel="0" collapsed="false">
      <c r="A361" s="39" t="s">
        <v>383</v>
      </c>
      <c r="B361" s="39" t="s">
        <v>228</v>
      </c>
      <c r="C361" s="39" t="n">
        <v>1</v>
      </c>
      <c r="D361" s="40" t="str">
        <f aca="false">IFERROR(INDEX(المكونات!$B$2:$B$500,MATCH($B361,المكونات!$A$2:$A$500,0)),"")</f>
        <v>قطعة</v>
      </c>
      <c r="E361" s="41" t="n">
        <f aca="false">IFERROR(INDEX(المكونات!$C$2:$C$500,MATCH($B361,المكونات!$A$2:$A$500,0)),"")</f>
        <v>0.5</v>
      </c>
      <c r="F361" s="42" t="n">
        <f aca="false">IFERROR($C361*$E361,"")</f>
        <v>0.5</v>
      </c>
    </row>
    <row r="362" customFormat="false" ht="15" hidden="false" customHeight="true" outlineLevel="0" collapsed="false">
      <c r="A362" s="39" t="s">
        <v>383</v>
      </c>
      <c r="B362" s="39" t="s">
        <v>145</v>
      </c>
      <c r="C362" s="39" t="n">
        <v>2</v>
      </c>
      <c r="D362" s="40" t="str">
        <f aca="false">IFERROR(INDEX(المكونات!$B$2:$B$500,MATCH($B362,المكونات!$A$2:$A$500,0)),"")</f>
        <v>قطعة (جلفز)</v>
      </c>
      <c r="E362" s="41" t="n">
        <f aca="false">IFERROR(INDEX(المكونات!$C$2:$C$500,MATCH($B362,المكونات!$A$2:$A$500,0)),"")</f>
        <v>0.18</v>
      </c>
      <c r="F362" s="42" t="n">
        <f aca="false">IFERROR($C362*$E362,"")</f>
        <v>0.36</v>
      </c>
    </row>
    <row r="363" customFormat="false" ht="15" hidden="false" customHeight="true" outlineLevel="0" collapsed="false">
      <c r="A363" s="39" t="s">
        <v>383</v>
      </c>
      <c r="B363" s="39" t="s">
        <v>257</v>
      </c>
      <c r="C363" s="39" t="n">
        <v>1</v>
      </c>
      <c r="D363" s="40" t="str">
        <f aca="false">IFERROR(INDEX(المكونات!$B$2:$B$500,MATCH($B363,المكونات!$A$2:$A$500,0)),"")</f>
        <v>قطعة (كيس)</v>
      </c>
      <c r="E363" s="41" t="n">
        <f aca="false">IFERROR(INDEX(المكونات!$C$2:$C$500,MATCH($B363,المكونات!$A$2:$A$500,0)),"")</f>
        <v>0.9995</v>
      </c>
      <c r="F363" s="42" t="n">
        <f aca="false">IFERROR($C363*$E363,"")</f>
        <v>0.9995</v>
      </c>
    </row>
    <row r="364" customFormat="false" ht="15" hidden="false" customHeight="true" outlineLevel="0" collapsed="false">
      <c r="A364" s="39" t="s">
        <v>383</v>
      </c>
      <c r="B364" s="39" t="s">
        <v>76</v>
      </c>
      <c r="C364" s="39" t="n">
        <v>1</v>
      </c>
      <c r="D364" s="40" t="str">
        <f aca="false">IFERROR(INDEX(المكونات!$B$2:$B$500,MATCH($B364,المكونات!$A$2:$A$500,0)),"")</f>
        <v>قطعة</v>
      </c>
      <c r="E364" s="41" t="n">
        <f aca="false">IFERROR(INDEX(المكونات!$C$2:$C$500,MATCH($B364,المكونات!$A$2:$A$500,0)),"")</f>
        <v>35</v>
      </c>
      <c r="F364" s="42" t="n">
        <f aca="false">IFERROR($C364*$E364,"")</f>
        <v>35</v>
      </c>
    </row>
    <row r="365" customFormat="false" ht="15" hidden="false" customHeight="true" outlineLevel="0" collapsed="false">
      <c r="A365" s="39" t="s">
        <v>357</v>
      </c>
      <c r="B365" s="39" t="s">
        <v>200</v>
      </c>
      <c r="C365" s="39" t="n">
        <v>1.5</v>
      </c>
      <c r="D365" s="40" t="str">
        <f aca="false">IFERROR(INDEX(المكونات!$B$2:$B$500,MATCH($B365,المكونات!$A$2:$A$500,0)),"")</f>
        <v>قطعة</v>
      </c>
      <c r="E365" s="41" t="n">
        <f aca="false">IFERROR(INDEX(المكونات!$C$2:$C$500,MATCH($B365,المكونات!$A$2:$A$500,0)),"")</f>
        <v>4</v>
      </c>
      <c r="F365" s="42" t="n">
        <f aca="false">IFERROR($C365*$E365,"")</f>
        <v>6</v>
      </c>
    </row>
    <row r="366" customFormat="false" ht="15" hidden="false" customHeight="true" outlineLevel="0" collapsed="false">
      <c r="A366" s="39" t="s">
        <v>357</v>
      </c>
      <c r="B366" s="39" t="s">
        <v>196</v>
      </c>
      <c r="C366" s="39" t="n">
        <v>0.045</v>
      </c>
      <c r="D366" s="40" t="str">
        <f aca="false">IFERROR(INDEX(المكونات!$B$2:$B$500,MATCH($B366,المكونات!$A$2:$A$500,0)),"")</f>
        <v>كجم</v>
      </c>
      <c r="E366" s="41" t="n">
        <f aca="false">IFERROR(INDEX(المكونات!$C$2:$C$500,MATCH($B366,المكونات!$A$2:$A$500,0)),"")</f>
        <v>21</v>
      </c>
      <c r="F366" s="42" t="n">
        <f aca="false">IFERROR($C366*$E366,"")</f>
        <v>0.945</v>
      </c>
    </row>
    <row r="367" customFormat="false" ht="15" hidden="false" customHeight="true" outlineLevel="0" collapsed="false">
      <c r="A367" s="39" t="s">
        <v>357</v>
      </c>
      <c r="B367" s="39" t="s">
        <v>219</v>
      </c>
      <c r="C367" s="39" t="n">
        <v>0.03</v>
      </c>
      <c r="D367" s="40" t="str">
        <f aca="false">IFERROR(INDEX(المكونات!$B$2:$B$500,MATCH($B367,المكونات!$A$2:$A$500,0)),"")</f>
        <v>كجم</v>
      </c>
      <c r="E367" s="41" t="n">
        <f aca="false">IFERROR(INDEX(المكونات!$C$2:$C$500,MATCH($B367,المكونات!$A$2:$A$500,0)),"")</f>
        <v>27</v>
      </c>
      <c r="F367" s="42" t="n">
        <f aca="false">IFERROR($C367*$E367,"")</f>
        <v>0.81</v>
      </c>
    </row>
    <row r="368" customFormat="false" ht="15" hidden="false" customHeight="true" outlineLevel="0" collapsed="false">
      <c r="A368" s="39" t="s">
        <v>357</v>
      </c>
      <c r="B368" s="39" t="s">
        <v>162</v>
      </c>
      <c r="C368" s="39" t="n">
        <v>0.03</v>
      </c>
      <c r="D368" s="40" t="str">
        <f aca="false">IFERROR(INDEX(المكونات!$B$2:$B$500,MATCH($B368,المكونات!$A$2:$A$500,0)),"")</f>
        <v>كجم</v>
      </c>
      <c r="E368" s="41" t="n">
        <f aca="false">IFERROR(INDEX(المكونات!$C$2:$C$500,MATCH($B368,المكونات!$A$2:$A$500,0)),"")</f>
        <v>95</v>
      </c>
      <c r="F368" s="42" t="n">
        <f aca="false">IFERROR($C368*$E368,"")</f>
        <v>2.85</v>
      </c>
    </row>
    <row r="369" customFormat="false" ht="15" hidden="false" customHeight="true" outlineLevel="0" collapsed="false">
      <c r="A369" s="39" t="s">
        <v>357</v>
      </c>
      <c r="B369" s="39" t="s">
        <v>112</v>
      </c>
      <c r="C369" s="39" t="n">
        <v>1</v>
      </c>
      <c r="D369" s="40" t="str">
        <f aca="false">IFERROR(INDEX(المكونات!$B$2:$B$500,MATCH($B369,المكونات!$A$2:$A$500,0)),"")</f>
        <v>قطعة</v>
      </c>
      <c r="E369" s="41" t="n">
        <f aca="false">IFERROR(INDEX(المكونات!$C$2:$C$500,MATCH($B369,المكونات!$A$2:$A$500,0)),"")</f>
        <v>25</v>
      </c>
      <c r="F369" s="42" t="n">
        <f aca="false">IFERROR($C369*$E369,"")</f>
        <v>25</v>
      </c>
    </row>
    <row r="370" customFormat="false" ht="15" hidden="false" customHeight="true" outlineLevel="0" collapsed="false">
      <c r="A370" s="39" t="s">
        <v>357</v>
      </c>
      <c r="B370" s="39" t="s">
        <v>204</v>
      </c>
      <c r="C370" s="39" t="n">
        <v>1</v>
      </c>
      <c r="D370" s="40" t="str">
        <f aca="false">IFERROR(INDEX(المكونات!$B$2:$B$500,MATCH($B370,المكونات!$A$2:$A$500,0)),"")</f>
        <v>قطعة</v>
      </c>
      <c r="E370" s="41" t="n">
        <f aca="false">IFERROR(INDEX(المكونات!$C$2:$C$500,MATCH($B370,المكونات!$A$2:$A$500,0)),"")</f>
        <v>5.5</v>
      </c>
      <c r="F370" s="42" t="n">
        <f aca="false">IFERROR($C370*$E370,"")</f>
        <v>5.5</v>
      </c>
    </row>
    <row r="371" customFormat="false" ht="15" hidden="false" customHeight="true" outlineLevel="0" collapsed="false">
      <c r="A371" s="39" t="s">
        <v>357</v>
      </c>
      <c r="B371" s="39" t="s">
        <v>225</v>
      </c>
      <c r="C371" s="39" t="n">
        <v>3</v>
      </c>
      <c r="D371" s="40" t="str">
        <f aca="false">IFERROR(INDEX(المكونات!$B$2:$B$500,MATCH($B371,المكونات!$A$2:$A$500,0)),"")</f>
        <v>قطعة</v>
      </c>
      <c r="E371" s="41" t="n">
        <f aca="false">IFERROR(INDEX(المكونات!$C$2:$C$500,MATCH($B371,المكونات!$A$2:$A$500,0)),"")</f>
        <v>0.3</v>
      </c>
      <c r="F371" s="42" t="n">
        <f aca="false">IFERROR($C371*$E371,"")</f>
        <v>0.9</v>
      </c>
    </row>
    <row r="372" customFormat="false" ht="15" hidden="false" customHeight="true" outlineLevel="0" collapsed="false">
      <c r="A372" s="39" t="s">
        <v>357</v>
      </c>
      <c r="B372" s="39" t="s">
        <v>254</v>
      </c>
      <c r="C372" s="39" t="n">
        <v>1</v>
      </c>
      <c r="D372" s="40" t="str">
        <f aca="false">IFERROR(INDEX(المكونات!$B$2:$B$500,MATCH($B372,المكونات!$A$2:$A$500,0)),"")</f>
        <v>قطعة (ورقة)</v>
      </c>
      <c r="E372" s="41" t="n">
        <f aca="false">IFERROR(INDEX(المكونات!$C$2:$C$500,MATCH($B372,المكونات!$A$2:$A$500,0)),"")</f>
        <v>0.3665</v>
      </c>
      <c r="F372" s="42" t="n">
        <f aca="false">IFERROR($C372*$E372,"")</f>
        <v>0.3665</v>
      </c>
    </row>
    <row r="373" customFormat="false" ht="15" hidden="false" customHeight="true" outlineLevel="0" collapsed="false">
      <c r="A373" s="39" t="s">
        <v>357</v>
      </c>
      <c r="B373" s="39" t="s">
        <v>67</v>
      </c>
      <c r="C373" s="39" t="n">
        <v>1</v>
      </c>
      <c r="D373" s="40" t="str">
        <f aca="false">IFERROR(INDEX(المكونات!$B$2:$B$500,MATCH($B373,المكونات!$A$2:$A$500,0)),"")</f>
        <v>قطعة (كيس)</v>
      </c>
      <c r="E373" s="41" t="n">
        <f aca="false">IFERROR(INDEX(المكونات!$C$2:$C$500,MATCH($B373,المكونات!$A$2:$A$500,0)),"")</f>
        <v>1.4</v>
      </c>
      <c r="F373" s="42" t="n">
        <f aca="false">IFERROR($C373*$E373,"")</f>
        <v>1.4</v>
      </c>
    </row>
    <row r="374" customFormat="false" ht="15" hidden="false" customHeight="true" outlineLevel="0" collapsed="false">
      <c r="A374" s="39" t="s">
        <v>357</v>
      </c>
      <c r="B374" s="39" t="s">
        <v>228</v>
      </c>
      <c r="C374" s="39" t="n">
        <v>1</v>
      </c>
      <c r="D374" s="40" t="str">
        <f aca="false">IFERROR(INDEX(المكونات!$B$2:$B$500,MATCH($B374,المكونات!$A$2:$A$500,0)),"")</f>
        <v>قطعة</v>
      </c>
      <c r="E374" s="41" t="n">
        <f aca="false">IFERROR(INDEX(المكونات!$C$2:$C$500,MATCH($B374,المكونات!$A$2:$A$500,0)),"")</f>
        <v>0.5</v>
      </c>
      <c r="F374" s="42" t="n">
        <f aca="false">IFERROR($C374*$E374,"")</f>
        <v>0.5</v>
      </c>
    </row>
    <row r="375" customFormat="false" ht="15" hidden="false" customHeight="true" outlineLevel="0" collapsed="false">
      <c r="A375" s="39" t="s">
        <v>357</v>
      </c>
      <c r="B375" s="39" t="s">
        <v>145</v>
      </c>
      <c r="C375" s="39" t="n">
        <v>2</v>
      </c>
      <c r="D375" s="40" t="str">
        <f aca="false">IFERROR(INDEX(المكونات!$B$2:$B$500,MATCH($B375,المكونات!$A$2:$A$500,0)),"")</f>
        <v>قطعة (جلفز)</v>
      </c>
      <c r="E375" s="41" t="n">
        <f aca="false">IFERROR(INDEX(المكونات!$C$2:$C$500,MATCH($B375,المكونات!$A$2:$A$500,0)),"")</f>
        <v>0.18</v>
      </c>
      <c r="F375" s="42" t="n">
        <f aca="false">IFERROR($C375*$E375,"")</f>
        <v>0.36</v>
      </c>
    </row>
    <row r="376" customFormat="false" ht="15" hidden="false" customHeight="true" outlineLevel="0" collapsed="false">
      <c r="A376" s="39" t="s">
        <v>357</v>
      </c>
      <c r="B376" s="39" t="s">
        <v>257</v>
      </c>
      <c r="C376" s="39" t="n">
        <v>1</v>
      </c>
      <c r="D376" s="40" t="str">
        <f aca="false">IFERROR(INDEX(المكونات!$B$2:$B$500,MATCH($B376,المكونات!$A$2:$A$500,0)),"")</f>
        <v>قطعة (كيس)</v>
      </c>
      <c r="E376" s="41" t="n">
        <f aca="false">IFERROR(INDEX(المكونات!$C$2:$C$500,MATCH($B376,المكونات!$A$2:$A$500,0)),"")</f>
        <v>0.9995</v>
      </c>
      <c r="F376" s="42" t="n">
        <f aca="false">IFERROR($C376*$E376,"")</f>
        <v>0.9995</v>
      </c>
    </row>
    <row r="377" customFormat="false" ht="15" hidden="false" customHeight="true" outlineLevel="0" collapsed="false">
      <c r="A377" s="39" t="s">
        <v>357</v>
      </c>
      <c r="B377" s="39" t="s">
        <v>78</v>
      </c>
      <c r="C377" s="39" t="n">
        <v>1</v>
      </c>
      <c r="D377" s="40" t="str">
        <f aca="false">IFERROR(INDEX(المكونات!$B$2:$B$500,MATCH($B377,المكونات!$A$2:$A$500,0)),"")</f>
        <v>قطعة</v>
      </c>
      <c r="E377" s="41" t="n">
        <f aca="false">IFERROR(INDEX(المكونات!$C$2:$C$500,MATCH($B377,المكونات!$A$2:$A$500,0)),"")</f>
        <v>46.8889</v>
      </c>
      <c r="F377" s="42" t="n">
        <f aca="false">IFERROR($C377*$E377,"")</f>
        <v>46.8889</v>
      </c>
    </row>
    <row r="378" customFormat="false" ht="15" hidden="false" customHeight="true" outlineLevel="0" collapsed="false">
      <c r="A378" s="39" t="s">
        <v>407</v>
      </c>
      <c r="B378" s="39" t="s">
        <v>200</v>
      </c>
      <c r="C378" s="39" t="n">
        <v>1</v>
      </c>
      <c r="D378" s="40" t="str">
        <f aca="false">IFERROR(INDEX(المكونات!$B$2:$B$500,MATCH($B378,المكونات!$A$2:$A$500,0)),"")</f>
        <v>قطعة</v>
      </c>
      <c r="E378" s="41" t="n">
        <f aca="false">IFERROR(INDEX(المكونات!$C$2:$C$500,MATCH($B378,المكونات!$A$2:$A$500,0)),"")</f>
        <v>4</v>
      </c>
      <c r="F378" s="42" t="n">
        <f aca="false">IFERROR($C378*$E378,"")</f>
        <v>4</v>
      </c>
    </row>
    <row r="379" customFormat="false" ht="15" hidden="false" customHeight="true" outlineLevel="0" collapsed="false">
      <c r="A379" s="39" t="s">
        <v>407</v>
      </c>
      <c r="B379" s="39" t="s">
        <v>196</v>
      </c>
      <c r="C379" s="39" t="n">
        <v>0.03</v>
      </c>
      <c r="D379" s="40" t="str">
        <f aca="false">IFERROR(INDEX(المكونات!$B$2:$B$500,MATCH($B379,المكونات!$A$2:$A$500,0)),"")</f>
        <v>كجم</v>
      </c>
      <c r="E379" s="41" t="n">
        <f aca="false">IFERROR(INDEX(المكونات!$C$2:$C$500,MATCH($B379,المكونات!$A$2:$A$500,0)),"")</f>
        <v>21</v>
      </c>
      <c r="F379" s="42" t="n">
        <f aca="false">IFERROR($C379*$E379,"")</f>
        <v>0.63</v>
      </c>
    </row>
    <row r="380" customFormat="false" ht="15" hidden="false" customHeight="true" outlineLevel="0" collapsed="false">
      <c r="A380" s="39" t="s">
        <v>407</v>
      </c>
      <c r="B380" s="39" t="s">
        <v>219</v>
      </c>
      <c r="C380" s="39" t="n">
        <v>0.02</v>
      </c>
      <c r="D380" s="40" t="str">
        <f aca="false">IFERROR(INDEX(المكونات!$B$2:$B$500,MATCH($B380,المكونات!$A$2:$A$500,0)),"")</f>
        <v>كجم</v>
      </c>
      <c r="E380" s="41" t="n">
        <f aca="false">IFERROR(INDEX(المكونات!$C$2:$C$500,MATCH($B380,المكونات!$A$2:$A$500,0)),"")</f>
        <v>27</v>
      </c>
      <c r="F380" s="42" t="n">
        <f aca="false">IFERROR($C380*$E380,"")</f>
        <v>0.54</v>
      </c>
    </row>
    <row r="381" customFormat="false" ht="15" hidden="false" customHeight="true" outlineLevel="0" collapsed="false">
      <c r="A381" s="39" t="s">
        <v>407</v>
      </c>
      <c r="B381" s="39" t="s">
        <v>162</v>
      </c>
      <c r="C381" s="39" t="n">
        <v>0.02</v>
      </c>
      <c r="D381" s="40" t="str">
        <f aca="false">IFERROR(INDEX(المكونات!$B$2:$B$500,MATCH($B381,المكونات!$A$2:$A$500,0)),"")</f>
        <v>كجم</v>
      </c>
      <c r="E381" s="41" t="n">
        <f aca="false">IFERROR(INDEX(المكونات!$C$2:$C$500,MATCH($B381,المكونات!$A$2:$A$500,0)),"")</f>
        <v>95</v>
      </c>
      <c r="F381" s="42" t="n">
        <f aca="false">IFERROR($C381*$E381,"")</f>
        <v>1.9</v>
      </c>
    </row>
    <row r="382" customFormat="false" ht="15" hidden="false" customHeight="true" outlineLevel="0" collapsed="false">
      <c r="A382" s="39" t="s">
        <v>407</v>
      </c>
      <c r="B382" s="39" t="s">
        <v>110</v>
      </c>
      <c r="C382" s="39" t="n">
        <v>1</v>
      </c>
      <c r="D382" s="40" t="str">
        <f aca="false">IFERROR(INDEX(المكونات!$B$2:$B$500,MATCH($B382,المكونات!$A$2:$A$500,0)),"")</f>
        <v>قطعة</v>
      </c>
      <c r="E382" s="41" t="n">
        <f aca="false">IFERROR(INDEX(المكونات!$C$2:$C$500,MATCH($B382,المكونات!$A$2:$A$500,0)),"")</f>
        <v>17.5</v>
      </c>
      <c r="F382" s="42" t="n">
        <f aca="false">IFERROR($C382*$E382,"")</f>
        <v>17.5</v>
      </c>
    </row>
    <row r="383" customFormat="false" ht="15" hidden="false" customHeight="true" outlineLevel="0" collapsed="false">
      <c r="A383" s="39" t="s">
        <v>407</v>
      </c>
      <c r="B383" s="39" t="s">
        <v>206</v>
      </c>
      <c r="C383" s="39" t="n">
        <v>1</v>
      </c>
      <c r="D383" s="40" t="str">
        <f aca="false">IFERROR(INDEX(المكونات!$B$2:$B$500,MATCH($B383,المكونات!$A$2:$A$500,0)),"")</f>
        <v>قطعة</v>
      </c>
      <c r="E383" s="41" t="n">
        <f aca="false">IFERROR(INDEX(المكونات!$C$2:$C$500,MATCH($B383,المكونات!$A$2:$A$500,0)),"")</f>
        <v>4.5</v>
      </c>
      <c r="F383" s="42" t="n">
        <f aca="false">IFERROR($C383*$E383,"")</f>
        <v>4.5</v>
      </c>
    </row>
    <row r="384" customFormat="false" ht="15" hidden="false" customHeight="true" outlineLevel="0" collapsed="false">
      <c r="A384" s="39" t="s">
        <v>407</v>
      </c>
      <c r="B384" s="39" t="s">
        <v>225</v>
      </c>
      <c r="C384" s="39" t="n">
        <v>2</v>
      </c>
      <c r="D384" s="40" t="str">
        <f aca="false">IFERROR(INDEX(المكونات!$B$2:$B$500,MATCH($B384,المكونات!$A$2:$A$500,0)),"")</f>
        <v>قطعة</v>
      </c>
      <c r="E384" s="41" t="n">
        <f aca="false">IFERROR(INDEX(المكونات!$C$2:$C$500,MATCH($B384,المكونات!$A$2:$A$500,0)),"")</f>
        <v>0.3</v>
      </c>
      <c r="F384" s="42" t="n">
        <f aca="false">IFERROR($C384*$E384,"")</f>
        <v>0.6</v>
      </c>
    </row>
    <row r="385" customFormat="false" ht="15" hidden="false" customHeight="true" outlineLevel="0" collapsed="false">
      <c r="A385" s="39" t="s">
        <v>407</v>
      </c>
      <c r="B385" s="39" t="s">
        <v>254</v>
      </c>
      <c r="C385" s="39" t="n">
        <v>1</v>
      </c>
      <c r="D385" s="40" t="str">
        <f aca="false">IFERROR(INDEX(المكونات!$B$2:$B$500,MATCH($B385,المكونات!$A$2:$A$500,0)),"")</f>
        <v>قطعة (ورقة)</v>
      </c>
      <c r="E385" s="41" t="n">
        <f aca="false">IFERROR(INDEX(المكونات!$C$2:$C$500,MATCH($B385,المكونات!$A$2:$A$500,0)),"")</f>
        <v>0.3665</v>
      </c>
      <c r="F385" s="42" t="n">
        <f aca="false">IFERROR($C385*$E385,"")</f>
        <v>0.3665</v>
      </c>
    </row>
    <row r="386" customFormat="false" ht="15" hidden="false" customHeight="true" outlineLevel="0" collapsed="false">
      <c r="A386" s="39" t="s">
        <v>407</v>
      </c>
      <c r="B386" s="39" t="s">
        <v>67</v>
      </c>
      <c r="C386" s="39" t="n">
        <v>1</v>
      </c>
      <c r="D386" s="40" t="str">
        <f aca="false">IFERROR(INDEX(المكونات!$B$2:$B$500,MATCH($B386,المكونات!$A$2:$A$500,0)),"")</f>
        <v>قطعة (كيس)</v>
      </c>
      <c r="E386" s="41" t="n">
        <f aca="false">IFERROR(INDEX(المكونات!$C$2:$C$500,MATCH($B386,المكونات!$A$2:$A$500,0)),"")</f>
        <v>1.4</v>
      </c>
      <c r="F386" s="42" t="n">
        <f aca="false">IFERROR($C386*$E386,"")</f>
        <v>1.4</v>
      </c>
    </row>
    <row r="387" customFormat="false" ht="15" hidden="false" customHeight="true" outlineLevel="0" collapsed="false">
      <c r="A387" s="39" t="s">
        <v>407</v>
      </c>
      <c r="B387" s="39" t="s">
        <v>228</v>
      </c>
      <c r="C387" s="39" t="n">
        <v>1</v>
      </c>
      <c r="D387" s="40" t="str">
        <f aca="false">IFERROR(INDEX(المكونات!$B$2:$B$500,MATCH($B387,المكونات!$A$2:$A$500,0)),"")</f>
        <v>قطعة</v>
      </c>
      <c r="E387" s="41" t="n">
        <f aca="false">IFERROR(INDEX(المكونات!$C$2:$C$500,MATCH($B387,المكونات!$A$2:$A$500,0)),"")</f>
        <v>0.5</v>
      </c>
      <c r="F387" s="42" t="n">
        <f aca="false">IFERROR($C387*$E387,"")</f>
        <v>0.5</v>
      </c>
    </row>
    <row r="388" customFormat="false" ht="15" hidden="false" customHeight="true" outlineLevel="0" collapsed="false">
      <c r="A388" s="39" t="s">
        <v>407</v>
      </c>
      <c r="B388" s="39" t="s">
        <v>145</v>
      </c>
      <c r="C388" s="39" t="n">
        <v>2</v>
      </c>
      <c r="D388" s="40" t="str">
        <f aca="false">IFERROR(INDEX(المكونات!$B$2:$B$500,MATCH($B388,المكونات!$A$2:$A$500,0)),"")</f>
        <v>قطعة (جلفز)</v>
      </c>
      <c r="E388" s="41" t="n">
        <f aca="false">IFERROR(INDEX(المكونات!$C$2:$C$500,MATCH($B388,المكونات!$A$2:$A$500,0)),"")</f>
        <v>0.18</v>
      </c>
      <c r="F388" s="42" t="n">
        <f aca="false">IFERROR($C388*$E388,"")</f>
        <v>0.36</v>
      </c>
    </row>
    <row r="389" customFormat="false" ht="15" hidden="false" customHeight="true" outlineLevel="0" collapsed="false">
      <c r="A389" s="39" t="s">
        <v>407</v>
      </c>
      <c r="B389" s="39" t="s">
        <v>257</v>
      </c>
      <c r="C389" s="39" t="n">
        <v>1</v>
      </c>
      <c r="D389" s="40" t="str">
        <f aca="false">IFERROR(INDEX(المكونات!$B$2:$B$500,MATCH($B389,المكونات!$A$2:$A$500,0)),"")</f>
        <v>قطعة (كيس)</v>
      </c>
      <c r="E389" s="41" t="n">
        <f aca="false">IFERROR(INDEX(المكونات!$C$2:$C$500,MATCH($B389,المكونات!$A$2:$A$500,0)),"")</f>
        <v>0.9995</v>
      </c>
      <c r="F389" s="42" t="n">
        <f aca="false">IFERROR($C389*$E389,"")</f>
        <v>0.9995</v>
      </c>
    </row>
    <row r="390" customFormat="false" ht="15" hidden="false" customHeight="true" outlineLevel="0" collapsed="false">
      <c r="A390" s="39" t="s">
        <v>407</v>
      </c>
      <c r="B390" s="39" t="s">
        <v>76</v>
      </c>
      <c r="C390" s="39" t="n">
        <v>1</v>
      </c>
      <c r="D390" s="40" t="str">
        <f aca="false">IFERROR(INDEX(المكونات!$B$2:$B$500,MATCH($B390,المكونات!$A$2:$A$500,0)),"")</f>
        <v>قطعة</v>
      </c>
      <c r="E390" s="41" t="n">
        <f aca="false">IFERROR(INDEX(المكونات!$C$2:$C$500,MATCH($B390,المكونات!$A$2:$A$500,0)),"")</f>
        <v>35</v>
      </c>
      <c r="F390" s="42" t="n">
        <f aca="false">IFERROR($C390*$E390,"")</f>
        <v>35</v>
      </c>
    </row>
    <row r="391" customFormat="false" ht="15" hidden="false" customHeight="true" outlineLevel="0" collapsed="false">
      <c r="A391" s="39" t="s">
        <v>407</v>
      </c>
      <c r="B391" s="39" t="s">
        <v>86</v>
      </c>
      <c r="C391" s="39" t="n">
        <v>1</v>
      </c>
      <c r="D391" s="40" t="str">
        <f aca="false">IFERROR(INDEX(المكونات!$B$2:$B$500,MATCH($B391,المكونات!$A$2:$A$500,0)),"")</f>
        <v>قطعة</v>
      </c>
      <c r="E391" s="41" t="n">
        <f aca="false">IFERROR(INDEX(المكونات!$C$2:$C$500,MATCH($B391,المكونات!$A$2:$A$500,0)),"")</f>
        <v>34</v>
      </c>
      <c r="F391" s="42" t="n">
        <f aca="false">IFERROR($C391*$E391,"")</f>
        <v>34</v>
      </c>
    </row>
    <row r="392" customFormat="false" ht="15" hidden="false" customHeight="true" outlineLevel="0" collapsed="false">
      <c r="A392" s="39" t="s">
        <v>407</v>
      </c>
      <c r="B392" s="39" t="s">
        <v>223</v>
      </c>
      <c r="C392" s="39" t="n">
        <v>2</v>
      </c>
      <c r="D392" s="40" t="str">
        <f aca="false">IFERROR(INDEX(المكونات!$B$2:$B$500,MATCH($B392,المكونات!$A$2:$A$500,0)),"")</f>
        <v>قطعة</v>
      </c>
      <c r="E392" s="41" t="n">
        <f aca="false">IFERROR(INDEX(المكونات!$C$2:$C$500,MATCH($B392,المكونات!$A$2:$A$500,0)),"")</f>
        <v>7</v>
      </c>
      <c r="F392" s="42" t="n">
        <f aca="false">IFERROR($C392*$E392,"")</f>
        <v>14</v>
      </c>
    </row>
    <row r="393" customFormat="false" ht="26.25" hidden="false" customHeight="true" outlineLevel="0" collapsed="false">
      <c r="A393" s="39" t="s">
        <v>405</v>
      </c>
      <c r="B393" s="39" t="s">
        <v>200</v>
      </c>
      <c r="C393" s="39" t="n">
        <v>1.5</v>
      </c>
      <c r="D393" s="40" t="str">
        <f aca="false">IFERROR(INDEX(المكونات!$B$2:$B$500,MATCH($B393,المكونات!$A$2:$A$500,0)),"")</f>
        <v>قطعة</v>
      </c>
      <c r="E393" s="41" t="n">
        <f aca="false">IFERROR(INDEX(المكونات!$C$2:$C$500,MATCH($B393,المكونات!$A$2:$A$500,0)),"")</f>
        <v>4</v>
      </c>
      <c r="F393" s="42" t="n">
        <f aca="false">IFERROR($C393*$E393,"")</f>
        <v>6</v>
      </c>
    </row>
    <row r="394" customFormat="false" ht="26.25" hidden="false" customHeight="true" outlineLevel="0" collapsed="false">
      <c r="A394" s="39" t="s">
        <v>405</v>
      </c>
      <c r="B394" s="39" t="s">
        <v>196</v>
      </c>
      <c r="C394" s="39" t="n">
        <v>0.045</v>
      </c>
      <c r="D394" s="40" t="str">
        <f aca="false">IFERROR(INDEX(المكونات!$B$2:$B$500,MATCH($B394,المكونات!$A$2:$A$500,0)),"")</f>
        <v>كجم</v>
      </c>
      <c r="E394" s="41" t="n">
        <f aca="false">IFERROR(INDEX(المكونات!$C$2:$C$500,MATCH($B394,المكونات!$A$2:$A$500,0)),"")</f>
        <v>21</v>
      </c>
      <c r="F394" s="42" t="n">
        <f aca="false">IFERROR($C394*$E394,"")</f>
        <v>0.945</v>
      </c>
    </row>
    <row r="395" customFormat="false" ht="26.25" hidden="false" customHeight="true" outlineLevel="0" collapsed="false">
      <c r="A395" s="39" t="s">
        <v>405</v>
      </c>
      <c r="B395" s="39" t="s">
        <v>219</v>
      </c>
      <c r="C395" s="39" t="n">
        <v>0.03</v>
      </c>
      <c r="D395" s="40" t="str">
        <f aca="false">IFERROR(INDEX(المكونات!$B$2:$B$500,MATCH($B395,المكونات!$A$2:$A$500,0)),"")</f>
        <v>كجم</v>
      </c>
      <c r="E395" s="41" t="n">
        <f aca="false">IFERROR(INDEX(المكونات!$C$2:$C$500,MATCH($B395,المكونات!$A$2:$A$500,0)),"")</f>
        <v>27</v>
      </c>
      <c r="F395" s="42" t="n">
        <f aca="false">IFERROR($C395*$E395,"")</f>
        <v>0.81</v>
      </c>
    </row>
    <row r="396" customFormat="false" ht="26.25" hidden="false" customHeight="true" outlineLevel="0" collapsed="false">
      <c r="A396" s="39" t="s">
        <v>405</v>
      </c>
      <c r="B396" s="39" t="s">
        <v>162</v>
      </c>
      <c r="C396" s="39" t="n">
        <v>0.03</v>
      </c>
      <c r="D396" s="40" t="str">
        <f aca="false">IFERROR(INDEX(المكونات!$B$2:$B$500,MATCH($B396,المكونات!$A$2:$A$500,0)),"")</f>
        <v>كجم</v>
      </c>
      <c r="E396" s="41" t="n">
        <f aca="false">IFERROR(INDEX(المكونات!$C$2:$C$500,MATCH($B396,المكونات!$A$2:$A$500,0)),"")</f>
        <v>95</v>
      </c>
      <c r="F396" s="42" t="n">
        <f aca="false">IFERROR($C396*$E396,"")</f>
        <v>2.85</v>
      </c>
    </row>
    <row r="397" customFormat="false" ht="26.25" hidden="false" customHeight="true" outlineLevel="0" collapsed="false">
      <c r="A397" s="39" t="s">
        <v>405</v>
      </c>
      <c r="B397" s="39" t="s">
        <v>112</v>
      </c>
      <c r="C397" s="39" t="n">
        <v>1</v>
      </c>
      <c r="D397" s="40" t="str">
        <f aca="false">IFERROR(INDEX(المكونات!$B$2:$B$500,MATCH($B397,المكونات!$A$2:$A$500,0)),"")</f>
        <v>قطعة</v>
      </c>
      <c r="E397" s="41" t="n">
        <f aca="false">IFERROR(INDEX(المكونات!$C$2:$C$500,MATCH($B397,المكونات!$A$2:$A$500,0)),"")</f>
        <v>25</v>
      </c>
      <c r="F397" s="42" t="n">
        <f aca="false">IFERROR($C397*$E397,"")</f>
        <v>25</v>
      </c>
    </row>
    <row r="398" customFormat="false" ht="26.25" hidden="false" customHeight="true" outlineLevel="0" collapsed="false">
      <c r="A398" s="39" t="s">
        <v>405</v>
      </c>
      <c r="B398" s="39" t="s">
        <v>204</v>
      </c>
      <c r="C398" s="39" t="n">
        <v>1</v>
      </c>
      <c r="D398" s="40" t="str">
        <f aca="false">IFERROR(INDEX(المكونات!$B$2:$B$500,MATCH($B398,المكونات!$A$2:$A$500,0)),"")</f>
        <v>قطعة</v>
      </c>
      <c r="E398" s="41" t="n">
        <f aca="false">IFERROR(INDEX(المكونات!$C$2:$C$500,MATCH($B398,المكونات!$A$2:$A$500,0)),"")</f>
        <v>5.5</v>
      </c>
      <c r="F398" s="42" t="n">
        <f aca="false">IFERROR($C398*$E398,"")</f>
        <v>5.5</v>
      </c>
    </row>
    <row r="399" customFormat="false" ht="26.25" hidden="false" customHeight="true" outlineLevel="0" collapsed="false">
      <c r="A399" s="39" t="s">
        <v>405</v>
      </c>
      <c r="B399" s="39" t="s">
        <v>225</v>
      </c>
      <c r="C399" s="39" t="n">
        <v>3</v>
      </c>
      <c r="D399" s="40" t="str">
        <f aca="false">IFERROR(INDEX(المكونات!$B$2:$B$500,MATCH($B399,المكونات!$A$2:$A$500,0)),"")</f>
        <v>قطعة</v>
      </c>
      <c r="E399" s="41" t="n">
        <f aca="false">IFERROR(INDEX(المكونات!$C$2:$C$500,MATCH($B399,المكونات!$A$2:$A$500,0)),"")</f>
        <v>0.3</v>
      </c>
      <c r="F399" s="42" t="n">
        <f aca="false">IFERROR($C399*$E399,"")</f>
        <v>0.9</v>
      </c>
    </row>
    <row r="400" customFormat="false" ht="26.25" hidden="false" customHeight="true" outlineLevel="0" collapsed="false">
      <c r="A400" s="39" t="s">
        <v>405</v>
      </c>
      <c r="B400" s="39" t="s">
        <v>254</v>
      </c>
      <c r="C400" s="39" t="n">
        <v>1</v>
      </c>
      <c r="D400" s="40" t="str">
        <f aca="false">IFERROR(INDEX(المكونات!$B$2:$B$500,MATCH($B400,المكونات!$A$2:$A$500,0)),"")</f>
        <v>قطعة (ورقة)</v>
      </c>
      <c r="E400" s="41" t="n">
        <f aca="false">IFERROR(INDEX(المكونات!$C$2:$C$500,MATCH($B400,المكونات!$A$2:$A$500,0)),"")</f>
        <v>0.3665</v>
      </c>
      <c r="F400" s="42" t="n">
        <f aca="false">IFERROR($C400*$E400,"")</f>
        <v>0.3665</v>
      </c>
    </row>
    <row r="401" customFormat="false" ht="26.25" hidden="false" customHeight="true" outlineLevel="0" collapsed="false">
      <c r="A401" s="39" t="s">
        <v>405</v>
      </c>
      <c r="B401" s="39" t="s">
        <v>67</v>
      </c>
      <c r="C401" s="39" t="n">
        <v>1</v>
      </c>
      <c r="D401" s="40" t="str">
        <f aca="false">IFERROR(INDEX(المكونات!$B$2:$B$500,MATCH($B401,المكونات!$A$2:$A$500,0)),"")</f>
        <v>قطعة (كيس)</v>
      </c>
      <c r="E401" s="41" t="n">
        <f aca="false">IFERROR(INDEX(المكونات!$C$2:$C$500,MATCH($B401,المكونات!$A$2:$A$500,0)),"")</f>
        <v>1.4</v>
      </c>
      <c r="F401" s="42" t="n">
        <f aca="false">IFERROR($C401*$E401,"")</f>
        <v>1.4</v>
      </c>
    </row>
    <row r="402" customFormat="false" ht="26.25" hidden="false" customHeight="true" outlineLevel="0" collapsed="false">
      <c r="A402" s="39" t="s">
        <v>405</v>
      </c>
      <c r="B402" s="39" t="s">
        <v>228</v>
      </c>
      <c r="C402" s="39" t="n">
        <v>1</v>
      </c>
      <c r="D402" s="40" t="str">
        <f aca="false">IFERROR(INDEX(المكونات!$B$2:$B$500,MATCH($B402,المكونات!$A$2:$A$500,0)),"")</f>
        <v>قطعة</v>
      </c>
      <c r="E402" s="41" t="n">
        <f aca="false">IFERROR(INDEX(المكونات!$C$2:$C$500,MATCH($B402,المكونات!$A$2:$A$500,0)),"")</f>
        <v>0.5</v>
      </c>
      <c r="F402" s="42" t="n">
        <f aca="false">IFERROR($C402*$E402,"")</f>
        <v>0.5</v>
      </c>
    </row>
    <row r="403" customFormat="false" ht="26.25" hidden="false" customHeight="true" outlineLevel="0" collapsed="false">
      <c r="A403" s="39" t="s">
        <v>405</v>
      </c>
      <c r="B403" s="39" t="s">
        <v>145</v>
      </c>
      <c r="C403" s="39" t="n">
        <v>2</v>
      </c>
      <c r="D403" s="40" t="str">
        <f aca="false">IFERROR(INDEX(المكونات!$B$2:$B$500,MATCH($B403,المكونات!$A$2:$A$500,0)),"")</f>
        <v>قطعة (جلفز)</v>
      </c>
      <c r="E403" s="41" t="n">
        <f aca="false">IFERROR(INDEX(المكونات!$C$2:$C$500,MATCH($B403,المكونات!$A$2:$A$500,0)),"")</f>
        <v>0.18</v>
      </c>
      <c r="F403" s="42" t="n">
        <f aca="false">IFERROR($C403*$E403,"")</f>
        <v>0.36</v>
      </c>
    </row>
    <row r="404" customFormat="false" ht="26.25" hidden="false" customHeight="true" outlineLevel="0" collapsed="false">
      <c r="A404" s="39" t="s">
        <v>405</v>
      </c>
      <c r="B404" s="39" t="s">
        <v>257</v>
      </c>
      <c r="C404" s="39" t="n">
        <v>1</v>
      </c>
      <c r="D404" s="40" t="str">
        <f aca="false">IFERROR(INDEX(المكونات!$B$2:$B$500,MATCH($B404,المكونات!$A$2:$A$500,0)),"")</f>
        <v>قطعة (كيس)</v>
      </c>
      <c r="E404" s="41" t="n">
        <f aca="false">IFERROR(INDEX(المكونات!$C$2:$C$500,MATCH($B404,المكونات!$A$2:$A$500,0)),"")</f>
        <v>0.9995</v>
      </c>
      <c r="F404" s="42" t="n">
        <f aca="false">IFERROR($C404*$E404,"")</f>
        <v>0.9995</v>
      </c>
    </row>
    <row r="405" customFormat="false" ht="26.25" hidden="false" customHeight="true" outlineLevel="0" collapsed="false">
      <c r="A405" s="39" t="s">
        <v>405</v>
      </c>
      <c r="B405" s="39" t="s">
        <v>78</v>
      </c>
      <c r="C405" s="39" t="n">
        <v>1</v>
      </c>
      <c r="D405" s="40" t="str">
        <f aca="false">IFERROR(INDEX(المكونات!$B$2:$B$500,MATCH($B405,المكونات!$A$2:$A$500,0)),"")</f>
        <v>قطعة</v>
      </c>
      <c r="E405" s="41" t="n">
        <f aca="false">IFERROR(INDEX(المكونات!$C$2:$C$500,MATCH($B405,المكونات!$A$2:$A$500,0)),"")</f>
        <v>46.8889</v>
      </c>
      <c r="F405" s="42" t="n">
        <f aca="false">IFERROR($C405*$E405,"")</f>
        <v>46.8889</v>
      </c>
    </row>
    <row r="406" customFormat="false" ht="26.25" hidden="false" customHeight="true" outlineLevel="0" collapsed="false">
      <c r="A406" s="39" t="s">
        <v>405</v>
      </c>
      <c r="B406" s="39" t="s">
        <v>88</v>
      </c>
      <c r="C406" s="39" t="n">
        <v>1</v>
      </c>
      <c r="D406" s="40" t="str">
        <f aca="false">IFERROR(INDEX(المكونات!$B$2:$B$500,MATCH($B406,المكونات!$A$2:$A$500,0)),"")</f>
        <v>قطعة</v>
      </c>
      <c r="E406" s="41" t="n">
        <f aca="false">IFERROR(INDEX(المكونات!$C$2:$C$500,MATCH($B406,المكونات!$A$2:$A$500,0)),"")</f>
        <v>45</v>
      </c>
      <c r="F406" s="42" t="n">
        <f aca="false">IFERROR($C406*$E406,"")</f>
        <v>45</v>
      </c>
    </row>
    <row r="407" customFormat="false" ht="26.25" hidden="false" customHeight="true" outlineLevel="0" collapsed="false">
      <c r="A407" s="39" t="s">
        <v>405</v>
      </c>
      <c r="B407" s="39" t="s">
        <v>223</v>
      </c>
      <c r="C407" s="39" t="n">
        <v>3</v>
      </c>
      <c r="D407" s="40" t="str">
        <f aca="false">IFERROR(INDEX(المكونات!$B$2:$B$500,MATCH($B407,المكونات!$A$2:$A$500,0)),"")</f>
        <v>قطعة</v>
      </c>
      <c r="E407" s="41" t="n">
        <f aca="false">IFERROR(INDEX(المكونات!$C$2:$C$500,MATCH($B407,المكونات!$A$2:$A$500,0)),"")</f>
        <v>7</v>
      </c>
      <c r="F407" s="42" t="n">
        <f aca="false">IFERROR($C407*$E407,"")</f>
        <v>21</v>
      </c>
    </row>
    <row r="408" customFormat="false" ht="15" hidden="false" customHeight="true" outlineLevel="0" collapsed="false">
      <c r="A408" s="39" t="s">
        <v>437</v>
      </c>
      <c r="B408" s="39" t="s">
        <v>200</v>
      </c>
      <c r="C408" s="39" t="n">
        <v>1</v>
      </c>
      <c r="D408" s="40" t="str">
        <f aca="false">IFERROR(INDEX(المكونات!$B$2:$B$500,MATCH($B408,المكونات!$A$2:$A$500,0)),"")</f>
        <v>قطعة</v>
      </c>
      <c r="E408" s="41" t="n">
        <f aca="false">IFERROR(INDEX(المكونات!$C$2:$C$500,MATCH($B408,المكونات!$A$2:$A$500,0)),"")</f>
        <v>4</v>
      </c>
      <c r="F408" s="42" t="n">
        <f aca="false">IFERROR($C408*$E408,"")</f>
        <v>4</v>
      </c>
    </row>
    <row r="409" customFormat="false" ht="15" hidden="false" customHeight="true" outlineLevel="0" collapsed="false">
      <c r="A409" s="39" t="s">
        <v>437</v>
      </c>
      <c r="B409" s="39" t="s">
        <v>196</v>
      </c>
      <c r="C409" s="39" t="n">
        <v>0.03</v>
      </c>
      <c r="D409" s="40" t="str">
        <f aca="false">IFERROR(INDEX(المكونات!$B$2:$B$500,MATCH($B409,المكونات!$A$2:$A$500,0)),"")</f>
        <v>كجم</v>
      </c>
      <c r="E409" s="41" t="n">
        <f aca="false">IFERROR(INDEX(المكونات!$C$2:$C$500,MATCH($B409,المكونات!$A$2:$A$500,0)),"")</f>
        <v>21</v>
      </c>
      <c r="F409" s="42" t="n">
        <f aca="false">IFERROR($C409*$E409,"")</f>
        <v>0.63</v>
      </c>
    </row>
    <row r="410" customFormat="false" ht="15" hidden="false" customHeight="true" outlineLevel="0" collapsed="false">
      <c r="A410" s="39" t="s">
        <v>437</v>
      </c>
      <c r="B410" s="39" t="s">
        <v>219</v>
      </c>
      <c r="C410" s="39" t="n">
        <v>0.02</v>
      </c>
      <c r="D410" s="40" t="str">
        <f aca="false">IFERROR(INDEX(المكونات!$B$2:$B$500,MATCH($B410,المكونات!$A$2:$A$500,0)),"")</f>
        <v>كجم</v>
      </c>
      <c r="E410" s="41" t="n">
        <f aca="false">IFERROR(INDEX(المكونات!$C$2:$C$500,MATCH($B410,المكونات!$A$2:$A$500,0)),"")</f>
        <v>27</v>
      </c>
      <c r="F410" s="42" t="n">
        <f aca="false">IFERROR($C410*$E410,"")</f>
        <v>0.54</v>
      </c>
    </row>
    <row r="411" customFormat="false" ht="15" hidden="false" customHeight="true" outlineLevel="0" collapsed="false">
      <c r="A411" s="39" t="s">
        <v>437</v>
      </c>
      <c r="B411" s="39" t="s">
        <v>162</v>
      </c>
      <c r="C411" s="39" t="n">
        <v>0.02</v>
      </c>
      <c r="D411" s="40" t="str">
        <f aca="false">IFERROR(INDEX(المكونات!$B$2:$B$500,MATCH($B411,المكونات!$A$2:$A$500,0)),"")</f>
        <v>كجم</v>
      </c>
      <c r="E411" s="41" t="n">
        <f aca="false">IFERROR(INDEX(المكونات!$C$2:$C$500,MATCH($B411,المكونات!$A$2:$A$500,0)),"")</f>
        <v>95</v>
      </c>
      <c r="F411" s="42" t="n">
        <f aca="false">IFERROR($C411*$E411,"")</f>
        <v>1.9</v>
      </c>
    </row>
    <row r="412" customFormat="false" ht="15" hidden="false" customHeight="true" outlineLevel="0" collapsed="false">
      <c r="A412" s="39" t="s">
        <v>437</v>
      </c>
      <c r="B412" s="39" t="s">
        <v>110</v>
      </c>
      <c r="C412" s="39" t="n">
        <v>1</v>
      </c>
      <c r="D412" s="40" t="str">
        <f aca="false">IFERROR(INDEX(المكونات!$B$2:$B$500,MATCH($B412,المكونات!$A$2:$A$500,0)),"")</f>
        <v>قطعة</v>
      </c>
      <c r="E412" s="41" t="n">
        <f aca="false">IFERROR(INDEX(المكونات!$C$2:$C$500,MATCH($B412,المكونات!$A$2:$A$500,0)),"")</f>
        <v>17.5</v>
      </c>
      <c r="F412" s="42" t="n">
        <f aca="false">IFERROR($C412*$E412,"")</f>
        <v>17.5</v>
      </c>
    </row>
    <row r="413" customFormat="false" ht="15" hidden="false" customHeight="true" outlineLevel="0" collapsed="false">
      <c r="A413" s="39" t="s">
        <v>437</v>
      </c>
      <c r="B413" s="39" t="s">
        <v>206</v>
      </c>
      <c r="C413" s="39" t="n">
        <v>1</v>
      </c>
      <c r="D413" s="40" t="str">
        <f aca="false">IFERROR(INDEX(المكونات!$B$2:$B$500,MATCH($B413,المكونات!$A$2:$A$500,0)),"")</f>
        <v>قطعة</v>
      </c>
      <c r="E413" s="41" t="n">
        <f aca="false">IFERROR(INDEX(المكونات!$C$2:$C$500,MATCH($B413,المكونات!$A$2:$A$500,0)),"")</f>
        <v>4.5</v>
      </c>
      <c r="F413" s="42" t="n">
        <f aca="false">IFERROR($C413*$E413,"")</f>
        <v>4.5</v>
      </c>
    </row>
    <row r="414" customFormat="false" ht="15" hidden="false" customHeight="true" outlineLevel="0" collapsed="false">
      <c r="A414" s="39" t="s">
        <v>437</v>
      </c>
      <c r="B414" s="39" t="s">
        <v>225</v>
      </c>
      <c r="C414" s="39" t="n">
        <v>2</v>
      </c>
      <c r="D414" s="40" t="str">
        <f aca="false">IFERROR(INDEX(المكونات!$B$2:$B$500,MATCH($B414,المكونات!$A$2:$A$500,0)),"")</f>
        <v>قطعة</v>
      </c>
      <c r="E414" s="41" t="n">
        <f aca="false">IFERROR(INDEX(المكونات!$C$2:$C$500,MATCH($B414,المكونات!$A$2:$A$500,0)),"")</f>
        <v>0.3</v>
      </c>
      <c r="F414" s="42" t="n">
        <f aca="false">IFERROR($C414*$E414,"")</f>
        <v>0.6</v>
      </c>
    </row>
    <row r="415" customFormat="false" ht="15" hidden="false" customHeight="true" outlineLevel="0" collapsed="false">
      <c r="A415" s="39" t="s">
        <v>437</v>
      </c>
      <c r="B415" s="39" t="s">
        <v>254</v>
      </c>
      <c r="C415" s="39" t="n">
        <v>1</v>
      </c>
      <c r="D415" s="40" t="str">
        <f aca="false">IFERROR(INDEX(المكونات!$B$2:$B$500,MATCH($B415,المكونات!$A$2:$A$500,0)),"")</f>
        <v>قطعة (ورقة)</v>
      </c>
      <c r="E415" s="41" t="n">
        <f aca="false">IFERROR(INDEX(المكونات!$C$2:$C$500,MATCH($B415,المكونات!$A$2:$A$500,0)),"")</f>
        <v>0.3665</v>
      </c>
      <c r="F415" s="42" t="n">
        <f aca="false">IFERROR($C415*$E415,"")</f>
        <v>0.3665</v>
      </c>
    </row>
    <row r="416" customFormat="false" ht="15" hidden="false" customHeight="true" outlineLevel="0" collapsed="false">
      <c r="A416" s="39" t="s">
        <v>437</v>
      </c>
      <c r="B416" s="39" t="s">
        <v>67</v>
      </c>
      <c r="C416" s="39" t="n">
        <v>1</v>
      </c>
      <c r="D416" s="40" t="str">
        <f aca="false">IFERROR(INDEX(المكونات!$B$2:$B$500,MATCH($B416,المكونات!$A$2:$A$500,0)),"")</f>
        <v>قطعة (كيس)</v>
      </c>
      <c r="E416" s="41" t="n">
        <f aca="false">IFERROR(INDEX(المكونات!$C$2:$C$500,MATCH($B416,المكونات!$A$2:$A$500,0)),"")</f>
        <v>1.4</v>
      </c>
      <c r="F416" s="42" t="n">
        <f aca="false">IFERROR($C416*$E416,"")</f>
        <v>1.4</v>
      </c>
    </row>
    <row r="417" customFormat="false" ht="15" hidden="false" customHeight="true" outlineLevel="0" collapsed="false">
      <c r="A417" s="39" t="s">
        <v>437</v>
      </c>
      <c r="B417" s="39" t="s">
        <v>228</v>
      </c>
      <c r="C417" s="39" t="n">
        <v>1</v>
      </c>
      <c r="D417" s="40" t="str">
        <f aca="false">IFERROR(INDEX(المكونات!$B$2:$B$500,MATCH($B417,المكونات!$A$2:$A$500,0)),"")</f>
        <v>قطعة</v>
      </c>
      <c r="E417" s="41" t="n">
        <f aca="false">IFERROR(INDEX(المكونات!$C$2:$C$500,MATCH($B417,المكونات!$A$2:$A$500,0)),"")</f>
        <v>0.5</v>
      </c>
      <c r="F417" s="42" t="n">
        <f aca="false">IFERROR($C417*$E417,"")</f>
        <v>0.5</v>
      </c>
    </row>
    <row r="418" customFormat="false" ht="15" hidden="false" customHeight="true" outlineLevel="0" collapsed="false">
      <c r="A418" s="39" t="s">
        <v>437</v>
      </c>
      <c r="B418" s="39" t="s">
        <v>145</v>
      </c>
      <c r="C418" s="39" t="n">
        <v>2</v>
      </c>
      <c r="D418" s="40" t="str">
        <f aca="false">IFERROR(INDEX(المكونات!$B$2:$B$500,MATCH($B418,المكونات!$A$2:$A$500,0)),"")</f>
        <v>قطعة (جلفز)</v>
      </c>
      <c r="E418" s="41" t="n">
        <f aca="false">IFERROR(INDEX(المكونات!$C$2:$C$500,MATCH($B418,المكونات!$A$2:$A$500,0)),"")</f>
        <v>0.18</v>
      </c>
      <c r="F418" s="42" t="n">
        <f aca="false">IFERROR($C418*$E418,"")</f>
        <v>0.36</v>
      </c>
    </row>
    <row r="419" customFormat="false" ht="15" hidden="false" customHeight="true" outlineLevel="0" collapsed="false">
      <c r="A419" s="39" t="s">
        <v>437</v>
      </c>
      <c r="B419" s="39" t="s">
        <v>257</v>
      </c>
      <c r="C419" s="39" t="n">
        <v>1</v>
      </c>
      <c r="D419" s="40" t="str">
        <f aca="false">IFERROR(INDEX(المكونات!$B$2:$B$500,MATCH($B419,المكونات!$A$2:$A$500,0)),"")</f>
        <v>قطعة (كيس)</v>
      </c>
      <c r="E419" s="41" t="n">
        <f aca="false">IFERROR(INDEX(المكونات!$C$2:$C$500,MATCH($B419,المكونات!$A$2:$A$500,0)),"")</f>
        <v>0.9995</v>
      </c>
      <c r="F419" s="42" t="n">
        <f aca="false">IFERROR($C419*$E419,"")</f>
        <v>0.9995</v>
      </c>
    </row>
    <row r="420" customFormat="false" ht="15" hidden="false" customHeight="true" outlineLevel="0" collapsed="false">
      <c r="A420" s="39" t="s">
        <v>437</v>
      </c>
      <c r="B420" s="39" t="s">
        <v>82</v>
      </c>
      <c r="C420" s="39" t="n">
        <v>1</v>
      </c>
      <c r="D420" s="40" t="str">
        <f aca="false">IFERROR(INDEX(المكونات!$B$2:$B$500,MATCH($B420,المكونات!$A$2:$A$500,0)),"")</f>
        <v>قطعة</v>
      </c>
      <c r="E420" s="41" t="n">
        <f aca="false">IFERROR(INDEX(المكونات!$C$2:$C$500,MATCH($B420,المكونات!$A$2:$A$500,0)),"")</f>
        <v>9</v>
      </c>
      <c r="F420" s="42" t="n">
        <f aca="false">IFERROR($C420*$E420,"")</f>
        <v>9</v>
      </c>
    </row>
    <row r="421" customFormat="false" ht="15" hidden="false" customHeight="true" outlineLevel="0" collapsed="false">
      <c r="A421" s="39" t="s">
        <v>437</v>
      </c>
      <c r="B421" s="39" t="s">
        <v>223</v>
      </c>
      <c r="C421" s="39" t="n">
        <v>2</v>
      </c>
      <c r="D421" s="40" t="str">
        <f aca="false">IFERROR(INDEX(المكونات!$B$2:$B$500,MATCH($B421,المكونات!$A$2:$A$500,0)),"")</f>
        <v>قطعة</v>
      </c>
      <c r="E421" s="41" t="n">
        <f aca="false">IFERROR(INDEX(المكونات!$C$2:$C$500,MATCH($B421,المكونات!$A$2:$A$500,0)),"")</f>
        <v>7</v>
      </c>
      <c r="F421" s="42" t="n">
        <f aca="false">IFERROR($C421*$E421,"")</f>
        <v>14</v>
      </c>
    </row>
    <row r="422" customFormat="false" ht="15" hidden="false" customHeight="true" outlineLevel="0" collapsed="false">
      <c r="A422" s="39" t="s">
        <v>437</v>
      </c>
      <c r="B422" s="39" t="s">
        <v>194</v>
      </c>
      <c r="C422" s="39" t="n">
        <v>0.1</v>
      </c>
      <c r="D422" s="40" t="str">
        <f aca="false">IFERROR(INDEX(المكونات!$B$2:$B$500,MATCH($B422,المكونات!$A$2:$A$500,0)),"")</f>
        <v>كجم</v>
      </c>
      <c r="E422" s="41" t="n">
        <f aca="false">IFERROR(INDEX(المكونات!$C$2:$C$500,MATCH($B422,المكونات!$A$2:$A$500,0)),"")</f>
        <v>140</v>
      </c>
      <c r="F422" s="42" t="n">
        <f aca="false">IFERROR($C422*$E422,"")</f>
        <v>14</v>
      </c>
    </row>
    <row r="423" customFormat="false" ht="15" hidden="false" customHeight="true" outlineLevel="0" collapsed="false">
      <c r="A423" s="39" t="s">
        <v>437</v>
      </c>
      <c r="B423" s="39" t="s">
        <v>110</v>
      </c>
      <c r="C423" s="39" t="n">
        <v>0.5</v>
      </c>
      <c r="D423" s="40" t="str">
        <f aca="false">IFERROR(INDEX(المكونات!$B$2:$B$500,MATCH($B423,المكونات!$A$2:$A$500,0)),"")</f>
        <v>قطعة</v>
      </c>
      <c r="E423" s="41" t="n">
        <f aca="false">IFERROR(INDEX(المكونات!$C$2:$C$500,MATCH($B423,المكونات!$A$2:$A$500,0)),"")</f>
        <v>17.5</v>
      </c>
      <c r="F423" s="42" t="n">
        <f aca="false">IFERROR($C423*$E423,"")</f>
        <v>8.75</v>
      </c>
    </row>
    <row r="424" customFormat="false" ht="15" hidden="false" customHeight="true" outlineLevel="0" collapsed="false">
      <c r="A424" s="39" t="s">
        <v>452</v>
      </c>
      <c r="B424" s="39" t="s">
        <v>200</v>
      </c>
      <c r="C424" s="39" t="n">
        <v>1.5</v>
      </c>
      <c r="D424" s="40" t="str">
        <f aca="false">IFERROR(INDEX(المكونات!$B$2:$B$500,MATCH($B424,المكونات!$A$2:$A$500,0)),"")</f>
        <v>قطعة</v>
      </c>
      <c r="E424" s="41" t="n">
        <f aca="false">IFERROR(INDEX(المكونات!$C$2:$C$500,MATCH($B424,المكونات!$A$2:$A$500,0)),"")</f>
        <v>4</v>
      </c>
      <c r="F424" s="42" t="n">
        <f aca="false">IFERROR($C424*$E424,"")</f>
        <v>6</v>
      </c>
    </row>
    <row r="425" customFormat="false" ht="15" hidden="false" customHeight="true" outlineLevel="0" collapsed="false">
      <c r="A425" s="39" t="s">
        <v>452</v>
      </c>
      <c r="B425" s="39" t="s">
        <v>196</v>
      </c>
      <c r="C425" s="39" t="n">
        <v>0.045</v>
      </c>
      <c r="D425" s="40" t="str">
        <f aca="false">IFERROR(INDEX(المكونات!$B$2:$B$500,MATCH($B425,المكونات!$A$2:$A$500,0)),"")</f>
        <v>كجم</v>
      </c>
      <c r="E425" s="41" t="n">
        <f aca="false">IFERROR(INDEX(المكونات!$C$2:$C$500,MATCH($B425,المكونات!$A$2:$A$500,0)),"")</f>
        <v>21</v>
      </c>
      <c r="F425" s="42" t="n">
        <f aca="false">IFERROR($C425*$E425,"")</f>
        <v>0.945</v>
      </c>
    </row>
    <row r="426" customFormat="false" ht="15" hidden="false" customHeight="true" outlineLevel="0" collapsed="false">
      <c r="A426" s="39" t="s">
        <v>452</v>
      </c>
      <c r="B426" s="39" t="s">
        <v>219</v>
      </c>
      <c r="C426" s="39" t="n">
        <v>0.03</v>
      </c>
      <c r="D426" s="40" t="str">
        <f aca="false">IFERROR(INDEX(المكونات!$B$2:$B$500,MATCH($B426,المكونات!$A$2:$A$500,0)),"")</f>
        <v>كجم</v>
      </c>
      <c r="E426" s="41" t="n">
        <f aca="false">IFERROR(INDEX(المكونات!$C$2:$C$500,MATCH($B426,المكونات!$A$2:$A$500,0)),"")</f>
        <v>27</v>
      </c>
      <c r="F426" s="42" t="n">
        <f aca="false">IFERROR($C426*$E426,"")</f>
        <v>0.81</v>
      </c>
    </row>
    <row r="427" customFormat="false" ht="15" hidden="false" customHeight="true" outlineLevel="0" collapsed="false">
      <c r="A427" s="39" t="s">
        <v>452</v>
      </c>
      <c r="B427" s="39" t="s">
        <v>162</v>
      </c>
      <c r="C427" s="39" t="n">
        <v>0.03</v>
      </c>
      <c r="D427" s="40" t="str">
        <f aca="false">IFERROR(INDEX(المكونات!$B$2:$B$500,MATCH($B427,المكونات!$A$2:$A$500,0)),"")</f>
        <v>كجم</v>
      </c>
      <c r="E427" s="41" t="n">
        <f aca="false">IFERROR(INDEX(المكونات!$C$2:$C$500,MATCH($B427,المكونات!$A$2:$A$500,0)),"")</f>
        <v>95</v>
      </c>
      <c r="F427" s="42" t="n">
        <f aca="false">IFERROR($C427*$E427,"")</f>
        <v>2.85</v>
      </c>
    </row>
    <row r="428" customFormat="false" ht="15" hidden="false" customHeight="true" outlineLevel="0" collapsed="false">
      <c r="A428" s="39" t="s">
        <v>452</v>
      </c>
      <c r="B428" s="39" t="s">
        <v>112</v>
      </c>
      <c r="C428" s="39" t="n">
        <v>1</v>
      </c>
      <c r="D428" s="40" t="str">
        <f aca="false">IFERROR(INDEX(المكونات!$B$2:$B$500,MATCH($B428,المكونات!$A$2:$A$500,0)),"")</f>
        <v>قطعة</v>
      </c>
      <c r="E428" s="41" t="n">
        <f aca="false">IFERROR(INDEX(المكونات!$C$2:$C$500,MATCH($B428,المكونات!$A$2:$A$500,0)),"")</f>
        <v>25</v>
      </c>
      <c r="F428" s="42" t="n">
        <f aca="false">IFERROR($C428*$E428,"")</f>
        <v>25</v>
      </c>
    </row>
    <row r="429" customFormat="false" ht="15" hidden="false" customHeight="true" outlineLevel="0" collapsed="false">
      <c r="A429" s="39" t="s">
        <v>452</v>
      </c>
      <c r="B429" s="39" t="s">
        <v>204</v>
      </c>
      <c r="C429" s="39" t="n">
        <v>1</v>
      </c>
      <c r="D429" s="40" t="str">
        <f aca="false">IFERROR(INDEX(المكونات!$B$2:$B$500,MATCH($B429,المكونات!$A$2:$A$500,0)),"")</f>
        <v>قطعة</v>
      </c>
      <c r="E429" s="41" t="n">
        <f aca="false">IFERROR(INDEX(المكونات!$C$2:$C$500,MATCH($B429,المكونات!$A$2:$A$500,0)),"")</f>
        <v>5.5</v>
      </c>
      <c r="F429" s="42" t="n">
        <f aca="false">IFERROR($C429*$E429,"")</f>
        <v>5.5</v>
      </c>
    </row>
    <row r="430" customFormat="false" ht="15" hidden="false" customHeight="true" outlineLevel="0" collapsed="false">
      <c r="A430" s="39" t="s">
        <v>452</v>
      </c>
      <c r="B430" s="39" t="s">
        <v>225</v>
      </c>
      <c r="C430" s="39" t="n">
        <v>3</v>
      </c>
      <c r="D430" s="40" t="str">
        <f aca="false">IFERROR(INDEX(المكونات!$B$2:$B$500,MATCH($B430,المكونات!$A$2:$A$500,0)),"")</f>
        <v>قطعة</v>
      </c>
      <c r="E430" s="41" t="n">
        <f aca="false">IFERROR(INDEX(المكونات!$C$2:$C$500,MATCH($B430,المكونات!$A$2:$A$500,0)),"")</f>
        <v>0.3</v>
      </c>
      <c r="F430" s="42" t="n">
        <f aca="false">IFERROR($C430*$E430,"")</f>
        <v>0.9</v>
      </c>
    </row>
    <row r="431" customFormat="false" ht="15" hidden="false" customHeight="true" outlineLevel="0" collapsed="false">
      <c r="A431" s="39" t="s">
        <v>452</v>
      </c>
      <c r="B431" s="39" t="s">
        <v>254</v>
      </c>
      <c r="C431" s="39" t="n">
        <v>1</v>
      </c>
      <c r="D431" s="40" t="str">
        <f aca="false">IFERROR(INDEX(المكونات!$B$2:$B$500,MATCH($B431,المكونات!$A$2:$A$500,0)),"")</f>
        <v>قطعة (ورقة)</v>
      </c>
      <c r="E431" s="41" t="n">
        <f aca="false">IFERROR(INDEX(المكونات!$C$2:$C$500,MATCH($B431,المكونات!$A$2:$A$500,0)),"")</f>
        <v>0.3665</v>
      </c>
      <c r="F431" s="42" t="n">
        <f aca="false">IFERROR($C431*$E431,"")</f>
        <v>0.3665</v>
      </c>
    </row>
    <row r="432" customFormat="false" ht="15" hidden="false" customHeight="true" outlineLevel="0" collapsed="false">
      <c r="A432" s="39" t="s">
        <v>452</v>
      </c>
      <c r="B432" s="39" t="s">
        <v>67</v>
      </c>
      <c r="C432" s="39" t="n">
        <v>1</v>
      </c>
      <c r="D432" s="40" t="str">
        <f aca="false">IFERROR(INDEX(المكونات!$B$2:$B$500,MATCH($B432,المكونات!$A$2:$A$500,0)),"")</f>
        <v>قطعة (كيس)</v>
      </c>
      <c r="E432" s="41" t="n">
        <f aca="false">IFERROR(INDEX(المكونات!$C$2:$C$500,MATCH($B432,المكونات!$A$2:$A$500,0)),"")</f>
        <v>1.4</v>
      </c>
      <c r="F432" s="42" t="n">
        <f aca="false">IFERROR($C432*$E432,"")</f>
        <v>1.4</v>
      </c>
    </row>
    <row r="433" customFormat="false" ht="15" hidden="false" customHeight="true" outlineLevel="0" collapsed="false">
      <c r="A433" s="39" t="s">
        <v>452</v>
      </c>
      <c r="B433" s="39" t="s">
        <v>228</v>
      </c>
      <c r="C433" s="39" t="n">
        <v>1</v>
      </c>
      <c r="D433" s="40" t="str">
        <f aca="false">IFERROR(INDEX(المكونات!$B$2:$B$500,MATCH($B433,المكونات!$A$2:$A$500,0)),"")</f>
        <v>قطعة</v>
      </c>
      <c r="E433" s="41" t="n">
        <f aca="false">IFERROR(INDEX(المكونات!$C$2:$C$500,MATCH($B433,المكونات!$A$2:$A$500,0)),"")</f>
        <v>0.5</v>
      </c>
      <c r="F433" s="42" t="n">
        <f aca="false">IFERROR($C433*$E433,"")</f>
        <v>0.5</v>
      </c>
    </row>
    <row r="434" customFormat="false" ht="15" hidden="false" customHeight="true" outlineLevel="0" collapsed="false">
      <c r="A434" s="39" t="s">
        <v>452</v>
      </c>
      <c r="B434" s="39" t="s">
        <v>145</v>
      </c>
      <c r="C434" s="39" t="n">
        <v>2</v>
      </c>
      <c r="D434" s="40" t="str">
        <f aca="false">IFERROR(INDEX(المكونات!$B$2:$B$500,MATCH($B434,المكونات!$A$2:$A$500,0)),"")</f>
        <v>قطعة (جلفز)</v>
      </c>
      <c r="E434" s="41" t="n">
        <f aca="false">IFERROR(INDEX(المكونات!$C$2:$C$500,MATCH($B434,المكونات!$A$2:$A$500,0)),"")</f>
        <v>0.18</v>
      </c>
      <c r="F434" s="42" t="n">
        <f aca="false">IFERROR($C434*$E434,"")</f>
        <v>0.36</v>
      </c>
    </row>
    <row r="435" customFormat="false" ht="15" hidden="false" customHeight="true" outlineLevel="0" collapsed="false">
      <c r="A435" s="39" t="s">
        <v>452</v>
      </c>
      <c r="B435" s="39" t="s">
        <v>257</v>
      </c>
      <c r="C435" s="39" t="n">
        <v>1</v>
      </c>
      <c r="D435" s="40" t="str">
        <f aca="false">IFERROR(INDEX(المكونات!$B$2:$B$500,MATCH($B435,المكونات!$A$2:$A$500,0)),"")</f>
        <v>قطعة (كيس)</v>
      </c>
      <c r="E435" s="41" t="n">
        <f aca="false">IFERROR(INDEX(المكونات!$C$2:$C$500,MATCH($B435,المكونات!$A$2:$A$500,0)),"")</f>
        <v>0.9995</v>
      </c>
      <c r="F435" s="42" t="n">
        <f aca="false">IFERROR($C435*$E435,"")</f>
        <v>0.9995</v>
      </c>
    </row>
    <row r="436" customFormat="false" ht="15" hidden="false" customHeight="true" outlineLevel="0" collapsed="false">
      <c r="A436" s="39" t="s">
        <v>452</v>
      </c>
      <c r="B436" s="39" t="s">
        <v>82</v>
      </c>
      <c r="C436" s="39" t="n">
        <v>1.5</v>
      </c>
      <c r="D436" s="40" t="str">
        <f aca="false">IFERROR(INDEX(المكونات!$B$2:$B$500,MATCH($B436,المكونات!$A$2:$A$500,0)),"")</f>
        <v>قطعة</v>
      </c>
      <c r="E436" s="41" t="n">
        <f aca="false">IFERROR(INDEX(المكونات!$C$2:$C$500,MATCH($B436,المكونات!$A$2:$A$500,0)),"")</f>
        <v>9</v>
      </c>
      <c r="F436" s="42" t="n">
        <f aca="false">IFERROR($C436*$E436,"")</f>
        <v>13.5</v>
      </c>
    </row>
    <row r="437" customFormat="false" ht="15" hidden="false" customHeight="true" outlineLevel="0" collapsed="false">
      <c r="A437" s="39" t="s">
        <v>452</v>
      </c>
      <c r="B437" s="39" t="s">
        <v>223</v>
      </c>
      <c r="C437" s="39" t="n">
        <v>3</v>
      </c>
      <c r="D437" s="40" t="str">
        <f aca="false">IFERROR(INDEX(المكونات!$B$2:$B$500,MATCH($B437,المكونات!$A$2:$A$500,0)),"")</f>
        <v>قطعة</v>
      </c>
      <c r="E437" s="41" t="n">
        <f aca="false">IFERROR(INDEX(المكونات!$C$2:$C$500,MATCH($B437,المكونات!$A$2:$A$500,0)),"")</f>
        <v>7</v>
      </c>
      <c r="F437" s="42" t="n">
        <f aca="false">IFERROR($C437*$E437,"")</f>
        <v>21</v>
      </c>
    </row>
    <row r="438" customFormat="false" ht="15" hidden="false" customHeight="true" outlineLevel="0" collapsed="false">
      <c r="A438" s="39" t="s">
        <v>452</v>
      </c>
      <c r="B438" s="39" t="s">
        <v>194</v>
      </c>
      <c r="C438" s="39" t="n">
        <v>0.15</v>
      </c>
      <c r="D438" s="40" t="str">
        <f aca="false">IFERROR(INDEX(المكونات!$B$2:$B$500,MATCH($B438,المكونات!$A$2:$A$500,0)),"")</f>
        <v>كجم</v>
      </c>
      <c r="E438" s="41" t="n">
        <f aca="false">IFERROR(INDEX(المكونات!$C$2:$C$500,MATCH($B438,المكونات!$A$2:$A$500,0)),"")</f>
        <v>140</v>
      </c>
      <c r="F438" s="42" t="n">
        <f aca="false">IFERROR($C438*$E438,"")</f>
        <v>21</v>
      </c>
    </row>
    <row r="439" customFormat="false" ht="15" hidden="false" customHeight="true" outlineLevel="0" collapsed="false">
      <c r="A439" s="39" t="s">
        <v>452</v>
      </c>
      <c r="B439" s="39" t="s">
        <v>112</v>
      </c>
      <c r="C439" s="39" t="n">
        <v>0.5</v>
      </c>
      <c r="D439" s="40" t="str">
        <f aca="false">IFERROR(INDEX(المكونات!$B$2:$B$500,MATCH($B439,المكونات!$A$2:$A$500,0)),"")</f>
        <v>قطعة</v>
      </c>
      <c r="E439" s="41" t="n">
        <f aca="false">IFERROR(INDEX(المكونات!$C$2:$C$500,MATCH($B439,المكونات!$A$2:$A$500,0)),"")</f>
        <v>25</v>
      </c>
      <c r="F439" s="42" t="n">
        <f aca="false">IFERROR($C439*$E439,"")</f>
        <v>12.5</v>
      </c>
    </row>
    <row r="440" customFormat="false" ht="15" hidden="false" customHeight="true" outlineLevel="0" collapsed="false">
      <c r="A440" s="39" t="s">
        <v>391</v>
      </c>
      <c r="B440" s="39" t="s">
        <v>200</v>
      </c>
      <c r="C440" s="39" t="n">
        <v>1</v>
      </c>
      <c r="D440" s="40" t="str">
        <f aca="false">IFERROR(INDEX(المكونات!$B$2:$B$500,MATCH($B440,المكونات!$A$2:$A$500,0)),"")</f>
        <v>قطعة</v>
      </c>
      <c r="E440" s="41" t="n">
        <f aca="false">IFERROR(INDEX(المكونات!$C$2:$C$500,MATCH($B440,المكونات!$A$2:$A$500,0)),"")</f>
        <v>4</v>
      </c>
      <c r="F440" s="42" t="n">
        <f aca="false">IFERROR($C440*$E440,"")</f>
        <v>4</v>
      </c>
    </row>
    <row r="441" customFormat="false" ht="15" hidden="false" customHeight="true" outlineLevel="0" collapsed="false">
      <c r="A441" s="39" t="s">
        <v>391</v>
      </c>
      <c r="B441" s="39" t="s">
        <v>196</v>
      </c>
      <c r="C441" s="39" t="n">
        <v>0.03</v>
      </c>
      <c r="D441" s="40" t="str">
        <f aca="false">IFERROR(INDEX(المكونات!$B$2:$B$500,MATCH($B441,المكونات!$A$2:$A$500,0)),"")</f>
        <v>كجم</v>
      </c>
      <c r="E441" s="41" t="n">
        <f aca="false">IFERROR(INDEX(المكونات!$C$2:$C$500,MATCH($B441,المكونات!$A$2:$A$500,0)),"")</f>
        <v>21</v>
      </c>
      <c r="F441" s="42" t="n">
        <f aca="false">IFERROR($C441*$E441,"")</f>
        <v>0.63</v>
      </c>
    </row>
    <row r="442" customFormat="false" ht="15" hidden="false" customHeight="true" outlineLevel="0" collapsed="false">
      <c r="A442" s="39" t="s">
        <v>391</v>
      </c>
      <c r="B442" s="39" t="s">
        <v>219</v>
      </c>
      <c r="C442" s="39" t="n">
        <v>0.02</v>
      </c>
      <c r="D442" s="40" t="str">
        <f aca="false">IFERROR(INDEX(المكونات!$B$2:$B$500,MATCH($B442,المكونات!$A$2:$A$500,0)),"")</f>
        <v>كجم</v>
      </c>
      <c r="E442" s="41" t="n">
        <f aca="false">IFERROR(INDEX(المكونات!$C$2:$C$500,MATCH($B442,المكونات!$A$2:$A$500,0)),"")</f>
        <v>27</v>
      </c>
      <c r="F442" s="42" t="n">
        <f aca="false">IFERROR($C442*$E442,"")</f>
        <v>0.54</v>
      </c>
    </row>
    <row r="443" customFormat="false" ht="15" hidden="false" customHeight="true" outlineLevel="0" collapsed="false">
      <c r="A443" s="39" t="s">
        <v>391</v>
      </c>
      <c r="B443" s="39" t="s">
        <v>162</v>
      </c>
      <c r="C443" s="39" t="n">
        <v>0.02</v>
      </c>
      <c r="D443" s="40" t="str">
        <f aca="false">IFERROR(INDEX(المكونات!$B$2:$B$500,MATCH($B443,المكونات!$A$2:$A$500,0)),"")</f>
        <v>كجم</v>
      </c>
      <c r="E443" s="41" t="n">
        <f aca="false">IFERROR(INDEX(المكونات!$C$2:$C$500,MATCH($B443,المكونات!$A$2:$A$500,0)),"")</f>
        <v>95</v>
      </c>
      <c r="F443" s="42" t="n">
        <f aca="false">IFERROR($C443*$E443,"")</f>
        <v>1.9</v>
      </c>
    </row>
    <row r="444" customFormat="false" ht="15" hidden="false" customHeight="true" outlineLevel="0" collapsed="false">
      <c r="A444" s="39" t="s">
        <v>391</v>
      </c>
      <c r="B444" s="39" t="s">
        <v>110</v>
      </c>
      <c r="C444" s="39" t="n">
        <v>1</v>
      </c>
      <c r="D444" s="40" t="str">
        <f aca="false">IFERROR(INDEX(المكونات!$B$2:$B$500,MATCH($B444,المكونات!$A$2:$A$500,0)),"")</f>
        <v>قطعة</v>
      </c>
      <c r="E444" s="41" t="n">
        <f aca="false">IFERROR(INDEX(المكونات!$C$2:$C$500,MATCH($B444,المكونات!$A$2:$A$500,0)),"")</f>
        <v>17.5</v>
      </c>
      <c r="F444" s="42" t="n">
        <f aca="false">IFERROR($C444*$E444,"")</f>
        <v>17.5</v>
      </c>
    </row>
    <row r="445" customFormat="false" ht="15" hidden="false" customHeight="true" outlineLevel="0" collapsed="false">
      <c r="A445" s="39" t="s">
        <v>391</v>
      </c>
      <c r="B445" s="39" t="s">
        <v>206</v>
      </c>
      <c r="C445" s="39" t="n">
        <v>1</v>
      </c>
      <c r="D445" s="40" t="str">
        <f aca="false">IFERROR(INDEX(المكونات!$B$2:$B$500,MATCH($B445,المكونات!$A$2:$A$500,0)),"")</f>
        <v>قطعة</v>
      </c>
      <c r="E445" s="41" t="n">
        <f aca="false">IFERROR(INDEX(المكونات!$C$2:$C$500,MATCH($B445,المكونات!$A$2:$A$500,0)),"")</f>
        <v>4.5</v>
      </c>
      <c r="F445" s="42" t="n">
        <f aca="false">IFERROR($C445*$E445,"")</f>
        <v>4.5</v>
      </c>
    </row>
    <row r="446" customFormat="false" ht="15" hidden="false" customHeight="true" outlineLevel="0" collapsed="false">
      <c r="A446" s="39" t="s">
        <v>391</v>
      </c>
      <c r="B446" s="39" t="s">
        <v>225</v>
      </c>
      <c r="C446" s="39" t="n">
        <v>2</v>
      </c>
      <c r="D446" s="40" t="str">
        <f aca="false">IFERROR(INDEX(المكونات!$B$2:$B$500,MATCH($B446,المكونات!$A$2:$A$500,0)),"")</f>
        <v>قطعة</v>
      </c>
      <c r="E446" s="41" t="n">
        <f aca="false">IFERROR(INDEX(المكونات!$C$2:$C$500,MATCH($B446,المكونات!$A$2:$A$500,0)),"")</f>
        <v>0.3</v>
      </c>
      <c r="F446" s="42" t="n">
        <f aca="false">IFERROR($C446*$E446,"")</f>
        <v>0.6</v>
      </c>
    </row>
    <row r="447" customFormat="false" ht="15" hidden="false" customHeight="true" outlineLevel="0" collapsed="false">
      <c r="A447" s="39" t="s">
        <v>391</v>
      </c>
      <c r="B447" s="39" t="s">
        <v>254</v>
      </c>
      <c r="C447" s="39" t="n">
        <v>1</v>
      </c>
      <c r="D447" s="40" t="str">
        <f aca="false">IFERROR(INDEX(المكونات!$B$2:$B$500,MATCH($B447,المكونات!$A$2:$A$500,0)),"")</f>
        <v>قطعة (ورقة)</v>
      </c>
      <c r="E447" s="41" t="n">
        <f aca="false">IFERROR(INDEX(المكونات!$C$2:$C$500,MATCH($B447,المكونات!$A$2:$A$500,0)),"")</f>
        <v>0.3665</v>
      </c>
      <c r="F447" s="42" t="n">
        <f aca="false">IFERROR($C447*$E447,"")</f>
        <v>0.3665</v>
      </c>
    </row>
    <row r="448" customFormat="false" ht="15" hidden="false" customHeight="true" outlineLevel="0" collapsed="false">
      <c r="A448" s="39" t="s">
        <v>391</v>
      </c>
      <c r="B448" s="39" t="s">
        <v>67</v>
      </c>
      <c r="C448" s="39" t="n">
        <v>1</v>
      </c>
      <c r="D448" s="40" t="str">
        <f aca="false">IFERROR(INDEX(المكونات!$B$2:$B$500,MATCH($B448,المكونات!$A$2:$A$500,0)),"")</f>
        <v>قطعة (كيس)</v>
      </c>
      <c r="E448" s="41" t="n">
        <f aca="false">IFERROR(INDEX(المكونات!$C$2:$C$500,MATCH($B448,المكونات!$A$2:$A$500,0)),"")</f>
        <v>1.4</v>
      </c>
      <c r="F448" s="42" t="n">
        <f aca="false">IFERROR($C448*$E448,"")</f>
        <v>1.4</v>
      </c>
    </row>
    <row r="449" customFormat="false" ht="15" hidden="false" customHeight="true" outlineLevel="0" collapsed="false">
      <c r="A449" s="39" t="s">
        <v>391</v>
      </c>
      <c r="B449" s="39" t="s">
        <v>228</v>
      </c>
      <c r="C449" s="39" t="n">
        <v>1</v>
      </c>
      <c r="D449" s="40" t="str">
        <f aca="false">IFERROR(INDEX(المكونات!$B$2:$B$500,MATCH($B449,المكونات!$A$2:$A$500,0)),"")</f>
        <v>قطعة</v>
      </c>
      <c r="E449" s="41" t="n">
        <f aca="false">IFERROR(INDEX(المكونات!$C$2:$C$500,MATCH($B449,المكونات!$A$2:$A$500,0)),"")</f>
        <v>0.5</v>
      </c>
      <c r="F449" s="42" t="n">
        <f aca="false">IFERROR($C449*$E449,"")</f>
        <v>0.5</v>
      </c>
    </row>
    <row r="450" customFormat="false" ht="15" hidden="false" customHeight="true" outlineLevel="0" collapsed="false">
      <c r="A450" s="39" t="s">
        <v>391</v>
      </c>
      <c r="B450" s="39" t="s">
        <v>145</v>
      </c>
      <c r="C450" s="39" t="n">
        <v>2</v>
      </c>
      <c r="D450" s="40" t="str">
        <f aca="false">IFERROR(INDEX(المكونات!$B$2:$B$500,MATCH($B450,المكونات!$A$2:$A$500,0)),"")</f>
        <v>قطعة (جلفز)</v>
      </c>
      <c r="E450" s="41" t="n">
        <f aca="false">IFERROR(INDEX(المكونات!$C$2:$C$500,MATCH($B450,المكونات!$A$2:$A$500,0)),"")</f>
        <v>0.18</v>
      </c>
      <c r="F450" s="42" t="n">
        <f aca="false">IFERROR($C450*$E450,"")</f>
        <v>0.36</v>
      </c>
    </row>
    <row r="451" customFormat="false" ht="15" hidden="false" customHeight="true" outlineLevel="0" collapsed="false">
      <c r="A451" s="39" t="s">
        <v>391</v>
      </c>
      <c r="B451" s="39" t="s">
        <v>257</v>
      </c>
      <c r="C451" s="39" t="n">
        <v>1</v>
      </c>
      <c r="D451" s="40" t="str">
        <f aca="false">IFERROR(INDEX(المكونات!$B$2:$B$500,MATCH($B451,المكونات!$A$2:$A$500,0)),"")</f>
        <v>قطعة (كيس)</v>
      </c>
      <c r="E451" s="41" t="n">
        <f aca="false">IFERROR(INDEX(المكونات!$C$2:$C$500,MATCH($B451,المكونات!$A$2:$A$500,0)),"")</f>
        <v>0.9995</v>
      </c>
      <c r="F451" s="42" t="n">
        <f aca="false">IFERROR($C451*$E451,"")</f>
        <v>0.9995</v>
      </c>
    </row>
    <row r="452" customFormat="false" ht="15" hidden="false" customHeight="true" outlineLevel="0" collapsed="false">
      <c r="A452" s="39" t="s">
        <v>391</v>
      </c>
      <c r="B452" s="39" t="s">
        <v>92</v>
      </c>
      <c r="C452" s="39" t="n">
        <v>1</v>
      </c>
      <c r="D452" s="40" t="str">
        <f aca="false">IFERROR(INDEX(المكونات!$B$2:$B$500,MATCH($B452,المكونات!$A$2:$A$500,0)),"")</f>
        <v>قطعة</v>
      </c>
      <c r="E452" s="41" t="n">
        <f aca="false">IFERROR(INDEX(المكونات!$C$2:$C$500,MATCH($B452,المكونات!$A$2:$A$500,0)),"")</f>
        <v>33.7609</v>
      </c>
      <c r="F452" s="42" t="n">
        <f aca="false">IFERROR($C452*$E452,"")</f>
        <v>33.7609</v>
      </c>
    </row>
    <row r="453" customFormat="false" ht="15" hidden="false" customHeight="true" outlineLevel="0" collapsed="false">
      <c r="A453" s="39" t="s">
        <v>391</v>
      </c>
      <c r="B453" s="39" t="s">
        <v>192</v>
      </c>
      <c r="C453" s="39" t="n">
        <v>0.1</v>
      </c>
      <c r="D453" s="40" t="str">
        <f aca="false">IFERROR(INDEX(المكونات!$B$2:$B$500,MATCH($B453,المكونات!$A$2:$A$500,0)),"")</f>
        <v>كجم</v>
      </c>
      <c r="E453" s="41" t="n">
        <f aca="false">IFERROR(INDEX(المكونات!$C$2:$C$500,MATCH($B453,المكونات!$A$2:$A$500,0)),"")</f>
        <v>105</v>
      </c>
      <c r="F453" s="42" t="n">
        <f aca="false">IFERROR($C453*$E453,"")</f>
        <v>10.5</v>
      </c>
    </row>
    <row r="454" customFormat="false" ht="15" hidden="false" customHeight="true" outlineLevel="0" collapsed="false">
      <c r="A454" s="39" t="s">
        <v>377</v>
      </c>
      <c r="B454" s="39" t="s">
        <v>200</v>
      </c>
      <c r="C454" s="39" t="n">
        <v>1.5</v>
      </c>
      <c r="D454" s="40" t="str">
        <f aca="false">IFERROR(INDEX(المكونات!$B$2:$B$500,MATCH($B454,المكونات!$A$2:$A$500,0)),"")</f>
        <v>قطعة</v>
      </c>
      <c r="E454" s="41" t="n">
        <f aca="false">IFERROR(INDEX(المكونات!$C$2:$C$500,MATCH($B454,المكونات!$A$2:$A$500,0)),"")</f>
        <v>4</v>
      </c>
      <c r="F454" s="42" t="n">
        <f aca="false">IFERROR($C454*$E454,"")</f>
        <v>6</v>
      </c>
    </row>
    <row r="455" customFormat="false" ht="15" hidden="false" customHeight="true" outlineLevel="0" collapsed="false">
      <c r="A455" s="39" t="s">
        <v>377</v>
      </c>
      <c r="B455" s="39" t="s">
        <v>196</v>
      </c>
      <c r="C455" s="39" t="n">
        <v>0.045</v>
      </c>
      <c r="D455" s="40" t="str">
        <f aca="false">IFERROR(INDEX(المكونات!$B$2:$B$500,MATCH($B455,المكونات!$A$2:$A$500,0)),"")</f>
        <v>كجم</v>
      </c>
      <c r="E455" s="41" t="n">
        <f aca="false">IFERROR(INDEX(المكونات!$C$2:$C$500,MATCH($B455,المكونات!$A$2:$A$500,0)),"")</f>
        <v>21</v>
      </c>
      <c r="F455" s="42" t="n">
        <f aca="false">IFERROR($C455*$E455,"")</f>
        <v>0.945</v>
      </c>
    </row>
    <row r="456" customFormat="false" ht="15" hidden="false" customHeight="true" outlineLevel="0" collapsed="false">
      <c r="A456" s="39" t="s">
        <v>377</v>
      </c>
      <c r="B456" s="39" t="s">
        <v>219</v>
      </c>
      <c r="C456" s="39" t="n">
        <v>0.03</v>
      </c>
      <c r="D456" s="40" t="str">
        <f aca="false">IFERROR(INDEX(المكونات!$B$2:$B$500,MATCH($B456,المكونات!$A$2:$A$500,0)),"")</f>
        <v>كجم</v>
      </c>
      <c r="E456" s="41" t="n">
        <f aca="false">IFERROR(INDEX(المكونات!$C$2:$C$500,MATCH($B456,المكونات!$A$2:$A$500,0)),"")</f>
        <v>27</v>
      </c>
      <c r="F456" s="42" t="n">
        <f aca="false">IFERROR($C456*$E456,"")</f>
        <v>0.81</v>
      </c>
    </row>
    <row r="457" customFormat="false" ht="15" hidden="false" customHeight="true" outlineLevel="0" collapsed="false">
      <c r="A457" s="39" t="s">
        <v>377</v>
      </c>
      <c r="B457" s="39" t="s">
        <v>162</v>
      </c>
      <c r="C457" s="39" t="n">
        <v>0.03</v>
      </c>
      <c r="D457" s="40" t="str">
        <f aca="false">IFERROR(INDEX(المكونات!$B$2:$B$500,MATCH($B457,المكونات!$A$2:$A$500,0)),"")</f>
        <v>كجم</v>
      </c>
      <c r="E457" s="41" t="n">
        <f aca="false">IFERROR(INDEX(المكونات!$C$2:$C$500,MATCH($B457,المكونات!$A$2:$A$500,0)),"")</f>
        <v>95</v>
      </c>
      <c r="F457" s="42" t="n">
        <f aca="false">IFERROR($C457*$E457,"")</f>
        <v>2.85</v>
      </c>
    </row>
    <row r="458" customFormat="false" ht="15" hidden="false" customHeight="true" outlineLevel="0" collapsed="false">
      <c r="A458" s="39" t="s">
        <v>377</v>
      </c>
      <c r="B458" s="39" t="s">
        <v>112</v>
      </c>
      <c r="C458" s="39" t="n">
        <v>1</v>
      </c>
      <c r="D458" s="40" t="str">
        <f aca="false">IFERROR(INDEX(المكونات!$B$2:$B$500,MATCH($B458,المكونات!$A$2:$A$500,0)),"")</f>
        <v>قطعة</v>
      </c>
      <c r="E458" s="41" t="n">
        <f aca="false">IFERROR(INDEX(المكونات!$C$2:$C$500,MATCH($B458,المكونات!$A$2:$A$500,0)),"")</f>
        <v>25</v>
      </c>
      <c r="F458" s="42" t="n">
        <f aca="false">IFERROR($C458*$E458,"")</f>
        <v>25</v>
      </c>
    </row>
    <row r="459" customFormat="false" ht="15" hidden="false" customHeight="true" outlineLevel="0" collapsed="false">
      <c r="A459" s="39" t="s">
        <v>377</v>
      </c>
      <c r="B459" s="39" t="s">
        <v>204</v>
      </c>
      <c r="C459" s="39" t="n">
        <v>1</v>
      </c>
      <c r="D459" s="40" t="str">
        <f aca="false">IFERROR(INDEX(المكونات!$B$2:$B$500,MATCH($B459,المكونات!$A$2:$A$500,0)),"")</f>
        <v>قطعة</v>
      </c>
      <c r="E459" s="41" t="n">
        <f aca="false">IFERROR(INDEX(المكونات!$C$2:$C$500,MATCH($B459,المكونات!$A$2:$A$500,0)),"")</f>
        <v>5.5</v>
      </c>
      <c r="F459" s="42" t="n">
        <f aca="false">IFERROR($C459*$E459,"")</f>
        <v>5.5</v>
      </c>
    </row>
    <row r="460" customFormat="false" ht="15" hidden="false" customHeight="true" outlineLevel="0" collapsed="false">
      <c r="A460" s="39" t="s">
        <v>377</v>
      </c>
      <c r="B460" s="39" t="s">
        <v>225</v>
      </c>
      <c r="C460" s="39" t="n">
        <v>3</v>
      </c>
      <c r="D460" s="40" t="str">
        <f aca="false">IFERROR(INDEX(المكونات!$B$2:$B$500,MATCH($B460,المكونات!$A$2:$A$500,0)),"")</f>
        <v>قطعة</v>
      </c>
      <c r="E460" s="41" t="n">
        <f aca="false">IFERROR(INDEX(المكونات!$C$2:$C$500,MATCH($B460,المكونات!$A$2:$A$500,0)),"")</f>
        <v>0.3</v>
      </c>
      <c r="F460" s="42" t="n">
        <f aca="false">IFERROR($C460*$E460,"")</f>
        <v>0.9</v>
      </c>
    </row>
    <row r="461" customFormat="false" ht="15" hidden="false" customHeight="true" outlineLevel="0" collapsed="false">
      <c r="A461" s="39" t="s">
        <v>377</v>
      </c>
      <c r="B461" s="39" t="s">
        <v>254</v>
      </c>
      <c r="C461" s="39" t="n">
        <v>1</v>
      </c>
      <c r="D461" s="40" t="str">
        <f aca="false">IFERROR(INDEX(المكونات!$B$2:$B$500,MATCH($B461,المكونات!$A$2:$A$500,0)),"")</f>
        <v>قطعة (ورقة)</v>
      </c>
      <c r="E461" s="41" t="n">
        <f aca="false">IFERROR(INDEX(المكونات!$C$2:$C$500,MATCH($B461,المكونات!$A$2:$A$500,0)),"")</f>
        <v>0.3665</v>
      </c>
      <c r="F461" s="42" t="n">
        <f aca="false">IFERROR($C461*$E461,"")</f>
        <v>0.3665</v>
      </c>
    </row>
    <row r="462" customFormat="false" ht="15" hidden="false" customHeight="true" outlineLevel="0" collapsed="false">
      <c r="A462" s="39" t="s">
        <v>377</v>
      </c>
      <c r="B462" s="39" t="s">
        <v>67</v>
      </c>
      <c r="C462" s="39" t="n">
        <v>1</v>
      </c>
      <c r="D462" s="40" t="str">
        <f aca="false">IFERROR(INDEX(المكونات!$B$2:$B$500,MATCH($B462,المكونات!$A$2:$A$500,0)),"")</f>
        <v>قطعة (كيس)</v>
      </c>
      <c r="E462" s="41" t="n">
        <f aca="false">IFERROR(INDEX(المكونات!$C$2:$C$500,MATCH($B462,المكونات!$A$2:$A$500,0)),"")</f>
        <v>1.4</v>
      </c>
      <c r="F462" s="42" t="n">
        <f aca="false">IFERROR($C462*$E462,"")</f>
        <v>1.4</v>
      </c>
    </row>
    <row r="463" customFormat="false" ht="15" hidden="false" customHeight="true" outlineLevel="0" collapsed="false">
      <c r="A463" s="39" t="s">
        <v>377</v>
      </c>
      <c r="B463" s="39" t="s">
        <v>228</v>
      </c>
      <c r="C463" s="39" t="n">
        <v>1</v>
      </c>
      <c r="D463" s="40" t="str">
        <f aca="false">IFERROR(INDEX(المكونات!$B$2:$B$500,MATCH($B463,المكونات!$A$2:$A$500,0)),"")</f>
        <v>قطعة</v>
      </c>
      <c r="E463" s="41" t="n">
        <f aca="false">IFERROR(INDEX(المكونات!$C$2:$C$500,MATCH($B463,المكونات!$A$2:$A$500,0)),"")</f>
        <v>0.5</v>
      </c>
      <c r="F463" s="42" t="n">
        <f aca="false">IFERROR($C463*$E463,"")</f>
        <v>0.5</v>
      </c>
    </row>
    <row r="464" customFormat="false" ht="15" hidden="false" customHeight="true" outlineLevel="0" collapsed="false">
      <c r="A464" s="39" t="s">
        <v>377</v>
      </c>
      <c r="B464" s="39" t="s">
        <v>145</v>
      </c>
      <c r="C464" s="39" t="n">
        <v>2</v>
      </c>
      <c r="D464" s="40" t="str">
        <f aca="false">IFERROR(INDEX(المكونات!$B$2:$B$500,MATCH($B464,المكونات!$A$2:$A$500,0)),"")</f>
        <v>قطعة (جلفز)</v>
      </c>
      <c r="E464" s="41" t="n">
        <f aca="false">IFERROR(INDEX(المكونات!$C$2:$C$500,MATCH($B464,المكونات!$A$2:$A$500,0)),"")</f>
        <v>0.18</v>
      </c>
      <c r="F464" s="42" t="n">
        <f aca="false">IFERROR($C464*$E464,"")</f>
        <v>0.36</v>
      </c>
    </row>
    <row r="465" customFormat="false" ht="15" hidden="false" customHeight="true" outlineLevel="0" collapsed="false">
      <c r="A465" s="39" t="s">
        <v>377</v>
      </c>
      <c r="B465" s="39" t="s">
        <v>257</v>
      </c>
      <c r="C465" s="39" t="n">
        <v>1</v>
      </c>
      <c r="D465" s="40" t="str">
        <f aca="false">IFERROR(INDEX(المكونات!$B$2:$B$500,MATCH($B465,المكونات!$A$2:$A$500,0)),"")</f>
        <v>قطعة (كيس)</v>
      </c>
      <c r="E465" s="41" t="n">
        <f aca="false">IFERROR(INDEX(المكونات!$C$2:$C$500,MATCH($B465,المكونات!$A$2:$A$500,0)),"")</f>
        <v>0.9995</v>
      </c>
      <c r="F465" s="42" t="n">
        <f aca="false">IFERROR($C465*$E465,"")</f>
        <v>0.9995</v>
      </c>
    </row>
    <row r="466" customFormat="false" ht="15" hidden="false" customHeight="true" outlineLevel="0" collapsed="false">
      <c r="A466" s="39" t="s">
        <v>377</v>
      </c>
      <c r="B466" s="39" t="s">
        <v>94</v>
      </c>
      <c r="C466" s="39" t="n">
        <v>1</v>
      </c>
      <c r="D466" s="40" t="str">
        <f aca="false">IFERROR(INDEX(المكونات!$B$2:$B$500,MATCH($B466,المكونات!$A$2:$A$500,0)),"")</f>
        <v>قطعة</v>
      </c>
      <c r="E466" s="41" t="n">
        <f aca="false">IFERROR(INDEX(المكونات!$C$2:$C$500,MATCH($B466,المكونات!$A$2:$A$500,0)),"")</f>
        <v>48.2857</v>
      </c>
      <c r="F466" s="42" t="n">
        <f aca="false">IFERROR($C466*$E466,"")</f>
        <v>48.2857</v>
      </c>
    </row>
    <row r="467" customFormat="false" ht="15" hidden="false" customHeight="true" outlineLevel="0" collapsed="false">
      <c r="A467" s="39" t="s">
        <v>377</v>
      </c>
      <c r="B467" s="39" t="s">
        <v>192</v>
      </c>
      <c r="C467" s="39" t="n">
        <v>0.15</v>
      </c>
      <c r="D467" s="40" t="str">
        <f aca="false">IFERROR(INDEX(المكونات!$B$2:$B$500,MATCH($B467,المكونات!$A$2:$A$500,0)),"")</f>
        <v>كجم</v>
      </c>
      <c r="E467" s="41" t="n">
        <f aca="false">IFERROR(INDEX(المكونات!$C$2:$C$500,MATCH($B467,المكونات!$A$2:$A$500,0)),"")</f>
        <v>105</v>
      </c>
      <c r="F467" s="42" t="n">
        <f aca="false">IFERROR($C467*$E467,"")</f>
        <v>15.75</v>
      </c>
    </row>
    <row r="468" customFormat="false" ht="15" hidden="false" customHeight="true" outlineLevel="0" collapsed="false">
      <c r="A468" s="39" t="s">
        <v>393</v>
      </c>
      <c r="B468" s="39" t="s">
        <v>200</v>
      </c>
      <c r="C468" s="39" t="n">
        <v>1</v>
      </c>
      <c r="D468" s="40" t="str">
        <f aca="false">IFERROR(INDEX(المكونات!$B$2:$B$500,MATCH($B468,المكونات!$A$2:$A$500,0)),"")</f>
        <v>قطعة</v>
      </c>
      <c r="E468" s="41" t="n">
        <f aca="false">IFERROR(INDEX(المكونات!$C$2:$C$500,MATCH($B468,المكونات!$A$2:$A$500,0)),"")</f>
        <v>4</v>
      </c>
      <c r="F468" s="42" t="n">
        <f aca="false">IFERROR($C468*$E468,"")</f>
        <v>4</v>
      </c>
    </row>
    <row r="469" customFormat="false" ht="15" hidden="false" customHeight="true" outlineLevel="0" collapsed="false">
      <c r="A469" s="39" t="s">
        <v>393</v>
      </c>
      <c r="B469" s="39" t="s">
        <v>196</v>
      </c>
      <c r="C469" s="39" t="n">
        <v>0.03</v>
      </c>
      <c r="D469" s="40" t="str">
        <f aca="false">IFERROR(INDEX(المكونات!$B$2:$B$500,MATCH($B469,المكونات!$A$2:$A$500,0)),"")</f>
        <v>كجم</v>
      </c>
      <c r="E469" s="41" t="n">
        <f aca="false">IFERROR(INDEX(المكونات!$C$2:$C$500,MATCH($B469,المكونات!$A$2:$A$500,0)),"")</f>
        <v>21</v>
      </c>
      <c r="F469" s="42" t="n">
        <f aca="false">IFERROR($C469*$E469,"")</f>
        <v>0.63</v>
      </c>
    </row>
    <row r="470" customFormat="false" ht="15" hidden="false" customHeight="true" outlineLevel="0" collapsed="false">
      <c r="A470" s="39" t="s">
        <v>393</v>
      </c>
      <c r="B470" s="39" t="s">
        <v>219</v>
      </c>
      <c r="C470" s="39" t="n">
        <v>0.02</v>
      </c>
      <c r="D470" s="40" t="str">
        <f aca="false">IFERROR(INDEX(المكونات!$B$2:$B$500,MATCH($B470,المكونات!$A$2:$A$500,0)),"")</f>
        <v>كجم</v>
      </c>
      <c r="E470" s="41" t="n">
        <f aca="false">IFERROR(INDEX(المكونات!$C$2:$C$500,MATCH($B470,المكونات!$A$2:$A$500,0)),"")</f>
        <v>27</v>
      </c>
      <c r="F470" s="42" t="n">
        <f aca="false">IFERROR($C470*$E470,"")</f>
        <v>0.54</v>
      </c>
    </row>
    <row r="471" customFormat="false" ht="15" hidden="false" customHeight="true" outlineLevel="0" collapsed="false">
      <c r="A471" s="39" t="s">
        <v>393</v>
      </c>
      <c r="B471" s="39" t="s">
        <v>162</v>
      </c>
      <c r="C471" s="39" t="n">
        <v>0.02</v>
      </c>
      <c r="D471" s="40" t="str">
        <f aca="false">IFERROR(INDEX(المكونات!$B$2:$B$500,MATCH($B471,المكونات!$A$2:$A$500,0)),"")</f>
        <v>كجم</v>
      </c>
      <c r="E471" s="41" t="n">
        <f aca="false">IFERROR(INDEX(المكونات!$C$2:$C$500,MATCH($B471,المكونات!$A$2:$A$500,0)),"")</f>
        <v>95</v>
      </c>
      <c r="F471" s="42" t="n">
        <f aca="false">IFERROR($C471*$E471,"")</f>
        <v>1.9</v>
      </c>
    </row>
    <row r="472" customFormat="false" ht="15" hidden="false" customHeight="true" outlineLevel="0" collapsed="false">
      <c r="A472" s="39" t="s">
        <v>393</v>
      </c>
      <c r="B472" s="39" t="s">
        <v>110</v>
      </c>
      <c r="C472" s="39" t="n">
        <v>1</v>
      </c>
      <c r="D472" s="40" t="str">
        <f aca="false">IFERROR(INDEX(المكونات!$B$2:$B$500,MATCH($B472,المكونات!$A$2:$A$500,0)),"")</f>
        <v>قطعة</v>
      </c>
      <c r="E472" s="41" t="n">
        <f aca="false">IFERROR(INDEX(المكونات!$C$2:$C$500,MATCH($B472,المكونات!$A$2:$A$500,0)),"")</f>
        <v>17.5</v>
      </c>
      <c r="F472" s="42" t="n">
        <f aca="false">IFERROR($C472*$E472,"")</f>
        <v>17.5</v>
      </c>
    </row>
    <row r="473" customFormat="false" ht="15" hidden="false" customHeight="true" outlineLevel="0" collapsed="false">
      <c r="A473" s="39" t="s">
        <v>393</v>
      </c>
      <c r="B473" s="39" t="s">
        <v>206</v>
      </c>
      <c r="C473" s="39" t="n">
        <v>1</v>
      </c>
      <c r="D473" s="40" t="str">
        <f aca="false">IFERROR(INDEX(المكونات!$B$2:$B$500,MATCH($B473,المكونات!$A$2:$A$500,0)),"")</f>
        <v>قطعة</v>
      </c>
      <c r="E473" s="41" t="n">
        <f aca="false">IFERROR(INDEX(المكونات!$C$2:$C$500,MATCH($B473,المكونات!$A$2:$A$500,0)),"")</f>
        <v>4.5</v>
      </c>
      <c r="F473" s="42" t="n">
        <f aca="false">IFERROR($C473*$E473,"")</f>
        <v>4.5</v>
      </c>
    </row>
    <row r="474" customFormat="false" ht="15" hidden="false" customHeight="true" outlineLevel="0" collapsed="false">
      <c r="A474" s="39" t="s">
        <v>393</v>
      </c>
      <c r="B474" s="39" t="s">
        <v>225</v>
      </c>
      <c r="C474" s="39" t="n">
        <v>2</v>
      </c>
      <c r="D474" s="40" t="str">
        <f aca="false">IFERROR(INDEX(المكونات!$B$2:$B$500,MATCH($B474,المكونات!$A$2:$A$500,0)),"")</f>
        <v>قطعة</v>
      </c>
      <c r="E474" s="41" t="n">
        <f aca="false">IFERROR(INDEX(المكونات!$C$2:$C$500,MATCH($B474,المكونات!$A$2:$A$500,0)),"")</f>
        <v>0.3</v>
      </c>
      <c r="F474" s="42" t="n">
        <f aca="false">IFERROR($C474*$E474,"")</f>
        <v>0.6</v>
      </c>
    </row>
    <row r="475" customFormat="false" ht="15" hidden="false" customHeight="true" outlineLevel="0" collapsed="false">
      <c r="A475" s="39" t="s">
        <v>393</v>
      </c>
      <c r="B475" s="39" t="s">
        <v>254</v>
      </c>
      <c r="C475" s="39" t="n">
        <v>1</v>
      </c>
      <c r="D475" s="40" t="str">
        <f aca="false">IFERROR(INDEX(المكونات!$B$2:$B$500,MATCH($B475,المكونات!$A$2:$A$500,0)),"")</f>
        <v>قطعة (ورقة)</v>
      </c>
      <c r="E475" s="41" t="n">
        <f aca="false">IFERROR(INDEX(المكونات!$C$2:$C$500,MATCH($B475,المكونات!$A$2:$A$500,0)),"")</f>
        <v>0.3665</v>
      </c>
      <c r="F475" s="42" t="n">
        <f aca="false">IFERROR($C475*$E475,"")</f>
        <v>0.3665</v>
      </c>
    </row>
    <row r="476" customFormat="false" ht="15" hidden="false" customHeight="true" outlineLevel="0" collapsed="false">
      <c r="A476" s="39" t="s">
        <v>393</v>
      </c>
      <c r="B476" s="39" t="s">
        <v>67</v>
      </c>
      <c r="C476" s="39" t="n">
        <v>1</v>
      </c>
      <c r="D476" s="40" t="str">
        <f aca="false">IFERROR(INDEX(المكونات!$B$2:$B$500,MATCH($B476,المكونات!$A$2:$A$500,0)),"")</f>
        <v>قطعة (كيس)</v>
      </c>
      <c r="E476" s="41" t="n">
        <f aca="false">IFERROR(INDEX(المكونات!$C$2:$C$500,MATCH($B476,المكونات!$A$2:$A$500,0)),"")</f>
        <v>1.4</v>
      </c>
      <c r="F476" s="42" t="n">
        <f aca="false">IFERROR($C476*$E476,"")</f>
        <v>1.4</v>
      </c>
    </row>
    <row r="477" customFormat="false" ht="15" hidden="false" customHeight="true" outlineLevel="0" collapsed="false">
      <c r="A477" s="39" t="s">
        <v>393</v>
      </c>
      <c r="B477" s="39" t="s">
        <v>228</v>
      </c>
      <c r="C477" s="39" t="n">
        <v>1</v>
      </c>
      <c r="D477" s="40" t="str">
        <f aca="false">IFERROR(INDEX(المكونات!$B$2:$B$500,MATCH($B477,المكونات!$A$2:$A$500,0)),"")</f>
        <v>قطعة</v>
      </c>
      <c r="E477" s="41" t="n">
        <f aca="false">IFERROR(INDEX(المكونات!$C$2:$C$500,MATCH($B477,المكونات!$A$2:$A$500,0)),"")</f>
        <v>0.5</v>
      </c>
      <c r="F477" s="42" t="n">
        <f aca="false">IFERROR($C477*$E477,"")</f>
        <v>0.5</v>
      </c>
    </row>
    <row r="478" customFormat="false" ht="15" hidden="false" customHeight="true" outlineLevel="0" collapsed="false">
      <c r="A478" s="39" t="s">
        <v>393</v>
      </c>
      <c r="B478" s="39" t="s">
        <v>145</v>
      </c>
      <c r="C478" s="39" t="n">
        <v>2</v>
      </c>
      <c r="D478" s="40" t="str">
        <f aca="false">IFERROR(INDEX(المكونات!$B$2:$B$500,MATCH($B478,المكونات!$A$2:$A$500,0)),"")</f>
        <v>قطعة (جلفز)</v>
      </c>
      <c r="E478" s="41" t="n">
        <f aca="false">IFERROR(INDEX(المكونات!$C$2:$C$500,MATCH($B478,المكونات!$A$2:$A$500,0)),"")</f>
        <v>0.18</v>
      </c>
      <c r="F478" s="42" t="n">
        <f aca="false">IFERROR($C478*$E478,"")</f>
        <v>0.36</v>
      </c>
    </row>
    <row r="479" customFormat="false" ht="15" hidden="false" customHeight="true" outlineLevel="0" collapsed="false">
      <c r="A479" s="39" t="s">
        <v>393</v>
      </c>
      <c r="B479" s="39" t="s">
        <v>257</v>
      </c>
      <c r="C479" s="39" t="n">
        <v>1</v>
      </c>
      <c r="D479" s="40" t="str">
        <f aca="false">IFERROR(INDEX(المكونات!$B$2:$B$500,MATCH($B479,المكونات!$A$2:$A$500,0)),"")</f>
        <v>قطعة (كيس)</v>
      </c>
      <c r="E479" s="41" t="n">
        <f aca="false">IFERROR(INDEX(المكونات!$C$2:$C$500,MATCH($B479,المكونات!$A$2:$A$500,0)),"")</f>
        <v>0.9995</v>
      </c>
      <c r="F479" s="42" t="n">
        <f aca="false">IFERROR($C479*$E479,"")</f>
        <v>0.9995</v>
      </c>
    </row>
    <row r="480" customFormat="false" ht="15" hidden="false" customHeight="true" outlineLevel="0" collapsed="false">
      <c r="A480" s="39" t="s">
        <v>393</v>
      </c>
      <c r="B480" s="39" t="s">
        <v>92</v>
      </c>
      <c r="C480" s="39" t="n">
        <v>1</v>
      </c>
      <c r="D480" s="40" t="str">
        <f aca="false">IFERROR(INDEX(المكونات!$B$2:$B$500,MATCH($B480,المكونات!$A$2:$A$500,0)),"")</f>
        <v>قطعة</v>
      </c>
      <c r="E480" s="41" t="n">
        <f aca="false">IFERROR(INDEX(المكونات!$C$2:$C$500,MATCH($B480,المكونات!$A$2:$A$500,0)),"")</f>
        <v>33.7609</v>
      </c>
      <c r="F480" s="42" t="n">
        <f aca="false">IFERROR($C480*$E480,"")</f>
        <v>33.7609</v>
      </c>
    </row>
    <row r="481" customFormat="false" ht="15" hidden="false" customHeight="true" outlineLevel="0" collapsed="false">
      <c r="A481" s="39" t="s">
        <v>393</v>
      </c>
      <c r="B481" s="39" t="s">
        <v>188</v>
      </c>
      <c r="C481" s="39" t="n">
        <v>0.1</v>
      </c>
      <c r="D481" s="40" t="str">
        <f aca="false">IFERROR(INDEX(المكونات!$B$2:$B$500,MATCH($B481,المكونات!$A$2:$A$500,0)),"")</f>
        <v>كجم</v>
      </c>
      <c r="E481" s="41" t="n">
        <f aca="false">IFERROR(INDEX(المكونات!$C$2:$C$500,MATCH($B481,المكونات!$A$2:$A$500,0)),"")</f>
        <v>70</v>
      </c>
      <c r="F481" s="42" t="n">
        <f aca="false">IFERROR($C481*$E481,"")</f>
        <v>7</v>
      </c>
    </row>
    <row r="482" customFormat="false" ht="15" hidden="false" customHeight="true" outlineLevel="0" collapsed="false">
      <c r="A482" s="39" t="s">
        <v>378</v>
      </c>
      <c r="B482" s="39" t="s">
        <v>200</v>
      </c>
      <c r="C482" s="39" t="n">
        <v>1.5</v>
      </c>
      <c r="D482" s="40" t="str">
        <f aca="false">IFERROR(INDEX(المكونات!$B$2:$B$500,MATCH($B482,المكونات!$A$2:$A$500,0)),"")</f>
        <v>قطعة</v>
      </c>
      <c r="E482" s="41" t="n">
        <f aca="false">IFERROR(INDEX(المكونات!$C$2:$C$500,MATCH($B482,المكونات!$A$2:$A$500,0)),"")</f>
        <v>4</v>
      </c>
      <c r="F482" s="42" t="n">
        <f aca="false">IFERROR($C482*$E482,"")</f>
        <v>6</v>
      </c>
    </row>
    <row r="483" customFormat="false" ht="15" hidden="false" customHeight="true" outlineLevel="0" collapsed="false">
      <c r="A483" s="39" t="s">
        <v>378</v>
      </c>
      <c r="B483" s="39" t="s">
        <v>196</v>
      </c>
      <c r="C483" s="39" t="n">
        <v>0.045</v>
      </c>
      <c r="D483" s="40" t="str">
        <f aca="false">IFERROR(INDEX(المكونات!$B$2:$B$500,MATCH($B483,المكونات!$A$2:$A$500,0)),"")</f>
        <v>كجم</v>
      </c>
      <c r="E483" s="41" t="n">
        <f aca="false">IFERROR(INDEX(المكونات!$C$2:$C$500,MATCH($B483,المكونات!$A$2:$A$500,0)),"")</f>
        <v>21</v>
      </c>
      <c r="F483" s="42" t="n">
        <f aca="false">IFERROR($C483*$E483,"")</f>
        <v>0.945</v>
      </c>
    </row>
    <row r="484" customFormat="false" ht="15" hidden="false" customHeight="true" outlineLevel="0" collapsed="false">
      <c r="A484" s="39" t="s">
        <v>378</v>
      </c>
      <c r="B484" s="39" t="s">
        <v>219</v>
      </c>
      <c r="C484" s="39" t="n">
        <v>0.03</v>
      </c>
      <c r="D484" s="40" t="str">
        <f aca="false">IFERROR(INDEX(المكونات!$B$2:$B$500,MATCH($B484,المكونات!$A$2:$A$500,0)),"")</f>
        <v>كجم</v>
      </c>
      <c r="E484" s="41" t="n">
        <f aca="false">IFERROR(INDEX(المكونات!$C$2:$C$500,MATCH($B484,المكونات!$A$2:$A$500,0)),"")</f>
        <v>27</v>
      </c>
      <c r="F484" s="42" t="n">
        <f aca="false">IFERROR($C484*$E484,"")</f>
        <v>0.81</v>
      </c>
    </row>
    <row r="485" customFormat="false" ht="15" hidden="false" customHeight="true" outlineLevel="0" collapsed="false">
      <c r="A485" s="39" t="s">
        <v>378</v>
      </c>
      <c r="B485" s="39" t="s">
        <v>162</v>
      </c>
      <c r="C485" s="39" t="n">
        <v>0.03</v>
      </c>
      <c r="D485" s="40" t="str">
        <f aca="false">IFERROR(INDEX(المكونات!$B$2:$B$500,MATCH($B485,المكونات!$A$2:$A$500,0)),"")</f>
        <v>كجم</v>
      </c>
      <c r="E485" s="41" t="n">
        <f aca="false">IFERROR(INDEX(المكونات!$C$2:$C$500,MATCH($B485,المكونات!$A$2:$A$500,0)),"")</f>
        <v>95</v>
      </c>
      <c r="F485" s="42" t="n">
        <f aca="false">IFERROR($C485*$E485,"")</f>
        <v>2.85</v>
      </c>
    </row>
    <row r="486" customFormat="false" ht="15" hidden="false" customHeight="true" outlineLevel="0" collapsed="false">
      <c r="A486" s="39" t="s">
        <v>378</v>
      </c>
      <c r="B486" s="39" t="s">
        <v>112</v>
      </c>
      <c r="C486" s="39" t="n">
        <v>1</v>
      </c>
      <c r="D486" s="40" t="str">
        <f aca="false">IFERROR(INDEX(المكونات!$B$2:$B$500,MATCH($B486,المكونات!$A$2:$A$500,0)),"")</f>
        <v>قطعة</v>
      </c>
      <c r="E486" s="41" t="n">
        <f aca="false">IFERROR(INDEX(المكونات!$C$2:$C$500,MATCH($B486,المكونات!$A$2:$A$500,0)),"")</f>
        <v>25</v>
      </c>
      <c r="F486" s="42" t="n">
        <f aca="false">IFERROR($C486*$E486,"")</f>
        <v>25</v>
      </c>
    </row>
    <row r="487" customFormat="false" ht="15" hidden="false" customHeight="true" outlineLevel="0" collapsed="false">
      <c r="A487" s="39" t="s">
        <v>378</v>
      </c>
      <c r="B487" s="39" t="s">
        <v>204</v>
      </c>
      <c r="C487" s="39" t="n">
        <v>1</v>
      </c>
      <c r="D487" s="40" t="str">
        <f aca="false">IFERROR(INDEX(المكونات!$B$2:$B$500,MATCH($B487,المكونات!$A$2:$A$500,0)),"")</f>
        <v>قطعة</v>
      </c>
      <c r="E487" s="41" t="n">
        <f aca="false">IFERROR(INDEX(المكونات!$C$2:$C$500,MATCH($B487,المكونات!$A$2:$A$500,0)),"")</f>
        <v>5.5</v>
      </c>
      <c r="F487" s="42" t="n">
        <f aca="false">IFERROR($C487*$E487,"")</f>
        <v>5.5</v>
      </c>
    </row>
    <row r="488" customFormat="false" ht="15" hidden="false" customHeight="true" outlineLevel="0" collapsed="false">
      <c r="A488" s="39" t="s">
        <v>378</v>
      </c>
      <c r="B488" s="39" t="s">
        <v>225</v>
      </c>
      <c r="C488" s="39" t="n">
        <v>3</v>
      </c>
      <c r="D488" s="40" t="str">
        <f aca="false">IFERROR(INDEX(المكونات!$B$2:$B$500,MATCH($B488,المكونات!$A$2:$A$500,0)),"")</f>
        <v>قطعة</v>
      </c>
      <c r="E488" s="41" t="n">
        <f aca="false">IFERROR(INDEX(المكونات!$C$2:$C$500,MATCH($B488,المكونات!$A$2:$A$500,0)),"")</f>
        <v>0.3</v>
      </c>
      <c r="F488" s="42" t="n">
        <f aca="false">IFERROR($C488*$E488,"")</f>
        <v>0.9</v>
      </c>
    </row>
    <row r="489" customFormat="false" ht="15" hidden="false" customHeight="true" outlineLevel="0" collapsed="false">
      <c r="A489" s="39" t="s">
        <v>378</v>
      </c>
      <c r="B489" s="39" t="s">
        <v>254</v>
      </c>
      <c r="C489" s="39" t="n">
        <v>1</v>
      </c>
      <c r="D489" s="40" t="str">
        <f aca="false">IFERROR(INDEX(المكونات!$B$2:$B$500,MATCH($B489,المكونات!$A$2:$A$500,0)),"")</f>
        <v>قطعة (ورقة)</v>
      </c>
      <c r="E489" s="41" t="n">
        <f aca="false">IFERROR(INDEX(المكونات!$C$2:$C$500,MATCH($B489,المكونات!$A$2:$A$500,0)),"")</f>
        <v>0.3665</v>
      </c>
      <c r="F489" s="42" t="n">
        <f aca="false">IFERROR($C489*$E489,"")</f>
        <v>0.3665</v>
      </c>
    </row>
    <row r="490" customFormat="false" ht="15" hidden="false" customHeight="true" outlineLevel="0" collapsed="false">
      <c r="A490" s="39" t="s">
        <v>378</v>
      </c>
      <c r="B490" s="39" t="s">
        <v>67</v>
      </c>
      <c r="C490" s="39" t="n">
        <v>1</v>
      </c>
      <c r="D490" s="40" t="str">
        <f aca="false">IFERROR(INDEX(المكونات!$B$2:$B$500,MATCH($B490,المكونات!$A$2:$A$500,0)),"")</f>
        <v>قطعة (كيس)</v>
      </c>
      <c r="E490" s="41" t="n">
        <f aca="false">IFERROR(INDEX(المكونات!$C$2:$C$500,MATCH($B490,المكونات!$A$2:$A$500,0)),"")</f>
        <v>1.4</v>
      </c>
      <c r="F490" s="42" t="n">
        <f aca="false">IFERROR($C490*$E490,"")</f>
        <v>1.4</v>
      </c>
    </row>
    <row r="491" customFormat="false" ht="15" hidden="false" customHeight="true" outlineLevel="0" collapsed="false">
      <c r="A491" s="39" t="s">
        <v>378</v>
      </c>
      <c r="B491" s="39" t="s">
        <v>228</v>
      </c>
      <c r="C491" s="39" t="n">
        <v>1</v>
      </c>
      <c r="D491" s="40" t="str">
        <f aca="false">IFERROR(INDEX(المكونات!$B$2:$B$500,MATCH($B491,المكونات!$A$2:$A$500,0)),"")</f>
        <v>قطعة</v>
      </c>
      <c r="E491" s="41" t="n">
        <f aca="false">IFERROR(INDEX(المكونات!$C$2:$C$500,MATCH($B491,المكونات!$A$2:$A$500,0)),"")</f>
        <v>0.5</v>
      </c>
      <c r="F491" s="42" t="n">
        <f aca="false">IFERROR($C491*$E491,"")</f>
        <v>0.5</v>
      </c>
    </row>
    <row r="492" customFormat="false" ht="15" hidden="false" customHeight="true" outlineLevel="0" collapsed="false">
      <c r="A492" s="39" t="s">
        <v>378</v>
      </c>
      <c r="B492" s="39" t="s">
        <v>145</v>
      </c>
      <c r="C492" s="39" t="n">
        <v>2</v>
      </c>
      <c r="D492" s="40" t="str">
        <f aca="false">IFERROR(INDEX(المكونات!$B$2:$B$500,MATCH($B492,المكونات!$A$2:$A$500,0)),"")</f>
        <v>قطعة (جلفز)</v>
      </c>
      <c r="E492" s="41" t="n">
        <f aca="false">IFERROR(INDEX(المكونات!$C$2:$C$500,MATCH($B492,المكونات!$A$2:$A$500,0)),"")</f>
        <v>0.18</v>
      </c>
      <c r="F492" s="42" t="n">
        <f aca="false">IFERROR($C492*$E492,"")</f>
        <v>0.36</v>
      </c>
    </row>
    <row r="493" customFormat="false" ht="15" hidden="false" customHeight="true" outlineLevel="0" collapsed="false">
      <c r="A493" s="39" t="s">
        <v>378</v>
      </c>
      <c r="B493" s="39" t="s">
        <v>257</v>
      </c>
      <c r="C493" s="39" t="n">
        <v>1</v>
      </c>
      <c r="D493" s="40" t="str">
        <f aca="false">IFERROR(INDEX(المكونات!$B$2:$B$500,MATCH($B493,المكونات!$A$2:$A$500,0)),"")</f>
        <v>قطعة (كيس)</v>
      </c>
      <c r="E493" s="41" t="n">
        <f aca="false">IFERROR(INDEX(المكونات!$C$2:$C$500,MATCH($B493,المكونات!$A$2:$A$500,0)),"")</f>
        <v>0.9995</v>
      </c>
      <c r="F493" s="42" t="n">
        <f aca="false">IFERROR($C493*$E493,"")</f>
        <v>0.9995</v>
      </c>
    </row>
    <row r="494" customFormat="false" ht="15" hidden="false" customHeight="true" outlineLevel="0" collapsed="false">
      <c r="A494" s="39" t="s">
        <v>378</v>
      </c>
      <c r="B494" s="39" t="s">
        <v>94</v>
      </c>
      <c r="C494" s="39" t="n">
        <v>1</v>
      </c>
      <c r="D494" s="40" t="str">
        <f aca="false">IFERROR(INDEX(المكونات!$B$2:$B$500,MATCH($B494,المكونات!$A$2:$A$500,0)),"")</f>
        <v>قطعة</v>
      </c>
      <c r="E494" s="41" t="n">
        <f aca="false">IFERROR(INDEX(المكونات!$C$2:$C$500,MATCH($B494,المكونات!$A$2:$A$500,0)),"")</f>
        <v>48.2857</v>
      </c>
      <c r="F494" s="42" t="n">
        <f aca="false">IFERROR($C494*$E494,"")</f>
        <v>48.2857</v>
      </c>
    </row>
    <row r="495" customFormat="false" ht="15" hidden="false" customHeight="true" outlineLevel="0" collapsed="false">
      <c r="A495" s="39" t="s">
        <v>378</v>
      </c>
      <c r="B495" s="39" t="s">
        <v>188</v>
      </c>
      <c r="C495" s="39" t="n">
        <v>0.15</v>
      </c>
      <c r="D495" s="40" t="str">
        <f aca="false">IFERROR(INDEX(المكونات!$B$2:$B$500,MATCH($B495,المكونات!$A$2:$A$500,0)),"")</f>
        <v>كجم</v>
      </c>
      <c r="E495" s="41" t="n">
        <f aca="false">IFERROR(INDEX(المكونات!$C$2:$C$500,MATCH($B495,المكونات!$A$2:$A$500,0)),"")</f>
        <v>70</v>
      </c>
      <c r="F495" s="42" t="n">
        <f aca="false">IFERROR($C495*$E495,"")</f>
        <v>10.5</v>
      </c>
    </row>
    <row r="496" customFormat="false" ht="15" hidden="false" customHeight="true" outlineLevel="0" collapsed="false">
      <c r="A496" s="39" t="s">
        <v>430</v>
      </c>
      <c r="B496" s="39" t="s">
        <v>200</v>
      </c>
      <c r="C496" s="39" t="n">
        <v>1</v>
      </c>
      <c r="D496" s="40" t="str">
        <f aca="false">IFERROR(INDEX(المكونات!$B$2:$B$500,MATCH($B496,المكونات!$A$2:$A$500,0)),"")</f>
        <v>قطعة</v>
      </c>
      <c r="E496" s="41" t="n">
        <f aca="false">IFERROR(INDEX(المكونات!$C$2:$C$500,MATCH($B496,المكونات!$A$2:$A$500,0)),"")</f>
        <v>4</v>
      </c>
      <c r="F496" s="42" t="n">
        <f aca="false">IFERROR($C496*$E496,"")</f>
        <v>4</v>
      </c>
    </row>
    <row r="497" customFormat="false" ht="15" hidden="false" customHeight="true" outlineLevel="0" collapsed="false">
      <c r="A497" s="39" t="s">
        <v>430</v>
      </c>
      <c r="B497" s="39" t="s">
        <v>196</v>
      </c>
      <c r="C497" s="39" t="n">
        <v>0.03</v>
      </c>
      <c r="D497" s="40" t="str">
        <f aca="false">IFERROR(INDEX(المكونات!$B$2:$B$500,MATCH($B497,المكونات!$A$2:$A$500,0)),"")</f>
        <v>كجم</v>
      </c>
      <c r="E497" s="41" t="n">
        <f aca="false">IFERROR(INDEX(المكونات!$C$2:$C$500,MATCH($B497,المكونات!$A$2:$A$500,0)),"")</f>
        <v>21</v>
      </c>
      <c r="F497" s="42" t="n">
        <f aca="false">IFERROR($C497*$E497,"")</f>
        <v>0.63</v>
      </c>
    </row>
    <row r="498" customFormat="false" ht="15" hidden="false" customHeight="true" outlineLevel="0" collapsed="false">
      <c r="A498" s="39" t="s">
        <v>430</v>
      </c>
      <c r="B498" s="39" t="s">
        <v>219</v>
      </c>
      <c r="C498" s="39" t="n">
        <v>0.02</v>
      </c>
      <c r="D498" s="40" t="str">
        <f aca="false">IFERROR(INDEX(المكونات!$B$2:$B$500,MATCH($B498,المكونات!$A$2:$A$500,0)),"")</f>
        <v>كجم</v>
      </c>
      <c r="E498" s="41" t="n">
        <f aca="false">IFERROR(INDEX(المكونات!$C$2:$C$500,MATCH($B498,المكونات!$A$2:$A$500,0)),"")</f>
        <v>27</v>
      </c>
      <c r="F498" s="42" t="n">
        <f aca="false">IFERROR($C498*$E498,"")</f>
        <v>0.54</v>
      </c>
    </row>
    <row r="499" customFormat="false" ht="15" hidden="false" customHeight="true" outlineLevel="0" collapsed="false">
      <c r="A499" s="39" t="s">
        <v>430</v>
      </c>
      <c r="B499" s="39" t="s">
        <v>162</v>
      </c>
      <c r="C499" s="39" t="n">
        <v>0.02</v>
      </c>
      <c r="D499" s="40" t="str">
        <f aca="false">IFERROR(INDEX(المكونات!$B$2:$B$500,MATCH($B499,المكونات!$A$2:$A$500,0)),"")</f>
        <v>كجم</v>
      </c>
      <c r="E499" s="41" t="n">
        <f aca="false">IFERROR(INDEX(المكونات!$C$2:$C$500,MATCH($B499,المكونات!$A$2:$A$500,0)),"")</f>
        <v>95</v>
      </c>
      <c r="F499" s="42" t="n">
        <f aca="false">IFERROR($C499*$E499,"")</f>
        <v>1.9</v>
      </c>
    </row>
    <row r="500" customFormat="false" ht="15" hidden="false" customHeight="true" outlineLevel="0" collapsed="false">
      <c r="A500" s="39" t="s">
        <v>430</v>
      </c>
      <c r="B500" s="39" t="s">
        <v>110</v>
      </c>
      <c r="C500" s="39" t="n">
        <v>1</v>
      </c>
      <c r="D500" s="40" t="str">
        <f aca="false">IFERROR(INDEX(المكونات!$B$2:$B$500,MATCH($B500,المكونات!$A$2:$A$500,0)),"")</f>
        <v>قطعة</v>
      </c>
      <c r="E500" s="41" t="n">
        <f aca="false">IFERROR(INDEX(المكونات!$C$2:$C$500,MATCH($B500,المكونات!$A$2:$A$500,0)),"")</f>
        <v>17.5</v>
      </c>
      <c r="F500" s="42" t="n">
        <f aca="false">IFERROR($C500*$E500,"")</f>
        <v>17.5</v>
      </c>
    </row>
    <row r="501" customFormat="false" ht="15" hidden="false" customHeight="true" outlineLevel="0" collapsed="false">
      <c r="A501" s="39" t="s">
        <v>430</v>
      </c>
      <c r="B501" s="39" t="s">
        <v>206</v>
      </c>
      <c r="C501" s="39" t="n">
        <v>1</v>
      </c>
      <c r="D501" s="40" t="str">
        <f aca="false">IFERROR(INDEX(المكونات!$B$2:$B$500,MATCH($B501,المكونات!$A$2:$A$500,0)),"")</f>
        <v>قطعة</v>
      </c>
      <c r="E501" s="41" t="n">
        <f aca="false">IFERROR(INDEX(المكونات!$C$2:$C$500,MATCH($B501,المكونات!$A$2:$A$500,0)),"")</f>
        <v>4.5</v>
      </c>
      <c r="F501" s="42" t="n">
        <f aca="false">IFERROR($C501*$E501,"")</f>
        <v>4.5</v>
      </c>
    </row>
    <row r="502" customFormat="false" ht="15" hidden="false" customHeight="true" outlineLevel="0" collapsed="false">
      <c r="A502" s="39" t="s">
        <v>430</v>
      </c>
      <c r="B502" s="39" t="s">
        <v>225</v>
      </c>
      <c r="C502" s="39" t="n">
        <v>2</v>
      </c>
      <c r="D502" s="40" t="str">
        <f aca="false">IFERROR(INDEX(المكونات!$B$2:$B$500,MATCH($B502,المكونات!$A$2:$A$500,0)),"")</f>
        <v>قطعة</v>
      </c>
      <c r="E502" s="41" t="n">
        <f aca="false">IFERROR(INDEX(المكونات!$C$2:$C$500,MATCH($B502,المكونات!$A$2:$A$500,0)),"")</f>
        <v>0.3</v>
      </c>
      <c r="F502" s="42" t="n">
        <f aca="false">IFERROR($C502*$E502,"")</f>
        <v>0.6</v>
      </c>
    </row>
    <row r="503" customFormat="false" ht="15" hidden="false" customHeight="true" outlineLevel="0" collapsed="false">
      <c r="A503" s="39" t="s">
        <v>430</v>
      </c>
      <c r="B503" s="39" t="s">
        <v>254</v>
      </c>
      <c r="C503" s="39" t="n">
        <v>1</v>
      </c>
      <c r="D503" s="40" t="str">
        <f aca="false">IFERROR(INDEX(المكونات!$B$2:$B$500,MATCH($B503,المكونات!$A$2:$A$500,0)),"")</f>
        <v>قطعة (ورقة)</v>
      </c>
      <c r="E503" s="41" t="n">
        <f aca="false">IFERROR(INDEX(المكونات!$C$2:$C$500,MATCH($B503,المكونات!$A$2:$A$500,0)),"")</f>
        <v>0.3665</v>
      </c>
      <c r="F503" s="42" t="n">
        <f aca="false">IFERROR($C503*$E503,"")</f>
        <v>0.3665</v>
      </c>
    </row>
    <row r="504" customFormat="false" ht="15" hidden="false" customHeight="true" outlineLevel="0" collapsed="false">
      <c r="A504" s="39" t="s">
        <v>430</v>
      </c>
      <c r="B504" s="39" t="s">
        <v>67</v>
      </c>
      <c r="C504" s="39" t="n">
        <v>1</v>
      </c>
      <c r="D504" s="40" t="str">
        <f aca="false">IFERROR(INDEX(المكونات!$B$2:$B$500,MATCH($B504,المكونات!$A$2:$A$500,0)),"")</f>
        <v>قطعة (كيس)</v>
      </c>
      <c r="E504" s="41" t="n">
        <f aca="false">IFERROR(INDEX(المكونات!$C$2:$C$500,MATCH($B504,المكونات!$A$2:$A$500,0)),"")</f>
        <v>1.4</v>
      </c>
      <c r="F504" s="42" t="n">
        <f aca="false">IFERROR($C504*$E504,"")</f>
        <v>1.4</v>
      </c>
    </row>
    <row r="505" customFormat="false" ht="15" hidden="false" customHeight="true" outlineLevel="0" collapsed="false">
      <c r="A505" s="39" t="s">
        <v>430</v>
      </c>
      <c r="B505" s="39" t="s">
        <v>228</v>
      </c>
      <c r="C505" s="39" t="n">
        <v>1</v>
      </c>
      <c r="D505" s="40" t="str">
        <f aca="false">IFERROR(INDEX(المكونات!$B$2:$B$500,MATCH($B505,المكونات!$A$2:$A$500,0)),"")</f>
        <v>قطعة</v>
      </c>
      <c r="E505" s="41" t="n">
        <f aca="false">IFERROR(INDEX(المكونات!$C$2:$C$500,MATCH($B505,المكونات!$A$2:$A$500,0)),"")</f>
        <v>0.5</v>
      </c>
      <c r="F505" s="42" t="n">
        <f aca="false">IFERROR($C505*$E505,"")</f>
        <v>0.5</v>
      </c>
    </row>
    <row r="506" customFormat="false" ht="15" hidden="false" customHeight="true" outlineLevel="0" collapsed="false">
      <c r="A506" s="39" t="s">
        <v>430</v>
      </c>
      <c r="B506" s="39" t="s">
        <v>145</v>
      </c>
      <c r="C506" s="39" t="n">
        <v>2</v>
      </c>
      <c r="D506" s="40" t="str">
        <f aca="false">IFERROR(INDEX(المكونات!$B$2:$B$500,MATCH($B506,المكونات!$A$2:$A$500,0)),"")</f>
        <v>قطعة (جلفز)</v>
      </c>
      <c r="E506" s="41" t="n">
        <f aca="false">IFERROR(INDEX(المكونات!$C$2:$C$500,MATCH($B506,المكونات!$A$2:$A$500,0)),"")</f>
        <v>0.18</v>
      </c>
      <c r="F506" s="42" t="n">
        <f aca="false">IFERROR($C506*$E506,"")</f>
        <v>0.36</v>
      </c>
    </row>
    <row r="507" customFormat="false" ht="15" hidden="false" customHeight="true" outlineLevel="0" collapsed="false">
      <c r="A507" s="39" t="s">
        <v>430</v>
      </c>
      <c r="B507" s="39" t="s">
        <v>257</v>
      </c>
      <c r="C507" s="39" t="n">
        <v>1</v>
      </c>
      <c r="D507" s="40" t="str">
        <f aca="false">IFERROR(INDEX(المكونات!$B$2:$B$500,MATCH($B507,المكونات!$A$2:$A$500,0)),"")</f>
        <v>قطعة (كيس)</v>
      </c>
      <c r="E507" s="41" t="n">
        <f aca="false">IFERROR(INDEX(المكونات!$C$2:$C$500,MATCH($B507,المكونات!$A$2:$A$500,0)),"")</f>
        <v>0.9995</v>
      </c>
      <c r="F507" s="42" t="n">
        <f aca="false">IFERROR($C507*$E507,"")</f>
        <v>0.9995</v>
      </c>
    </row>
    <row r="508" customFormat="false" ht="15" hidden="false" customHeight="true" outlineLevel="0" collapsed="false">
      <c r="A508" s="39" t="s">
        <v>430</v>
      </c>
      <c r="B508" s="39" t="s">
        <v>84</v>
      </c>
      <c r="C508" s="39" t="n">
        <v>1</v>
      </c>
      <c r="D508" s="40" t="str">
        <f aca="false">IFERROR(INDEX(المكونات!$B$2:$B$500,MATCH($B508,المكونات!$A$2:$A$500,0)),"")</f>
        <v>قطعة</v>
      </c>
      <c r="E508" s="41" t="n">
        <f aca="false">IFERROR(INDEX(المكونات!$C$2:$C$500,MATCH($B508,المكونات!$A$2:$A$500,0)),"")</f>
        <v>95</v>
      </c>
      <c r="F508" s="42" t="n">
        <f aca="false">IFERROR($C508*$E508,"")</f>
        <v>95</v>
      </c>
    </row>
    <row r="509" customFormat="false" ht="15" hidden="false" customHeight="true" outlineLevel="0" collapsed="false">
      <c r="A509" s="39" t="s">
        <v>419</v>
      </c>
      <c r="B509" s="39" t="s">
        <v>200</v>
      </c>
      <c r="C509" s="39" t="n">
        <v>1.5</v>
      </c>
      <c r="D509" s="40" t="str">
        <f aca="false">IFERROR(INDEX(المكونات!$B$2:$B$500,MATCH($B509,المكونات!$A$2:$A$500,0)),"")</f>
        <v>قطعة</v>
      </c>
      <c r="E509" s="41" t="n">
        <f aca="false">IFERROR(INDEX(المكونات!$C$2:$C$500,MATCH($B509,المكونات!$A$2:$A$500,0)),"")</f>
        <v>4</v>
      </c>
      <c r="F509" s="42" t="n">
        <f aca="false">IFERROR($C509*$E509,"")</f>
        <v>6</v>
      </c>
    </row>
    <row r="510" customFormat="false" ht="15" hidden="false" customHeight="true" outlineLevel="0" collapsed="false">
      <c r="A510" s="39" t="s">
        <v>419</v>
      </c>
      <c r="B510" s="39" t="s">
        <v>196</v>
      </c>
      <c r="C510" s="39" t="n">
        <v>0.045</v>
      </c>
      <c r="D510" s="40" t="str">
        <f aca="false">IFERROR(INDEX(المكونات!$B$2:$B$500,MATCH($B510,المكونات!$A$2:$A$500,0)),"")</f>
        <v>كجم</v>
      </c>
      <c r="E510" s="41" t="n">
        <f aca="false">IFERROR(INDEX(المكونات!$C$2:$C$500,MATCH($B510,المكونات!$A$2:$A$500,0)),"")</f>
        <v>21</v>
      </c>
      <c r="F510" s="42" t="n">
        <f aca="false">IFERROR($C510*$E510,"")</f>
        <v>0.945</v>
      </c>
    </row>
    <row r="511" customFormat="false" ht="15" hidden="false" customHeight="true" outlineLevel="0" collapsed="false">
      <c r="A511" s="39" t="s">
        <v>419</v>
      </c>
      <c r="B511" s="39" t="s">
        <v>219</v>
      </c>
      <c r="C511" s="39" t="n">
        <v>0.03</v>
      </c>
      <c r="D511" s="40" t="str">
        <f aca="false">IFERROR(INDEX(المكونات!$B$2:$B$500,MATCH($B511,المكونات!$A$2:$A$500,0)),"")</f>
        <v>كجم</v>
      </c>
      <c r="E511" s="41" t="n">
        <f aca="false">IFERROR(INDEX(المكونات!$C$2:$C$500,MATCH($B511,المكونات!$A$2:$A$500,0)),"")</f>
        <v>27</v>
      </c>
      <c r="F511" s="42" t="n">
        <f aca="false">IFERROR($C511*$E511,"")</f>
        <v>0.81</v>
      </c>
    </row>
    <row r="512" customFormat="false" ht="15" hidden="false" customHeight="true" outlineLevel="0" collapsed="false">
      <c r="A512" s="39" t="s">
        <v>419</v>
      </c>
      <c r="B512" s="39" t="s">
        <v>162</v>
      </c>
      <c r="C512" s="39" t="n">
        <v>0.03</v>
      </c>
      <c r="D512" s="40" t="str">
        <f aca="false">IFERROR(INDEX(المكونات!$B$2:$B$500,MATCH($B512,المكونات!$A$2:$A$500,0)),"")</f>
        <v>كجم</v>
      </c>
      <c r="E512" s="41" t="n">
        <f aca="false">IFERROR(INDEX(المكونات!$C$2:$C$500,MATCH($B512,المكونات!$A$2:$A$500,0)),"")</f>
        <v>95</v>
      </c>
      <c r="F512" s="42" t="n">
        <f aca="false">IFERROR($C512*$E512,"")</f>
        <v>2.85</v>
      </c>
    </row>
    <row r="513" customFormat="false" ht="15" hidden="false" customHeight="true" outlineLevel="0" collapsed="false">
      <c r="A513" s="39" t="s">
        <v>419</v>
      </c>
      <c r="B513" s="39" t="s">
        <v>112</v>
      </c>
      <c r="C513" s="39" t="n">
        <v>1</v>
      </c>
      <c r="D513" s="40" t="str">
        <f aca="false">IFERROR(INDEX(المكونات!$B$2:$B$500,MATCH($B513,المكونات!$A$2:$A$500,0)),"")</f>
        <v>قطعة</v>
      </c>
      <c r="E513" s="41" t="n">
        <f aca="false">IFERROR(INDEX(المكونات!$C$2:$C$500,MATCH($B513,المكونات!$A$2:$A$500,0)),"")</f>
        <v>25</v>
      </c>
      <c r="F513" s="42" t="n">
        <f aca="false">IFERROR($C513*$E513,"")</f>
        <v>25</v>
      </c>
    </row>
    <row r="514" customFormat="false" ht="15" hidden="false" customHeight="true" outlineLevel="0" collapsed="false">
      <c r="A514" s="39" t="s">
        <v>419</v>
      </c>
      <c r="B514" s="39" t="s">
        <v>204</v>
      </c>
      <c r="C514" s="39" t="n">
        <v>1</v>
      </c>
      <c r="D514" s="40" t="str">
        <f aca="false">IFERROR(INDEX(المكونات!$B$2:$B$500,MATCH($B514,المكونات!$A$2:$A$500,0)),"")</f>
        <v>قطعة</v>
      </c>
      <c r="E514" s="41" t="n">
        <f aca="false">IFERROR(INDEX(المكونات!$C$2:$C$500,MATCH($B514,المكونات!$A$2:$A$500,0)),"")</f>
        <v>5.5</v>
      </c>
      <c r="F514" s="42" t="n">
        <f aca="false">IFERROR($C514*$E514,"")</f>
        <v>5.5</v>
      </c>
    </row>
    <row r="515" customFormat="false" ht="15" hidden="false" customHeight="true" outlineLevel="0" collapsed="false">
      <c r="A515" s="39" t="s">
        <v>419</v>
      </c>
      <c r="B515" s="39" t="s">
        <v>225</v>
      </c>
      <c r="C515" s="39" t="n">
        <v>3</v>
      </c>
      <c r="D515" s="40" t="str">
        <f aca="false">IFERROR(INDEX(المكونات!$B$2:$B$500,MATCH($B515,المكونات!$A$2:$A$500,0)),"")</f>
        <v>قطعة</v>
      </c>
      <c r="E515" s="41" t="n">
        <f aca="false">IFERROR(INDEX(المكونات!$C$2:$C$500,MATCH($B515,المكونات!$A$2:$A$500,0)),"")</f>
        <v>0.3</v>
      </c>
      <c r="F515" s="42" t="n">
        <f aca="false">IFERROR($C515*$E515,"")</f>
        <v>0.9</v>
      </c>
    </row>
    <row r="516" customFormat="false" ht="15" hidden="false" customHeight="true" outlineLevel="0" collapsed="false">
      <c r="A516" s="39" t="s">
        <v>419</v>
      </c>
      <c r="B516" s="39" t="s">
        <v>254</v>
      </c>
      <c r="C516" s="39" t="n">
        <v>1</v>
      </c>
      <c r="D516" s="40" t="str">
        <f aca="false">IFERROR(INDEX(المكونات!$B$2:$B$500,MATCH($B516,المكونات!$A$2:$A$500,0)),"")</f>
        <v>قطعة (ورقة)</v>
      </c>
      <c r="E516" s="41" t="n">
        <f aca="false">IFERROR(INDEX(المكونات!$C$2:$C$500,MATCH($B516,المكونات!$A$2:$A$500,0)),"")</f>
        <v>0.3665</v>
      </c>
      <c r="F516" s="42" t="n">
        <f aca="false">IFERROR($C516*$E516,"")</f>
        <v>0.3665</v>
      </c>
    </row>
    <row r="517" customFormat="false" ht="15" hidden="false" customHeight="true" outlineLevel="0" collapsed="false">
      <c r="A517" s="39" t="s">
        <v>419</v>
      </c>
      <c r="B517" s="39" t="s">
        <v>67</v>
      </c>
      <c r="C517" s="39" t="n">
        <v>1</v>
      </c>
      <c r="D517" s="40" t="str">
        <f aca="false">IFERROR(INDEX(المكونات!$B$2:$B$500,MATCH($B517,المكونات!$A$2:$A$500,0)),"")</f>
        <v>قطعة (كيس)</v>
      </c>
      <c r="E517" s="41" t="n">
        <f aca="false">IFERROR(INDEX(المكونات!$C$2:$C$500,MATCH($B517,المكونات!$A$2:$A$500,0)),"")</f>
        <v>1.4</v>
      </c>
      <c r="F517" s="42" t="n">
        <f aca="false">IFERROR($C517*$E517,"")</f>
        <v>1.4</v>
      </c>
    </row>
    <row r="518" customFormat="false" ht="15" hidden="false" customHeight="true" outlineLevel="0" collapsed="false">
      <c r="A518" s="39" t="s">
        <v>419</v>
      </c>
      <c r="B518" s="39" t="s">
        <v>228</v>
      </c>
      <c r="C518" s="39" t="n">
        <v>1</v>
      </c>
      <c r="D518" s="40" t="str">
        <f aca="false">IFERROR(INDEX(المكونات!$B$2:$B$500,MATCH($B518,المكونات!$A$2:$A$500,0)),"")</f>
        <v>قطعة</v>
      </c>
      <c r="E518" s="41" t="n">
        <f aca="false">IFERROR(INDEX(المكونات!$C$2:$C$500,MATCH($B518,المكونات!$A$2:$A$500,0)),"")</f>
        <v>0.5</v>
      </c>
      <c r="F518" s="42" t="n">
        <f aca="false">IFERROR($C518*$E518,"")</f>
        <v>0.5</v>
      </c>
    </row>
    <row r="519" customFormat="false" ht="15" hidden="false" customHeight="true" outlineLevel="0" collapsed="false">
      <c r="A519" s="39" t="s">
        <v>419</v>
      </c>
      <c r="B519" s="39" t="s">
        <v>145</v>
      </c>
      <c r="C519" s="39" t="n">
        <v>2</v>
      </c>
      <c r="D519" s="40" t="str">
        <f aca="false">IFERROR(INDEX(المكونات!$B$2:$B$500,MATCH($B519,المكونات!$A$2:$A$500,0)),"")</f>
        <v>قطعة (جلفز)</v>
      </c>
      <c r="E519" s="41" t="n">
        <f aca="false">IFERROR(INDEX(المكونات!$C$2:$C$500,MATCH($B519,المكونات!$A$2:$A$500,0)),"")</f>
        <v>0.18</v>
      </c>
      <c r="F519" s="42" t="n">
        <f aca="false">IFERROR($C519*$E519,"")</f>
        <v>0.36</v>
      </c>
    </row>
    <row r="520" customFormat="false" ht="15" hidden="false" customHeight="true" outlineLevel="0" collapsed="false">
      <c r="A520" s="39" t="s">
        <v>419</v>
      </c>
      <c r="B520" s="39" t="s">
        <v>257</v>
      </c>
      <c r="C520" s="39" t="n">
        <v>1</v>
      </c>
      <c r="D520" s="40" t="str">
        <f aca="false">IFERROR(INDEX(المكونات!$B$2:$B$500,MATCH($B520,المكونات!$A$2:$A$500,0)),"")</f>
        <v>قطعة (كيس)</v>
      </c>
      <c r="E520" s="41" t="n">
        <f aca="false">IFERROR(INDEX(المكونات!$C$2:$C$500,MATCH($B520,المكونات!$A$2:$A$500,0)),"")</f>
        <v>0.9995</v>
      </c>
      <c r="F520" s="42" t="n">
        <f aca="false">IFERROR($C520*$E520,"")</f>
        <v>0.9995</v>
      </c>
    </row>
    <row r="521" customFormat="false" ht="15" hidden="false" customHeight="true" outlineLevel="0" collapsed="false">
      <c r="A521" s="39" t="s">
        <v>419</v>
      </c>
      <c r="B521" s="39" t="s">
        <v>84</v>
      </c>
      <c r="C521" s="39" t="n">
        <v>1.5</v>
      </c>
      <c r="D521" s="40" t="str">
        <f aca="false">IFERROR(INDEX(المكونات!$B$2:$B$500,MATCH($B521,المكونات!$A$2:$A$500,0)),"")</f>
        <v>قطعة</v>
      </c>
      <c r="E521" s="41" t="n">
        <f aca="false">IFERROR(INDEX(المكونات!$C$2:$C$500,MATCH($B521,المكونات!$A$2:$A$500,0)),"")</f>
        <v>95</v>
      </c>
      <c r="F521" s="42" t="n">
        <f aca="false">IFERROR($C521*$E521,"")</f>
        <v>142.5</v>
      </c>
    </row>
    <row r="522" customFormat="false" ht="15" hidden="false" customHeight="true" outlineLevel="0" collapsed="false">
      <c r="A522" s="39" t="s">
        <v>375</v>
      </c>
      <c r="B522" s="39" t="s">
        <v>200</v>
      </c>
      <c r="C522" s="39" t="n">
        <v>1</v>
      </c>
      <c r="D522" s="40" t="str">
        <f aca="false">IFERROR(INDEX(المكونات!$B$2:$B$500,MATCH($B522,المكونات!$A$2:$A$500,0)),"")</f>
        <v>قطعة</v>
      </c>
      <c r="E522" s="41" t="n">
        <f aca="false">IFERROR(INDEX(المكونات!$C$2:$C$500,MATCH($B522,المكونات!$A$2:$A$500,0)),"")</f>
        <v>4</v>
      </c>
      <c r="F522" s="42" t="n">
        <f aca="false">IFERROR($C522*$E522,"")</f>
        <v>4</v>
      </c>
    </row>
    <row r="523" customFormat="false" ht="15" hidden="false" customHeight="true" outlineLevel="0" collapsed="false">
      <c r="A523" s="39" t="s">
        <v>375</v>
      </c>
      <c r="B523" s="39" t="s">
        <v>196</v>
      </c>
      <c r="C523" s="39" t="n">
        <v>0.03</v>
      </c>
      <c r="D523" s="40" t="str">
        <f aca="false">IFERROR(INDEX(المكونات!$B$2:$B$500,MATCH($B523,المكونات!$A$2:$A$500,0)),"")</f>
        <v>كجم</v>
      </c>
      <c r="E523" s="41" t="n">
        <f aca="false">IFERROR(INDEX(المكونات!$C$2:$C$500,MATCH($B523,المكونات!$A$2:$A$500,0)),"")</f>
        <v>21</v>
      </c>
      <c r="F523" s="42" t="n">
        <f aca="false">IFERROR($C523*$E523,"")</f>
        <v>0.63</v>
      </c>
    </row>
    <row r="524" customFormat="false" ht="15" hidden="false" customHeight="true" outlineLevel="0" collapsed="false">
      <c r="A524" s="39" t="s">
        <v>375</v>
      </c>
      <c r="B524" s="39" t="s">
        <v>219</v>
      </c>
      <c r="C524" s="39" t="n">
        <v>0.02</v>
      </c>
      <c r="D524" s="40" t="str">
        <f aca="false">IFERROR(INDEX(المكونات!$B$2:$B$500,MATCH($B524,المكونات!$A$2:$A$500,0)),"")</f>
        <v>كجم</v>
      </c>
      <c r="E524" s="41" t="n">
        <f aca="false">IFERROR(INDEX(المكونات!$C$2:$C$500,MATCH($B524,المكونات!$A$2:$A$500,0)),"")</f>
        <v>27</v>
      </c>
      <c r="F524" s="42" t="n">
        <f aca="false">IFERROR($C524*$E524,"")</f>
        <v>0.54</v>
      </c>
    </row>
    <row r="525" customFormat="false" ht="15" hidden="false" customHeight="true" outlineLevel="0" collapsed="false">
      <c r="A525" s="39" t="s">
        <v>375</v>
      </c>
      <c r="B525" s="39" t="s">
        <v>162</v>
      </c>
      <c r="C525" s="39" t="n">
        <v>0.02</v>
      </c>
      <c r="D525" s="40" t="str">
        <f aca="false">IFERROR(INDEX(المكونات!$B$2:$B$500,MATCH($B525,المكونات!$A$2:$A$500,0)),"")</f>
        <v>كجم</v>
      </c>
      <c r="E525" s="41" t="n">
        <f aca="false">IFERROR(INDEX(المكونات!$C$2:$C$500,MATCH($B525,المكونات!$A$2:$A$500,0)),"")</f>
        <v>95</v>
      </c>
      <c r="F525" s="42" t="n">
        <f aca="false">IFERROR($C525*$E525,"")</f>
        <v>1.9</v>
      </c>
    </row>
    <row r="526" customFormat="false" ht="15" hidden="false" customHeight="true" outlineLevel="0" collapsed="false">
      <c r="A526" s="39" t="s">
        <v>375</v>
      </c>
      <c r="B526" s="39" t="s">
        <v>110</v>
      </c>
      <c r="C526" s="39" t="n">
        <v>1</v>
      </c>
      <c r="D526" s="40" t="str">
        <f aca="false">IFERROR(INDEX(المكونات!$B$2:$B$500,MATCH($B526,المكونات!$A$2:$A$500,0)),"")</f>
        <v>قطعة</v>
      </c>
      <c r="E526" s="41" t="n">
        <f aca="false">IFERROR(INDEX(المكونات!$C$2:$C$500,MATCH($B526,المكونات!$A$2:$A$500,0)),"")</f>
        <v>17.5</v>
      </c>
      <c r="F526" s="42" t="n">
        <f aca="false">IFERROR($C526*$E526,"")</f>
        <v>17.5</v>
      </c>
    </row>
    <row r="527" customFormat="false" ht="15" hidden="false" customHeight="true" outlineLevel="0" collapsed="false">
      <c r="A527" s="39" t="s">
        <v>375</v>
      </c>
      <c r="B527" s="39" t="s">
        <v>206</v>
      </c>
      <c r="C527" s="39" t="n">
        <v>1</v>
      </c>
      <c r="D527" s="40" t="str">
        <f aca="false">IFERROR(INDEX(المكونات!$B$2:$B$500,MATCH($B527,المكونات!$A$2:$A$500,0)),"")</f>
        <v>قطعة</v>
      </c>
      <c r="E527" s="41" t="n">
        <f aca="false">IFERROR(INDEX(المكونات!$C$2:$C$500,MATCH($B527,المكونات!$A$2:$A$500,0)),"")</f>
        <v>4.5</v>
      </c>
      <c r="F527" s="42" t="n">
        <f aca="false">IFERROR($C527*$E527,"")</f>
        <v>4.5</v>
      </c>
    </row>
    <row r="528" customFormat="false" ht="15" hidden="false" customHeight="true" outlineLevel="0" collapsed="false">
      <c r="A528" s="39" t="s">
        <v>375</v>
      </c>
      <c r="B528" s="39" t="s">
        <v>225</v>
      </c>
      <c r="C528" s="39" t="n">
        <v>2</v>
      </c>
      <c r="D528" s="40" t="str">
        <f aca="false">IFERROR(INDEX(المكونات!$B$2:$B$500,MATCH($B528,المكونات!$A$2:$A$500,0)),"")</f>
        <v>قطعة</v>
      </c>
      <c r="E528" s="41" t="n">
        <f aca="false">IFERROR(INDEX(المكونات!$C$2:$C$500,MATCH($B528,المكونات!$A$2:$A$500,0)),"")</f>
        <v>0.3</v>
      </c>
      <c r="F528" s="42" t="n">
        <f aca="false">IFERROR($C528*$E528,"")</f>
        <v>0.6</v>
      </c>
    </row>
    <row r="529" customFormat="false" ht="15" hidden="false" customHeight="true" outlineLevel="0" collapsed="false">
      <c r="A529" s="39" t="s">
        <v>375</v>
      </c>
      <c r="B529" s="39" t="s">
        <v>254</v>
      </c>
      <c r="C529" s="39" t="n">
        <v>1</v>
      </c>
      <c r="D529" s="40" t="str">
        <f aca="false">IFERROR(INDEX(المكونات!$B$2:$B$500,MATCH($B529,المكونات!$A$2:$A$500,0)),"")</f>
        <v>قطعة (ورقة)</v>
      </c>
      <c r="E529" s="41" t="n">
        <f aca="false">IFERROR(INDEX(المكونات!$C$2:$C$500,MATCH($B529,المكونات!$A$2:$A$500,0)),"")</f>
        <v>0.3665</v>
      </c>
      <c r="F529" s="42" t="n">
        <f aca="false">IFERROR($C529*$E529,"")</f>
        <v>0.3665</v>
      </c>
    </row>
    <row r="530" customFormat="false" ht="15" hidden="false" customHeight="true" outlineLevel="0" collapsed="false">
      <c r="A530" s="39" t="s">
        <v>375</v>
      </c>
      <c r="B530" s="39" t="s">
        <v>67</v>
      </c>
      <c r="C530" s="39" t="n">
        <v>1</v>
      </c>
      <c r="D530" s="40" t="str">
        <f aca="false">IFERROR(INDEX(المكونات!$B$2:$B$500,MATCH($B530,المكونات!$A$2:$A$500,0)),"")</f>
        <v>قطعة (كيس)</v>
      </c>
      <c r="E530" s="41" t="n">
        <f aca="false">IFERROR(INDEX(المكونات!$C$2:$C$500,MATCH($B530,المكونات!$A$2:$A$500,0)),"")</f>
        <v>1.4</v>
      </c>
      <c r="F530" s="42" t="n">
        <f aca="false">IFERROR($C530*$E530,"")</f>
        <v>1.4</v>
      </c>
    </row>
    <row r="531" customFormat="false" ht="15" hidden="false" customHeight="true" outlineLevel="0" collapsed="false">
      <c r="A531" s="39" t="s">
        <v>375</v>
      </c>
      <c r="B531" s="39" t="s">
        <v>228</v>
      </c>
      <c r="C531" s="39" t="n">
        <v>1</v>
      </c>
      <c r="D531" s="40" t="str">
        <f aca="false">IFERROR(INDEX(المكونات!$B$2:$B$500,MATCH($B531,المكونات!$A$2:$A$500,0)),"")</f>
        <v>قطعة</v>
      </c>
      <c r="E531" s="41" t="n">
        <f aca="false">IFERROR(INDEX(المكونات!$C$2:$C$500,MATCH($B531,المكونات!$A$2:$A$500,0)),"")</f>
        <v>0.5</v>
      </c>
      <c r="F531" s="42" t="n">
        <f aca="false">IFERROR($C531*$E531,"")</f>
        <v>0.5</v>
      </c>
    </row>
    <row r="532" customFormat="false" ht="15" hidden="false" customHeight="true" outlineLevel="0" collapsed="false">
      <c r="A532" s="39" t="s">
        <v>375</v>
      </c>
      <c r="B532" s="39" t="s">
        <v>145</v>
      </c>
      <c r="C532" s="39" t="n">
        <v>2</v>
      </c>
      <c r="D532" s="40" t="str">
        <f aca="false">IFERROR(INDEX(المكونات!$B$2:$B$500,MATCH($B532,المكونات!$A$2:$A$500,0)),"")</f>
        <v>قطعة (جلفز)</v>
      </c>
      <c r="E532" s="41" t="n">
        <f aca="false">IFERROR(INDEX(المكونات!$C$2:$C$500,MATCH($B532,المكونات!$A$2:$A$500,0)),"")</f>
        <v>0.18</v>
      </c>
      <c r="F532" s="42" t="n">
        <f aca="false">IFERROR($C532*$E532,"")</f>
        <v>0.36</v>
      </c>
    </row>
    <row r="533" customFormat="false" ht="15" hidden="false" customHeight="true" outlineLevel="0" collapsed="false">
      <c r="A533" s="39" t="s">
        <v>375</v>
      </c>
      <c r="B533" s="39" t="s">
        <v>257</v>
      </c>
      <c r="C533" s="39" t="n">
        <v>1</v>
      </c>
      <c r="D533" s="40" t="str">
        <f aca="false">IFERROR(INDEX(المكونات!$B$2:$B$500,MATCH($B533,المكونات!$A$2:$A$500,0)),"")</f>
        <v>قطعة (كيس)</v>
      </c>
      <c r="E533" s="41" t="n">
        <f aca="false">IFERROR(INDEX(المكونات!$C$2:$C$500,MATCH($B533,المكونات!$A$2:$A$500,0)),"")</f>
        <v>0.9995</v>
      </c>
      <c r="F533" s="42" t="n">
        <f aca="false">IFERROR($C533*$E533,"")</f>
        <v>0.9995</v>
      </c>
    </row>
    <row r="534" customFormat="false" ht="15" hidden="false" customHeight="true" outlineLevel="0" collapsed="false">
      <c r="A534" s="39" t="s">
        <v>375</v>
      </c>
      <c r="B534" s="39" t="s">
        <v>96</v>
      </c>
      <c r="C534" s="39" t="n">
        <v>1</v>
      </c>
      <c r="D534" s="40" t="str">
        <f aca="false">IFERROR(INDEX(المكونات!$B$2:$B$500,MATCH($B534,المكونات!$A$2:$A$500,0)),"")</f>
        <v>قطعة</v>
      </c>
      <c r="E534" s="41" t="n">
        <f aca="false">IFERROR(INDEX(المكونات!$C$2:$C$500,MATCH($B534,المكونات!$A$2:$A$500,0)),"")</f>
        <v>30</v>
      </c>
      <c r="F534" s="42" t="n">
        <f aca="false">IFERROR($C534*$E534,"")</f>
        <v>30</v>
      </c>
    </row>
    <row r="535" customFormat="false" ht="15" hidden="false" customHeight="true" outlineLevel="0" collapsed="false">
      <c r="A535" s="39" t="s">
        <v>375</v>
      </c>
      <c r="B535" s="39" t="s">
        <v>192</v>
      </c>
      <c r="C535" s="39" t="n">
        <v>0.1</v>
      </c>
      <c r="D535" s="40" t="str">
        <f aca="false">IFERROR(INDEX(المكونات!$B$2:$B$500,MATCH($B535,المكونات!$A$2:$A$500,0)),"")</f>
        <v>كجم</v>
      </c>
      <c r="E535" s="41" t="n">
        <f aca="false">IFERROR(INDEX(المكونات!$C$2:$C$500,MATCH($B535,المكونات!$A$2:$A$500,0)),"")</f>
        <v>105</v>
      </c>
      <c r="F535" s="42" t="n">
        <f aca="false">IFERROR($C535*$E535,"")</f>
        <v>10.5</v>
      </c>
    </row>
    <row r="536" customFormat="false" ht="15" hidden="false" customHeight="true" outlineLevel="0" collapsed="false">
      <c r="A536" s="39" t="s">
        <v>322</v>
      </c>
      <c r="B536" s="39" t="s">
        <v>200</v>
      </c>
      <c r="C536" s="39" t="n">
        <v>1.5</v>
      </c>
      <c r="D536" s="40" t="str">
        <f aca="false">IFERROR(INDEX(المكونات!$B$2:$B$500,MATCH($B536,المكونات!$A$2:$A$500,0)),"")</f>
        <v>قطعة</v>
      </c>
      <c r="E536" s="41" t="n">
        <f aca="false">IFERROR(INDEX(المكونات!$C$2:$C$500,MATCH($B536,المكونات!$A$2:$A$500,0)),"")</f>
        <v>4</v>
      </c>
      <c r="F536" s="42" t="n">
        <f aca="false">IFERROR($C536*$E536,"")</f>
        <v>6</v>
      </c>
    </row>
    <row r="537" customFormat="false" ht="15" hidden="false" customHeight="true" outlineLevel="0" collapsed="false">
      <c r="A537" s="39" t="s">
        <v>322</v>
      </c>
      <c r="B537" s="39" t="s">
        <v>196</v>
      </c>
      <c r="C537" s="39" t="n">
        <v>0.045</v>
      </c>
      <c r="D537" s="40" t="str">
        <f aca="false">IFERROR(INDEX(المكونات!$B$2:$B$500,MATCH($B537,المكونات!$A$2:$A$500,0)),"")</f>
        <v>كجم</v>
      </c>
      <c r="E537" s="41" t="n">
        <f aca="false">IFERROR(INDEX(المكونات!$C$2:$C$500,MATCH($B537,المكونات!$A$2:$A$500,0)),"")</f>
        <v>21</v>
      </c>
      <c r="F537" s="42" t="n">
        <f aca="false">IFERROR($C537*$E537,"")</f>
        <v>0.945</v>
      </c>
    </row>
    <row r="538" customFormat="false" ht="15" hidden="false" customHeight="true" outlineLevel="0" collapsed="false">
      <c r="A538" s="39" t="s">
        <v>322</v>
      </c>
      <c r="B538" s="39" t="s">
        <v>219</v>
      </c>
      <c r="C538" s="39" t="n">
        <v>0.03</v>
      </c>
      <c r="D538" s="40" t="str">
        <f aca="false">IFERROR(INDEX(المكونات!$B$2:$B$500,MATCH($B538,المكونات!$A$2:$A$500,0)),"")</f>
        <v>كجم</v>
      </c>
      <c r="E538" s="41" t="n">
        <f aca="false">IFERROR(INDEX(المكونات!$C$2:$C$500,MATCH($B538,المكونات!$A$2:$A$500,0)),"")</f>
        <v>27</v>
      </c>
      <c r="F538" s="42" t="n">
        <f aca="false">IFERROR($C538*$E538,"")</f>
        <v>0.81</v>
      </c>
    </row>
    <row r="539" customFormat="false" ht="15" hidden="false" customHeight="true" outlineLevel="0" collapsed="false">
      <c r="A539" s="39" t="s">
        <v>322</v>
      </c>
      <c r="B539" s="39" t="s">
        <v>162</v>
      </c>
      <c r="C539" s="39" t="n">
        <v>0.03</v>
      </c>
      <c r="D539" s="40" t="str">
        <f aca="false">IFERROR(INDEX(المكونات!$B$2:$B$500,MATCH($B539,المكونات!$A$2:$A$500,0)),"")</f>
        <v>كجم</v>
      </c>
      <c r="E539" s="41" t="n">
        <f aca="false">IFERROR(INDEX(المكونات!$C$2:$C$500,MATCH($B539,المكونات!$A$2:$A$500,0)),"")</f>
        <v>95</v>
      </c>
      <c r="F539" s="42" t="n">
        <f aca="false">IFERROR($C539*$E539,"")</f>
        <v>2.85</v>
      </c>
    </row>
    <row r="540" customFormat="false" ht="15" hidden="false" customHeight="true" outlineLevel="0" collapsed="false">
      <c r="A540" s="39" t="s">
        <v>322</v>
      </c>
      <c r="B540" s="39" t="s">
        <v>112</v>
      </c>
      <c r="C540" s="39" t="n">
        <v>1</v>
      </c>
      <c r="D540" s="40" t="str">
        <f aca="false">IFERROR(INDEX(المكونات!$B$2:$B$500,MATCH($B540,المكونات!$A$2:$A$500,0)),"")</f>
        <v>قطعة</v>
      </c>
      <c r="E540" s="41" t="n">
        <f aca="false">IFERROR(INDEX(المكونات!$C$2:$C$500,MATCH($B540,المكونات!$A$2:$A$500,0)),"")</f>
        <v>25</v>
      </c>
      <c r="F540" s="42" t="n">
        <f aca="false">IFERROR($C540*$E540,"")</f>
        <v>25</v>
      </c>
    </row>
    <row r="541" customFormat="false" ht="15" hidden="false" customHeight="true" outlineLevel="0" collapsed="false">
      <c r="A541" s="39" t="s">
        <v>322</v>
      </c>
      <c r="B541" s="39" t="s">
        <v>204</v>
      </c>
      <c r="C541" s="39" t="n">
        <v>1</v>
      </c>
      <c r="D541" s="40" t="str">
        <f aca="false">IFERROR(INDEX(المكونات!$B$2:$B$500,MATCH($B541,المكونات!$A$2:$A$500,0)),"")</f>
        <v>قطعة</v>
      </c>
      <c r="E541" s="41" t="n">
        <f aca="false">IFERROR(INDEX(المكونات!$C$2:$C$500,MATCH($B541,المكونات!$A$2:$A$500,0)),"")</f>
        <v>5.5</v>
      </c>
      <c r="F541" s="42" t="n">
        <f aca="false">IFERROR($C541*$E541,"")</f>
        <v>5.5</v>
      </c>
    </row>
    <row r="542" customFormat="false" ht="15" hidden="false" customHeight="true" outlineLevel="0" collapsed="false">
      <c r="A542" s="39" t="s">
        <v>322</v>
      </c>
      <c r="B542" s="39" t="s">
        <v>225</v>
      </c>
      <c r="C542" s="39" t="n">
        <v>3</v>
      </c>
      <c r="D542" s="40" t="str">
        <f aca="false">IFERROR(INDEX(المكونات!$B$2:$B$500,MATCH($B542,المكونات!$A$2:$A$500,0)),"")</f>
        <v>قطعة</v>
      </c>
      <c r="E542" s="41" t="n">
        <f aca="false">IFERROR(INDEX(المكونات!$C$2:$C$500,MATCH($B542,المكونات!$A$2:$A$500,0)),"")</f>
        <v>0.3</v>
      </c>
      <c r="F542" s="42" t="n">
        <f aca="false">IFERROR($C542*$E542,"")</f>
        <v>0.9</v>
      </c>
    </row>
    <row r="543" customFormat="false" ht="15" hidden="false" customHeight="true" outlineLevel="0" collapsed="false">
      <c r="A543" s="39" t="s">
        <v>322</v>
      </c>
      <c r="B543" s="39" t="s">
        <v>254</v>
      </c>
      <c r="C543" s="39" t="n">
        <v>1</v>
      </c>
      <c r="D543" s="40" t="str">
        <f aca="false">IFERROR(INDEX(المكونات!$B$2:$B$500,MATCH($B543,المكونات!$A$2:$A$500,0)),"")</f>
        <v>قطعة (ورقة)</v>
      </c>
      <c r="E543" s="41" t="n">
        <f aca="false">IFERROR(INDEX(المكونات!$C$2:$C$500,MATCH($B543,المكونات!$A$2:$A$500,0)),"")</f>
        <v>0.3665</v>
      </c>
      <c r="F543" s="42" t="n">
        <f aca="false">IFERROR($C543*$E543,"")</f>
        <v>0.3665</v>
      </c>
    </row>
    <row r="544" customFormat="false" ht="15" hidden="false" customHeight="true" outlineLevel="0" collapsed="false">
      <c r="A544" s="39" t="s">
        <v>322</v>
      </c>
      <c r="B544" s="39" t="s">
        <v>67</v>
      </c>
      <c r="C544" s="39" t="n">
        <v>1</v>
      </c>
      <c r="D544" s="40" t="str">
        <f aca="false">IFERROR(INDEX(المكونات!$B$2:$B$500,MATCH($B544,المكونات!$A$2:$A$500,0)),"")</f>
        <v>قطعة (كيس)</v>
      </c>
      <c r="E544" s="41" t="n">
        <f aca="false">IFERROR(INDEX(المكونات!$C$2:$C$500,MATCH($B544,المكونات!$A$2:$A$500,0)),"")</f>
        <v>1.4</v>
      </c>
      <c r="F544" s="42" t="n">
        <f aca="false">IFERROR($C544*$E544,"")</f>
        <v>1.4</v>
      </c>
    </row>
    <row r="545" customFormat="false" ht="15" hidden="false" customHeight="true" outlineLevel="0" collapsed="false">
      <c r="A545" s="39" t="s">
        <v>322</v>
      </c>
      <c r="B545" s="39" t="s">
        <v>228</v>
      </c>
      <c r="C545" s="39" t="n">
        <v>1</v>
      </c>
      <c r="D545" s="40" t="str">
        <f aca="false">IFERROR(INDEX(المكونات!$B$2:$B$500,MATCH($B545,المكونات!$A$2:$A$500,0)),"")</f>
        <v>قطعة</v>
      </c>
      <c r="E545" s="41" t="n">
        <f aca="false">IFERROR(INDEX(المكونات!$C$2:$C$500,MATCH($B545,المكونات!$A$2:$A$500,0)),"")</f>
        <v>0.5</v>
      </c>
      <c r="F545" s="42" t="n">
        <f aca="false">IFERROR($C545*$E545,"")</f>
        <v>0.5</v>
      </c>
    </row>
    <row r="546" customFormat="false" ht="15" hidden="false" customHeight="true" outlineLevel="0" collapsed="false">
      <c r="A546" s="39" t="s">
        <v>322</v>
      </c>
      <c r="B546" s="39" t="s">
        <v>145</v>
      </c>
      <c r="C546" s="39" t="n">
        <v>2</v>
      </c>
      <c r="D546" s="40" t="str">
        <f aca="false">IFERROR(INDEX(المكونات!$B$2:$B$500,MATCH($B546,المكونات!$A$2:$A$500,0)),"")</f>
        <v>قطعة (جلفز)</v>
      </c>
      <c r="E546" s="41" t="n">
        <f aca="false">IFERROR(INDEX(المكونات!$C$2:$C$500,MATCH($B546,المكونات!$A$2:$A$500,0)),"")</f>
        <v>0.18</v>
      </c>
      <c r="F546" s="42" t="n">
        <f aca="false">IFERROR($C546*$E546,"")</f>
        <v>0.36</v>
      </c>
    </row>
    <row r="547" customFormat="false" ht="15" hidden="false" customHeight="true" outlineLevel="0" collapsed="false">
      <c r="A547" s="39" t="s">
        <v>322</v>
      </c>
      <c r="B547" s="39" t="s">
        <v>257</v>
      </c>
      <c r="C547" s="39" t="n">
        <v>1</v>
      </c>
      <c r="D547" s="40" t="str">
        <f aca="false">IFERROR(INDEX(المكونات!$B$2:$B$500,MATCH($B547,المكونات!$A$2:$A$500,0)),"")</f>
        <v>قطعة (كيس)</v>
      </c>
      <c r="E547" s="41" t="n">
        <f aca="false">IFERROR(INDEX(المكونات!$C$2:$C$500,MATCH($B547,المكونات!$A$2:$A$500,0)),"")</f>
        <v>0.9995</v>
      </c>
      <c r="F547" s="42" t="n">
        <f aca="false">IFERROR($C547*$E547,"")</f>
        <v>0.9995</v>
      </c>
    </row>
    <row r="548" customFormat="false" ht="15" hidden="false" customHeight="true" outlineLevel="0" collapsed="false">
      <c r="A548" s="39" t="s">
        <v>322</v>
      </c>
      <c r="B548" s="39" t="s">
        <v>98</v>
      </c>
      <c r="C548" s="39" t="n">
        <v>1</v>
      </c>
      <c r="D548" s="40" t="str">
        <f aca="false">IFERROR(INDEX(المكونات!$B$2:$B$500,MATCH($B548,المكونات!$A$2:$A$500,0)),"")</f>
        <v>قطعة</v>
      </c>
      <c r="E548" s="41" t="n">
        <f aca="false">IFERROR(INDEX(المكونات!$C$2:$C$500,MATCH($B548,المكونات!$A$2:$A$500,0)),"")</f>
        <v>29</v>
      </c>
      <c r="F548" s="42" t="n">
        <f aca="false">IFERROR($C548*$E548,"")</f>
        <v>29</v>
      </c>
    </row>
    <row r="549" customFormat="false" ht="15" hidden="false" customHeight="true" outlineLevel="0" collapsed="false">
      <c r="A549" s="39" t="s">
        <v>322</v>
      </c>
      <c r="B549" s="39" t="s">
        <v>192</v>
      </c>
      <c r="C549" s="39" t="n">
        <v>0.15</v>
      </c>
      <c r="D549" s="40" t="str">
        <f aca="false">IFERROR(INDEX(المكونات!$B$2:$B$500,MATCH($B549,المكونات!$A$2:$A$500,0)),"")</f>
        <v>كجم</v>
      </c>
      <c r="E549" s="41" t="n">
        <f aca="false">IFERROR(INDEX(المكونات!$C$2:$C$500,MATCH($B549,المكونات!$A$2:$A$500,0)),"")</f>
        <v>105</v>
      </c>
      <c r="F549" s="42" t="n">
        <f aca="false">IFERROR($C549*$E549,"")</f>
        <v>15.75</v>
      </c>
    </row>
    <row r="550" customFormat="false" ht="15" hidden="false" customHeight="true" outlineLevel="0" collapsed="false">
      <c r="A550" s="39" t="s">
        <v>389</v>
      </c>
      <c r="B550" s="39" t="s">
        <v>200</v>
      </c>
      <c r="C550" s="39" t="n">
        <v>1</v>
      </c>
      <c r="D550" s="40" t="str">
        <f aca="false">IFERROR(INDEX(المكونات!$B$2:$B$500,MATCH($B550,المكونات!$A$2:$A$500,0)),"")</f>
        <v>قطعة</v>
      </c>
      <c r="E550" s="41" t="n">
        <f aca="false">IFERROR(INDEX(المكونات!$C$2:$C$500,MATCH($B550,المكونات!$A$2:$A$500,0)),"")</f>
        <v>4</v>
      </c>
      <c r="F550" s="42" t="n">
        <f aca="false">IFERROR($C550*$E550,"")</f>
        <v>4</v>
      </c>
    </row>
    <row r="551" customFormat="false" ht="15" hidden="false" customHeight="true" outlineLevel="0" collapsed="false">
      <c r="A551" s="39" t="s">
        <v>389</v>
      </c>
      <c r="B551" s="39" t="s">
        <v>196</v>
      </c>
      <c r="C551" s="39" t="n">
        <v>0.03</v>
      </c>
      <c r="D551" s="40" t="str">
        <f aca="false">IFERROR(INDEX(المكونات!$B$2:$B$500,MATCH($B551,المكونات!$A$2:$A$500,0)),"")</f>
        <v>كجم</v>
      </c>
      <c r="E551" s="41" t="n">
        <f aca="false">IFERROR(INDEX(المكونات!$C$2:$C$500,MATCH($B551,المكونات!$A$2:$A$500,0)),"")</f>
        <v>21</v>
      </c>
      <c r="F551" s="42" t="n">
        <f aca="false">IFERROR($C551*$E551,"")</f>
        <v>0.63</v>
      </c>
    </row>
    <row r="552" customFormat="false" ht="15" hidden="false" customHeight="true" outlineLevel="0" collapsed="false">
      <c r="A552" s="39" t="s">
        <v>389</v>
      </c>
      <c r="B552" s="39" t="s">
        <v>219</v>
      </c>
      <c r="C552" s="39" t="n">
        <v>0.02</v>
      </c>
      <c r="D552" s="40" t="str">
        <f aca="false">IFERROR(INDEX(المكونات!$B$2:$B$500,MATCH($B552,المكونات!$A$2:$A$500,0)),"")</f>
        <v>كجم</v>
      </c>
      <c r="E552" s="41" t="n">
        <f aca="false">IFERROR(INDEX(المكونات!$C$2:$C$500,MATCH($B552,المكونات!$A$2:$A$500,0)),"")</f>
        <v>27</v>
      </c>
      <c r="F552" s="42" t="n">
        <f aca="false">IFERROR($C552*$E552,"")</f>
        <v>0.54</v>
      </c>
    </row>
    <row r="553" customFormat="false" ht="15" hidden="false" customHeight="true" outlineLevel="0" collapsed="false">
      <c r="A553" s="39" t="s">
        <v>389</v>
      </c>
      <c r="B553" s="39" t="s">
        <v>162</v>
      </c>
      <c r="C553" s="39" t="n">
        <v>0.02</v>
      </c>
      <c r="D553" s="40" t="str">
        <f aca="false">IFERROR(INDEX(المكونات!$B$2:$B$500,MATCH($B553,المكونات!$A$2:$A$500,0)),"")</f>
        <v>كجم</v>
      </c>
      <c r="E553" s="41" t="n">
        <f aca="false">IFERROR(INDEX(المكونات!$C$2:$C$500,MATCH($B553,المكونات!$A$2:$A$500,0)),"")</f>
        <v>95</v>
      </c>
      <c r="F553" s="42" t="n">
        <f aca="false">IFERROR($C553*$E553,"")</f>
        <v>1.9</v>
      </c>
    </row>
    <row r="554" customFormat="false" ht="15" hidden="false" customHeight="true" outlineLevel="0" collapsed="false">
      <c r="A554" s="39" t="s">
        <v>389</v>
      </c>
      <c r="B554" s="39" t="s">
        <v>110</v>
      </c>
      <c r="C554" s="39" t="n">
        <v>1</v>
      </c>
      <c r="D554" s="40" t="str">
        <f aca="false">IFERROR(INDEX(المكونات!$B$2:$B$500,MATCH($B554,المكونات!$A$2:$A$500,0)),"")</f>
        <v>قطعة</v>
      </c>
      <c r="E554" s="41" t="n">
        <f aca="false">IFERROR(INDEX(المكونات!$C$2:$C$500,MATCH($B554,المكونات!$A$2:$A$500,0)),"")</f>
        <v>17.5</v>
      </c>
      <c r="F554" s="42" t="n">
        <f aca="false">IFERROR($C554*$E554,"")</f>
        <v>17.5</v>
      </c>
    </row>
    <row r="555" customFormat="false" ht="15" hidden="false" customHeight="true" outlineLevel="0" collapsed="false">
      <c r="A555" s="39" t="s">
        <v>389</v>
      </c>
      <c r="B555" s="39" t="s">
        <v>206</v>
      </c>
      <c r="C555" s="39" t="n">
        <v>1</v>
      </c>
      <c r="D555" s="40" t="str">
        <f aca="false">IFERROR(INDEX(المكونات!$B$2:$B$500,MATCH($B555,المكونات!$A$2:$A$500,0)),"")</f>
        <v>قطعة</v>
      </c>
      <c r="E555" s="41" t="n">
        <f aca="false">IFERROR(INDEX(المكونات!$C$2:$C$500,MATCH($B555,المكونات!$A$2:$A$500,0)),"")</f>
        <v>4.5</v>
      </c>
      <c r="F555" s="42" t="n">
        <f aca="false">IFERROR($C555*$E555,"")</f>
        <v>4.5</v>
      </c>
    </row>
    <row r="556" customFormat="false" ht="15" hidden="false" customHeight="true" outlineLevel="0" collapsed="false">
      <c r="A556" s="39" t="s">
        <v>389</v>
      </c>
      <c r="B556" s="39" t="s">
        <v>225</v>
      </c>
      <c r="C556" s="39" t="n">
        <v>2</v>
      </c>
      <c r="D556" s="40" t="str">
        <f aca="false">IFERROR(INDEX(المكونات!$B$2:$B$500,MATCH($B556,المكونات!$A$2:$A$500,0)),"")</f>
        <v>قطعة</v>
      </c>
      <c r="E556" s="41" t="n">
        <f aca="false">IFERROR(INDEX(المكونات!$C$2:$C$500,MATCH($B556,المكونات!$A$2:$A$500,0)),"")</f>
        <v>0.3</v>
      </c>
      <c r="F556" s="42" t="n">
        <f aca="false">IFERROR($C556*$E556,"")</f>
        <v>0.6</v>
      </c>
    </row>
    <row r="557" customFormat="false" ht="15" hidden="false" customHeight="true" outlineLevel="0" collapsed="false">
      <c r="A557" s="39" t="s">
        <v>389</v>
      </c>
      <c r="B557" s="39" t="s">
        <v>254</v>
      </c>
      <c r="C557" s="39" t="n">
        <v>1</v>
      </c>
      <c r="D557" s="40" t="str">
        <f aca="false">IFERROR(INDEX(المكونات!$B$2:$B$500,MATCH($B557,المكونات!$A$2:$A$500,0)),"")</f>
        <v>قطعة (ورقة)</v>
      </c>
      <c r="E557" s="41" t="n">
        <f aca="false">IFERROR(INDEX(المكونات!$C$2:$C$500,MATCH($B557,المكونات!$A$2:$A$500,0)),"")</f>
        <v>0.3665</v>
      </c>
      <c r="F557" s="42" t="n">
        <f aca="false">IFERROR($C557*$E557,"")</f>
        <v>0.3665</v>
      </c>
    </row>
    <row r="558" customFormat="false" ht="15" hidden="false" customHeight="true" outlineLevel="0" collapsed="false">
      <c r="A558" s="39" t="s">
        <v>389</v>
      </c>
      <c r="B558" s="39" t="s">
        <v>67</v>
      </c>
      <c r="C558" s="39" t="n">
        <v>1</v>
      </c>
      <c r="D558" s="40" t="str">
        <f aca="false">IFERROR(INDEX(المكونات!$B$2:$B$500,MATCH($B558,المكونات!$A$2:$A$500,0)),"")</f>
        <v>قطعة (كيس)</v>
      </c>
      <c r="E558" s="41" t="n">
        <f aca="false">IFERROR(INDEX(المكونات!$C$2:$C$500,MATCH($B558,المكونات!$A$2:$A$500,0)),"")</f>
        <v>1.4</v>
      </c>
      <c r="F558" s="42" t="n">
        <f aca="false">IFERROR($C558*$E558,"")</f>
        <v>1.4</v>
      </c>
    </row>
    <row r="559" customFormat="false" ht="15" hidden="false" customHeight="true" outlineLevel="0" collapsed="false">
      <c r="A559" s="39" t="s">
        <v>389</v>
      </c>
      <c r="B559" s="39" t="s">
        <v>228</v>
      </c>
      <c r="C559" s="39" t="n">
        <v>1</v>
      </c>
      <c r="D559" s="40" t="str">
        <f aca="false">IFERROR(INDEX(المكونات!$B$2:$B$500,MATCH($B559,المكونات!$A$2:$A$500,0)),"")</f>
        <v>قطعة</v>
      </c>
      <c r="E559" s="41" t="n">
        <f aca="false">IFERROR(INDEX(المكونات!$C$2:$C$500,MATCH($B559,المكونات!$A$2:$A$500,0)),"")</f>
        <v>0.5</v>
      </c>
      <c r="F559" s="42" t="n">
        <f aca="false">IFERROR($C559*$E559,"")</f>
        <v>0.5</v>
      </c>
    </row>
    <row r="560" customFormat="false" ht="15" hidden="false" customHeight="true" outlineLevel="0" collapsed="false">
      <c r="A560" s="39" t="s">
        <v>389</v>
      </c>
      <c r="B560" s="39" t="s">
        <v>145</v>
      </c>
      <c r="C560" s="39" t="n">
        <v>2</v>
      </c>
      <c r="D560" s="40" t="str">
        <f aca="false">IFERROR(INDEX(المكونات!$B$2:$B$500,MATCH($B560,المكونات!$A$2:$A$500,0)),"")</f>
        <v>قطعة (جلفز)</v>
      </c>
      <c r="E560" s="41" t="n">
        <f aca="false">IFERROR(INDEX(المكونات!$C$2:$C$500,MATCH($B560,المكونات!$A$2:$A$500,0)),"")</f>
        <v>0.18</v>
      </c>
      <c r="F560" s="42" t="n">
        <f aca="false">IFERROR($C560*$E560,"")</f>
        <v>0.36</v>
      </c>
    </row>
    <row r="561" customFormat="false" ht="15" hidden="false" customHeight="true" outlineLevel="0" collapsed="false">
      <c r="A561" s="39" t="s">
        <v>389</v>
      </c>
      <c r="B561" s="39" t="s">
        <v>257</v>
      </c>
      <c r="C561" s="39" t="n">
        <v>1</v>
      </c>
      <c r="D561" s="40" t="str">
        <f aca="false">IFERROR(INDEX(المكونات!$B$2:$B$500,MATCH($B561,المكونات!$A$2:$A$500,0)),"")</f>
        <v>قطعة (كيس)</v>
      </c>
      <c r="E561" s="41" t="n">
        <f aca="false">IFERROR(INDEX(المكونات!$C$2:$C$500,MATCH($B561,المكونات!$A$2:$A$500,0)),"")</f>
        <v>0.9995</v>
      </c>
      <c r="F561" s="42" t="n">
        <f aca="false">IFERROR($C561*$E561,"")</f>
        <v>0.9995</v>
      </c>
    </row>
    <row r="562" customFormat="false" ht="15" hidden="false" customHeight="true" outlineLevel="0" collapsed="false">
      <c r="A562" s="39" t="s">
        <v>389</v>
      </c>
      <c r="B562" s="39" t="s">
        <v>96</v>
      </c>
      <c r="C562" s="39" t="n">
        <v>1</v>
      </c>
      <c r="D562" s="40" t="str">
        <f aca="false">IFERROR(INDEX(المكونات!$B$2:$B$500,MATCH($B562,المكونات!$A$2:$A$500,0)),"")</f>
        <v>قطعة</v>
      </c>
      <c r="E562" s="41" t="n">
        <f aca="false">IFERROR(INDEX(المكونات!$C$2:$C$500,MATCH($B562,المكونات!$A$2:$A$500,0)),"")</f>
        <v>30</v>
      </c>
      <c r="F562" s="42" t="n">
        <f aca="false">IFERROR($C562*$E562,"")</f>
        <v>30</v>
      </c>
    </row>
    <row r="563" customFormat="false" ht="15" hidden="false" customHeight="true" outlineLevel="0" collapsed="false">
      <c r="A563" s="39" t="s">
        <v>389</v>
      </c>
      <c r="B563" s="39" t="s">
        <v>194</v>
      </c>
      <c r="C563" s="39" t="n">
        <v>0.1</v>
      </c>
      <c r="D563" s="40" t="str">
        <f aca="false">IFERROR(INDEX(المكونات!$B$2:$B$500,MATCH($B563,المكونات!$A$2:$A$500,0)),"")</f>
        <v>كجم</v>
      </c>
      <c r="E563" s="41" t="n">
        <f aca="false">IFERROR(INDEX(المكونات!$C$2:$C$500,MATCH($B563,المكونات!$A$2:$A$500,0)),"")</f>
        <v>140</v>
      </c>
      <c r="F563" s="42" t="n">
        <f aca="false">IFERROR($C563*$E563,"")</f>
        <v>14</v>
      </c>
    </row>
    <row r="564" customFormat="false" ht="15" hidden="false" customHeight="true" outlineLevel="0" collapsed="false">
      <c r="A564" s="39" t="s">
        <v>327</v>
      </c>
      <c r="B564" s="39" t="s">
        <v>200</v>
      </c>
      <c r="C564" s="39" t="n">
        <v>1.5</v>
      </c>
      <c r="D564" s="40" t="str">
        <f aca="false">IFERROR(INDEX(المكونات!$B$2:$B$500,MATCH($B564,المكونات!$A$2:$A$500,0)),"")</f>
        <v>قطعة</v>
      </c>
      <c r="E564" s="41" t="n">
        <f aca="false">IFERROR(INDEX(المكونات!$C$2:$C$500,MATCH($B564,المكونات!$A$2:$A$500,0)),"")</f>
        <v>4</v>
      </c>
      <c r="F564" s="42" t="n">
        <f aca="false">IFERROR($C564*$E564,"")</f>
        <v>6</v>
      </c>
    </row>
    <row r="565" customFormat="false" ht="15" hidden="false" customHeight="true" outlineLevel="0" collapsed="false">
      <c r="A565" s="39" t="s">
        <v>327</v>
      </c>
      <c r="B565" s="39" t="s">
        <v>196</v>
      </c>
      <c r="C565" s="39" t="n">
        <v>0.045</v>
      </c>
      <c r="D565" s="40" t="str">
        <f aca="false">IFERROR(INDEX(المكونات!$B$2:$B$500,MATCH($B565,المكونات!$A$2:$A$500,0)),"")</f>
        <v>كجم</v>
      </c>
      <c r="E565" s="41" t="n">
        <f aca="false">IFERROR(INDEX(المكونات!$C$2:$C$500,MATCH($B565,المكونات!$A$2:$A$500,0)),"")</f>
        <v>21</v>
      </c>
      <c r="F565" s="42" t="n">
        <f aca="false">IFERROR($C565*$E565,"")</f>
        <v>0.945</v>
      </c>
    </row>
    <row r="566" customFormat="false" ht="15" hidden="false" customHeight="true" outlineLevel="0" collapsed="false">
      <c r="A566" s="39" t="s">
        <v>327</v>
      </c>
      <c r="B566" s="39" t="s">
        <v>219</v>
      </c>
      <c r="C566" s="39" t="n">
        <v>0.03</v>
      </c>
      <c r="D566" s="40" t="str">
        <f aca="false">IFERROR(INDEX(المكونات!$B$2:$B$500,MATCH($B566,المكونات!$A$2:$A$500,0)),"")</f>
        <v>كجم</v>
      </c>
      <c r="E566" s="41" t="n">
        <f aca="false">IFERROR(INDEX(المكونات!$C$2:$C$500,MATCH($B566,المكونات!$A$2:$A$500,0)),"")</f>
        <v>27</v>
      </c>
      <c r="F566" s="42" t="n">
        <f aca="false">IFERROR($C566*$E566,"")</f>
        <v>0.81</v>
      </c>
    </row>
    <row r="567" customFormat="false" ht="15" hidden="false" customHeight="true" outlineLevel="0" collapsed="false">
      <c r="A567" s="39" t="s">
        <v>327</v>
      </c>
      <c r="B567" s="39" t="s">
        <v>162</v>
      </c>
      <c r="C567" s="39" t="n">
        <v>0.03</v>
      </c>
      <c r="D567" s="40" t="str">
        <f aca="false">IFERROR(INDEX(المكونات!$B$2:$B$500,MATCH($B567,المكونات!$A$2:$A$500,0)),"")</f>
        <v>كجم</v>
      </c>
      <c r="E567" s="41" t="n">
        <f aca="false">IFERROR(INDEX(المكونات!$C$2:$C$500,MATCH($B567,المكونات!$A$2:$A$500,0)),"")</f>
        <v>95</v>
      </c>
      <c r="F567" s="42" t="n">
        <f aca="false">IFERROR($C567*$E567,"")</f>
        <v>2.85</v>
      </c>
    </row>
    <row r="568" customFormat="false" ht="15" hidden="false" customHeight="true" outlineLevel="0" collapsed="false">
      <c r="A568" s="39" t="s">
        <v>327</v>
      </c>
      <c r="B568" s="39" t="s">
        <v>112</v>
      </c>
      <c r="C568" s="39" t="n">
        <v>1</v>
      </c>
      <c r="D568" s="40" t="str">
        <f aca="false">IFERROR(INDEX(المكونات!$B$2:$B$500,MATCH($B568,المكونات!$A$2:$A$500,0)),"")</f>
        <v>قطعة</v>
      </c>
      <c r="E568" s="41" t="n">
        <f aca="false">IFERROR(INDEX(المكونات!$C$2:$C$500,MATCH($B568,المكونات!$A$2:$A$500,0)),"")</f>
        <v>25</v>
      </c>
      <c r="F568" s="42" t="n">
        <f aca="false">IFERROR($C568*$E568,"")</f>
        <v>25</v>
      </c>
    </row>
    <row r="569" customFormat="false" ht="15" hidden="false" customHeight="true" outlineLevel="0" collapsed="false">
      <c r="A569" s="39" t="s">
        <v>327</v>
      </c>
      <c r="B569" s="39" t="s">
        <v>204</v>
      </c>
      <c r="C569" s="39" t="n">
        <v>1</v>
      </c>
      <c r="D569" s="40" t="str">
        <f aca="false">IFERROR(INDEX(المكونات!$B$2:$B$500,MATCH($B569,المكونات!$A$2:$A$500,0)),"")</f>
        <v>قطعة</v>
      </c>
      <c r="E569" s="41" t="n">
        <f aca="false">IFERROR(INDEX(المكونات!$C$2:$C$500,MATCH($B569,المكونات!$A$2:$A$500,0)),"")</f>
        <v>5.5</v>
      </c>
      <c r="F569" s="42" t="n">
        <f aca="false">IFERROR($C569*$E569,"")</f>
        <v>5.5</v>
      </c>
    </row>
    <row r="570" customFormat="false" ht="15" hidden="false" customHeight="true" outlineLevel="0" collapsed="false">
      <c r="A570" s="39" t="s">
        <v>327</v>
      </c>
      <c r="B570" s="39" t="s">
        <v>225</v>
      </c>
      <c r="C570" s="39" t="n">
        <v>3</v>
      </c>
      <c r="D570" s="40" t="str">
        <f aca="false">IFERROR(INDEX(المكونات!$B$2:$B$500,MATCH($B570,المكونات!$A$2:$A$500,0)),"")</f>
        <v>قطعة</v>
      </c>
      <c r="E570" s="41" t="n">
        <f aca="false">IFERROR(INDEX(المكونات!$C$2:$C$500,MATCH($B570,المكونات!$A$2:$A$500,0)),"")</f>
        <v>0.3</v>
      </c>
      <c r="F570" s="42" t="n">
        <f aca="false">IFERROR($C570*$E570,"")</f>
        <v>0.9</v>
      </c>
    </row>
    <row r="571" customFormat="false" ht="15" hidden="false" customHeight="true" outlineLevel="0" collapsed="false">
      <c r="A571" s="39" t="s">
        <v>327</v>
      </c>
      <c r="B571" s="39" t="s">
        <v>254</v>
      </c>
      <c r="C571" s="39" t="n">
        <v>1</v>
      </c>
      <c r="D571" s="40" t="str">
        <f aca="false">IFERROR(INDEX(المكونات!$B$2:$B$500,MATCH($B571,المكونات!$A$2:$A$500,0)),"")</f>
        <v>قطعة (ورقة)</v>
      </c>
      <c r="E571" s="41" t="n">
        <f aca="false">IFERROR(INDEX(المكونات!$C$2:$C$500,MATCH($B571,المكونات!$A$2:$A$500,0)),"")</f>
        <v>0.3665</v>
      </c>
      <c r="F571" s="42" t="n">
        <f aca="false">IFERROR($C571*$E571,"")</f>
        <v>0.3665</v>
      </c>
    </row>
    <row r="572" customFormat="false" ht="15" hidden="false" customHeight="true" outlineLevel="0" collapsed="false">
      <c r="A572" s="39" t="s">
        <v>327</v>
      </c>
      <c r="B572" s="39" t="s">
        <v>67</v>
      </c>
      <c r="C572" s="39" t="n">
        <v>1</v>
      </c>
      <c r="D572" s="40" t="str">
        <f aca="false">IFERROR(INDEX(المكونات!$B$2:$B$500,MATCH($B572,المكونات!$A$2:$A$500,0)),"")</f>
        <v>قطعة (كيس)</v>
      </c>
      <c r="E572" s="41" t="n">
        <f aca="false">IFERROR(INDEX(المكونات!$C$2:$C$500,MATCH($B572,المكونات!$A$2:$A$500,0)),"")</f>
        <v>1.4</v>
      </c>
      <c r="F572" s="42" t="n">
        <f aca="false">IFERROR($C572*$E572,"")</f>
        <v>1.4</v>
      </c>
    </row>
    <row r="573" customFormat="false" ht="15" hidden="false" customHeight="true" outlineLevel="0" collapsed="false">
      <c r="A573" s="39" t="s">
        <v>327</v>
      </c>
      <c r="B573" s="39" t="s">
        <v>228</v>
      </c>
      <c r="C573" s="39" t="n">
        <v>1</v>
      </c>
      <c r="D573" s="40" t="str">
        <f aca="false">IFERROR(INDEX(المكونات!$B$2:$B$500,MATCH($B573,المكونات!$A$2:$A$500,0)),"")</f>
        <v>قطعة</v>
      </c>
      <c r="E573" s="41" t="n">
        <f aca="false">IFERROR(INDEX(المكونات!$C$2:$C$500,MATCH($B573,المكونات!$A$2:$A$500,0)),"")</f>
        <v>0.5</v>
      </c>
      <c r="F573" s="42" t="n">
        <f aca="false">IFERROR($C573*$E573,"")</f>
        <v>0.5</v>
      </c>
    </row>
    <row r="574" customFormat="false" ht="15" hidden="false" customHeight="true" outlineLevel="0" collapsed="false">
      <c r="A574" s="39" t="s">
        <v>327</v>
      </c>
      <c r="B574" s="39" t="s">
        <v>145</v>
      </c>
      <c r="C574" s="39" t="n">
        <v>2</v>
      </c>
      <c r="D574" s="40" t="str">
        <f aca="false">IFERROR(INDEX(المكونات!$B$2:$B$500,MATCH($B574,المكونات!$A$2:$A$500,0)),"")</f>
        <v>قطعة (جلفز)</v>
      </c>
      <c r="E574" s="41" t="n">
        <f aca="false">IFERROR(INDEX(المكونات!$C$2:$C$500,MATCH($B574,المكونات!$A$2:$A$500,0)),"")</f>
        <v>0.18</v>
      </c>
      <c r="F574" s="42" t="n">
        <f aca="false">IFERROR($C574*$E574,"")</f>
        <v>0.36</v>
      </c>
    </row>
    <row r="575" customFormat="false" ht="15" hidden="false" customHeight="true" outlineLevel="0" collapsed="false">
      <c r="A575" s="39" t="s">
        <v>327</v>
      </c>
      <c r="B575" s="39" t="s">
        <v>257</v>
      </c>
      <c r="C575" s="39" t="n">
        <v>1</v>
      </c>
      <c r="D575" s="40" t="str">
        <f aca="false">IFERROR(INDEX(المكونات!$B$2:$B$500,MATCH($B575,المكونات!$A$2:$A$500,0)),"")</f>
        <v>قطعة (كيس)</v>
      </c>
      <c r="E575" s="41" t="n">
        <f aca="false">IFERROR(INDEX(المكونات!$C$2:$C$500,MATCH($B575,المكونات!$A$2:$A$500,0)),"")</f>
        <v>0.9995</v>
      </c>
      <c r="F575" s="42" t="n">
        <f aca="false">IFERROR($C575*$E575,"")</f>
        <v>0.9995</v>
      </c>
    </row>
    <row r="576" customFormat="false" ht="15" hidden="false" customHeight="true" outlineLevel="0" collapsed="false">
      <c r="A576" s="39" t="s">
        <v>327</v>
      </c>
      <c r="B576" s="39" t="s">
        <v>98</v>
      </c>
      <c r="C576" s="39" t="n">
        <v>1</v>
      </c>
      <c r="D576" s="40" t="str">
        <f aca="false">IFERROR(INDEX(المكونات!$B$2:$B$500,MATCH($B576,المكونات!$A$2:$A$500,0)),"")</f>
        <v>قطعة</v>
      </c>
      <c r="E576" s="41" t="n">
        <f aca="false">IFERROR(INDEX(المكونات!$C$2:$C$500,MATCH($B576,المكونات!$A$2:$A$500,0)),"")</f>
        <v>29</v>
      </c>
      <c r="F576" s="42" t="n">
        <f aca="false">IFERROR($C576*$E576,"")</f>
        <v>29</v>
      </c>
    </row>
    <row r="577" customFormat="false" ht="15" hidden="false" customHeight="true" outlineLevel="0" collapsed="false">
      <c r="A577" s="39" t="s">
        <v>327</v>
      </c>
      <c r="B577" s="39" t="s">
        <v>194</v>
      </c>
      <c r="C577" s="39" t="n">
        <v>0.15</v>
      </c>
      <c r="D577" s="40" t="str">
        <f aca="false">IFERROR(INDEX(المكونات!$B$2:$B$500,MATCH($B577,المكونات!$A$2:$A$500,0)),"")</f>
        <v>كجم</v>
      </c>
      <c r="E577" s="41" t="n">
        <f aca="false">IFERROR(INDEX(المكونات!$C$2:$C$500,MATCH($B577,المكونات!$A$2:$A$500,0)),"")</f>
        <v>140</v>
      </c>
      <c r="F577" s="42" t="n">
        <f aca="false">IFERROR($C577*$E577,"")</f>
        <v>21</v>
      </c>
    </row>
    <row r="578" customFormat="false" ht="15" hidden="false" customHeight="true" outlineLevel="0" collapsed="false">
      <c r="A578" s="39" t="s">
        <v>409</v>
      </c>
      <c r="B578" s="39" t="s">
        <v>200</v>
      </c>
      <c r="C578" s="39" t="n">
        <v>1</v>
      </c>
      <c r="D578" s="40" t="str">
        <f aca="false">IFERROR(INDEX(المكونات!$B$2:$B$500,MATCH($B578,المكونات!$A$2:$A$500,0)),"")</f>
        <v>قطعة</v>
      </c>
      <c r="E578" s="41" t="n">
        <f aca="false">IFERROR(INDEX(المكونات!$C$2:$C$500,MATCH($B578,المكونات!$A$2:$A$500,0)),"")</f>
        <v>4</v>
      </c>
      <c r="F578" s="42" t="n">
        <f aca="false">IFERROR($C578*$E578,"")</f>
        <v>4</v>
      </c>
    </row>
    <row r="579" customFormat="false" ht="15" hidden="false" customHeight="true" outlineLevel="0" collapsed="false">
      <c r="A579" s="39" t="s">
        <v>409</v>
      </c>
      <c r="B579" s="39" t="s">
        <v>196</v>
      </c>
      <c r="C579" s="39" t="n">
        <v>0.03</v>
      </c>
      <c r="D579" s="40" t="str">
        <f aca="false">IFERROR(INDEX(المكونات!$B$2:$B$500,MATCH($B579,المكونات!$A$2:$A$500,0)),"")</f>
        <v>كجم</v>
      </c>
      <c r="E579" s="41" t="n">
        <f aca="false">IFERROR(INDEX(المكونات!$C$2:$C$500,MATCH($B579,المكونات!$A$2:$A$500,0)),"")</f>
        <v>21</v>
      </c>
      <c r="F579" s="42" t="n">
        <f aca="false">IFERROR($C579*$E579,"")</f>
        <v>0.63</v>
      </c>
    </row>
    <row r="580" customFormat="false" ht="15" hidden="false" customHeight="true" outlineLevel="0" collapsed="false">
      <c r="A580" s="39" t="s">
        <v>409</v>
      </c>
      <c r="B580" s="39" t="s">
        <v>219</v>
      </c>
      <c r="C580" s="39" t="n">
        <v>0.02</v>
      </c>
      <c r="D580" s="40" t="str">
        <f aca="false">IFERROR(INDEX(المكونات!$B$2:$B$500,MATCH($B580,المكونات!$A$2:$A$500,0)),"")</f>
        <v>كجم</v>
      </c>
      <c r="E580" s="41" t="n">
        <f aca="false">IFERROR(INDEX(المكونات!$C$2:$C$500,MATCH($B580,المكونات!$A$2:$A$500,0)),"")</f>
        <v>27</v>
      </c>
      <c r="F580" s="42" t="n">
        <f aca="false">IFERROR($C580*$E580,"")</f>
        <v>0.54</v>
      </c>
    </row>
    <row r="581" customFormat="false" ht="15" hidden="false" customHeight="true" outlineLevel="0" collapsed="false">
      <c r="A581" s="39" t="s">
        <v>409</v>
      </c>
      <c r="B581" s="39" t="s">
        <v>162</v>
      </c>
      <c r="C581" s="39" t="n">
        <v>0.02</v>
      </c>
      <c r="D581" s="40" t="str">
        <f aca="false">IFERROR(INDEX(المكونات!$B$2:$B$500,MATCH($B581,المكونات!$A$2:$A$500,0)),"")</f>
        <v>كجم</v>
      </c>
      <c r="E581" s="41" t="n">
        <f aca="false">IFERROR(INDEX(المكونات!$C$2:$C$500,MATCH($B581,المكونات!$A$2:$A$500,0)),"")</f>
        <v>95</v>
      </c>
      <c r="F581" s="42" t="n">
        <f aca="false">IFERROR($C581*$E581,"")</f>
        <v>1.9</v>
      </c>
    </row>
    <row r="582" customFormat="false" ht="15" hidden="false" customHeight="true" outlineLevel="0" collapsed="false">
      <c r="A582" s="39" t="s">
        <v>409</v>
      </c>
      <c r="B582" s="39" t="s">
        <v>110</v>
      </c>
      <c r="C582" s="39" t="n">
        <v>1</v>
      </c>
      <c r="D582" s="40" t="str">
        <f aca="false">IFERROR(INDEX(المكونات!$B$2:$B$500,MATCH($B582,المكونات!$A$2:$A$500,0)),"")</f>
        <v>قطعة</v>
      </c>
      <c r="E582" s="41" t="n">
        <f aca="false">IFERROR(INDEX(المكونات!$C$2:$C$500,MATCH($B582,المكونات!$A$2:$A$500,0)),"")</f>
        <v>17.5</v>
      </c>
      <c r="F582" s="42" t="n">
        <f aca="false">IFERROR($C582*$E582,"")</f>
        <v>17.5</v>
      </c>
    </row>
    <row r="583" customFormat="false" ht="15" hidden="false" customHeight="true" outlineLevel="0" collapsed="false">
      <c r="A583" s="39" t="s">
        <v>409</v>
      </c>
      <c r="B583" s="39" t="s">
        <v>206</v>
      </c>
      <c r="C583" s="39" t="n">
        <v>1</v>
      </c>
      <c r="D583" s="40" t="str">
        <f aca="false">IFERROR(INDEX(المكونات!$B$2:$B$500,MATCH($B583,المكونات!$A$2:$A$500,0)),"")</f>
        <v>قطعة</v>
      </c>
      <c r="E583" s="41" t="n">
        <f aca="false">IFERROR(INDEX(المكونات!$C$2:$C$500,MATCH($B583,المكونات!$A$2:$A$500,0)),"")</f>
        <v>4.5</v>
      </c>
      <c r="F583" s="42" t="n">
        <f aca="false">IFERROR($C583*$E583,"")</f>
        <v>4.5</v>
      </c>
    </row>
    <row r="584" customFormat="false" ht="15" hidden="false" customHeight="true" outlineLevel="0" collapsed="false">
      <c r="A584" s="39" t="s">
        <v>409</v>
      </c>
      <c r="B584" s="39" t="s">
        <v>225</v>
      </c>
      <c r="C584" s="39" t="n">
        <v>2</v>
      </c>
      <c r="D584" s="40" t="str">
        <f aca="false">IFERROR(INDEX(المكونات!$B$2:$B$500,MATCH($B584,المكونات!$A$2:$A$500,0)),"")</f>
        <v>قطعة</v>
      </c>
      <c r="E584" s="41" t="n">
        <f aca="false">IFERROR(INDEX(المكونات!$C$2:$C$500,MATCH($B584,المكونات!$A$2:$A$500,0)),"")</f>
        <v>0.3</v>
      </c>
      <c r="F584" s="42" t="n">
        <f aca="false">IFERROR($C584*$E584,"")</f>
        <v>0.6</v>
      </c>
    </row>
    <row r="585" customFormat="false" ht="15" hidden="false" customHeight="true" outlineLevel="0" collapsed="false">
      <c r="A585" s="39" t="s">
        <v>409</v>
      </c>
      <c r="B585" s="39" t="s">
        <v>254</v>
      </c>
      <c r="C585" s="39" t="n">
        <v>1</v>
      </c>
      <c r="D585" s="40" t="str">
        <f aca="false">IFERROR(INDEX(المكونات!$B$2:$B$500,MATCH($B585,المكونات!$A$2:$A$500,0)),"")</f>
        <v>قطعة (ورقة)</v>
      </c>
      <c r="E585" s="41" t="n">
        <f aca="false">IFERROR(INDEX(المكونات!$C$2:$C$500,MATCH($B585,المكونات!$A$2:$A$500,0)),"")</f>
        <v>0.3665</v>
      </c>
      <c r="F585" s="42" t="n">
        <f aca="false">IFERROR($C585*$E585,"")</f>
        <v>0.3665</v>
      </c>
    </row>
    <row r="586" customFormat="false" ht="15" hidden="false" customHeight="true" outlineLevel="0" collapsed="false">
      <c r="A586" s="39" t="s">
        <v>409</v>
      </c>
      <c r="B586" s="39" t="s">
        <v>67</v>
      </c>
      <c r="C586" s="39" t="n">
        <v>1</v>
      </c>
      <c r="D586" s="40" t="str">
        <f aca="false">IFERROR(INDEX(المكونات!$B$2:$B$500,MATCH($B586,المكونات!$A$2:$A$500,0)),"")</f>
        <v>قطعة (كيس)</v>
      </c>
      <c r="E586" s="41" t="n">
        <f aca="false">IFERROR(INDEX(المكونات!$C$2:$C$500,MATCH($B586,المكونات!$A$2:$A$500,0)),"")</f>
        <v>1.4</v>
      </c>
      <c r="F586" s="42" t="n">
        <f aca="false">IFERROR($C586*$E586,"")</f>
        <v>1.4</v>
      </c>
    </row>
    <row r="587" customFormat="false" ht="15" hidden="false" customHeight="true" outlineLevel="0" collapsed="false">
      <c r="A587" s="39" t="s">
        <v>409</v>
      </c>
      <c r="B587" s="39" t="s">
        <v>228</v>
      </c>
      <c r="C587" s="39" t="n">
        <v>1</v>
      </c>
      <c r="D587" s="40" t="str">
        <f aca="false">IFERROR(INDEX(المكونات!$B$2:$B$500,MATCH($B587,المكونات!$A$2:$A$500,0)),"")</f>
        <v>قطعة</v>
      </c>
      <c r="E587" s="41" t="n">
        <f aca="false">IFERROR(INDEX(المكونات!$C$2:$C$500,MATCH($B587,المكونات!$A$2:$A$500,0)),"")</f>
        <v>0.5</v>
      </c>
      <c r="F587" s="42" t="n">
        <f aca="false">IFERROR($C587*$E587,"")</f>
        <v>0.5</v>
      </c>
    </row>
    <row r="588" customFormat="false" ht="15" hidden="false" customHeight="true" outlineLevel="0" collapsed="false">
      <c r="A588" s="39" t="s">
        <v>409</v>
      </c>
      <c r="B588" s="39" t="s">
        <v>145</v>
      </c>
      <c r="C588" s="39" t="n">
        <v>2</v>
      </c>
      <c r="D588" s="40" t="str">
        <f aca="false">IFERROR(INDEX(المكونات!$B$2:$B$500,MATCH($B588,المكونات!$A$2:$A$500,0)),"")</f>
        <v>قطعة (جلفز)</v>
      </c>
      <c r="E588" s="41" t="n">
        <f aca="false">IFERROR(INDEX(المكونات!$C$2:$C$500,MATCH($B588,المكونات!$A$2:$A$500,0)),"")</f>
        <v>0.18</v>
      </c>
      <c r="F588" s="42" t="n">
        <f aca="false">IFERROR($C588*$E588,"")</f>
        <v>0.36</v>
      </c>
    </row>
    <row r="589" customFormat="false" ht="15" hidden="false" customHeight="true" outlineLevel="0" collapsed="false">
      <c r="A589" s="39" t="s">
        <v>409</v>
      </c>
      <c r="B589" s="39" t="s">
        <v>257</v>
      </c>
      <c r="C589" s="39" t="n">
        <v>1</v>
      </c>
      <c r="D589" s="40" t="str">
        <f aca="false">IFERROR(INDEX(المكونات!$B$2:$B$500,MATCH($B589,المكونات!$A$2:$A$500,0)),"")</f>
        <v>قطعة (كيس)</v>
      </c>
      <c r="E589" s="41" t="n">
        <f aca="false">IFERROR(INDEX(المكونات!$C$2:$C$500,MATCH($B589,المكونات!$A$2:$A$500,0)),"")</f>
        <v>0.9995</v>
      </c>
      <c r="F589" s="42" t="n">
        <f aca="false">IFERROR($C589*$E589,"")</f>
        <v>0.9995</v>
      </c>
    </row>
    <row r="590" customFormat="false" ht="15" hidden="false" customHeight="true" outlineLevel="0" collapsed="false">
      <c r="A590" s="39" t="s">
        <v>409</v>
      </c>
      <c r="B590" s="39" t="s">
        <v>76</v>
      </c>
      <c r="C590" s="39" t="n">
        <v>1</v>
      </c>
      <c r="D590" s="40" t="str">
        <f aca="false">IFERROR(INDEX(المكونات!$B$2:$B$500,MATCH($B590,المكونات!$A$2:$A$500,0)),"")</f>
        <v>قطعة</v>
      </c>
      <c r="E590" s="41" t="n">
        <f aca="false">IFERROR(INDEX(المكونات!$C$2:$C$500,MATCH($B590,المكونات!$A$2:$A$500,0)),"")</f>
        <v>35</v>
      </c>
      <c r="F590" s="42" t="n">
        <f aca="false">IFERROR($C590*$E590,"")</f>
        <v>35</v>
      </c>
    </row>
    <row r="591" customFormat="false" ht="15" hidden="false" customHeight="true" outlineLevel="0" collapsed="false">
      <c r="A591" s="39" t="s">
        <v>409</v>
      </c>
      <c r="B591" s="39" t="s">
        <v>86</v>
      </c>
      <c r="C591" s="39" t="n">
        <v>1</v>
      </c>
      <c r="D591" s="40" t="str">
        <f aca="false">IFERROR(INDEX(المكونات!$B$2:$B$500,MATCH($B591,المكونات!$A$2:$A$500,0)),"")</f>
        <v>قطعة</v>
      </c>
      <c r="E591" s="41" t="n">
        <f aca="false">IFERROR(INDEX(المكونات!$C$2:$C$500,MATCH($B591,المكونات!$A$2:$A$500,0)),"")</f>
        <v>34</v>
      </c>
      <c r="F591" s="42" t="n">
        <f aca="false">IFERROR($C591*$E591,"")</f>
        <v>34</v>
      </c>
    </row>
    <row r="592" customFormat="false" ht="15" hidden="false" customHeight="true" outlineLevel="0" collapsed="false">
      <c r="A592" s="39" t="s">
        <v>409</v>
      </c>
      <c r="B592" s="39" t="s">
        <v>102</v>
      </c>
      <c r="C592" s="39" t="n">
        <v>1</v>
      </c>
      <c r="D592" s="40" t="str">
        <f aca="false">IFERROR(INDEX(المكونات!$B$2:$B$500,MATCH($B592,المكونات!$A$2:$A$500,0)),"")</f>
        <v>قطعة</v>
      </c>
      <c r="E592" s="41" t="n">
        <f aca="false">IFERROR(INDEX(المكونات!$C$2:$C$500,MATCH($B592,المكونات!$A$2:$A$500,0)),"")</f>
        <v>21</v>
      </c>
      <c r="F592" s="42" t="n">
        <f aca="false">IFERROR($C592*$E592,"")</f>
        <v>21</v>
      </c>
    </row>
    <row r="593" customFormat="false" ht="15" hidden="false" customHeight="true" outlineLevel="0" collapsed="false">
      <c r="A593" s="39" t="s">
        <v>406</v>
      </c>
      <c r="B593" s="39" t="s">
        <v>200</v>
      </c>
      <c r="C593" s="39" t="n">
        <v>1.5</v>
      </c>
      <c r="D593" s="40" t="str">
        <f aca="false">IFERROR(INDEX(المكونات!$B$2:$B$500,MATCH($B593,المكونات!$A$2:$A$500,0)),"")</f>
        <v>قطعة</v>
      </c>
      <c r="E593" s="41" t="n">
        <f aca="false">IFERROR(INDEX(المكونات!$C$2:$C$500,MATCH($B593,المكونات!$A$2:$A$500,0)),"")</f>
        <v>4</v>
      </c>
      <c r="F593" s="42" t="n">
        <f aca="false">IFERROR($C593*$E593,"")</f>
        <v>6</v>
      </c>
    </row>
    <row r="594" customFormat="false" ht="15" hidden="false" customHeight="true" outlineLevel="0" collapsed="false">
      <c r="A594" s="39" t="s">
        <v>406</v>
      </c>
      <c r="B594" s="39" t="s">
        <v>196</v>
      </c>
      <c r="C594" s="39" t="n">
        <v>0.045</v>
      </c>
      <c r="D594" s="40" t="str">
        <f aca="false">IFERROR(INDEX(المكونات!$B$2:$B$500,MATCH($B594,المكونات!$A$2:$A$500,0)),"")</f>
        <v>كجم</v>
      </c>
      <c r="E594" s="41" t="n">
        <f aca="false">IFERROR(INDEX(المكونات!$C$2:$C$500,MATCH($B594,المكونات!$A$2:$A$500,0)),"")</f>
        <v>21</v>
      </c>
      <c r="F594" s="42" t="n">
        <f aca="false">IFERROR($C594*$E594,"")</f>
        <v>0.945</v>
      </c>
    </row>
    <row r="595" customFormat="false" ht="15" hidden="false" customHeight="true" outlineLevel="0" collapsed="false">
      <c r="A595" s="39" t="s">
        <v>406</v>
      </c>
      <c r="B595" s="39" t="s">
        <v>219</v>
      </c>
      <c r="C595" s="39" t="n">
        <v>0.03</v>
      </c>
      <c r="D595" s="40" t="str">
        <f aca="false">IFERROR(INDEX(المكونات!$B$2:$B$500,MATCH($B595,المكونات!$A$2:$A$500,0)),"")</f>
        <v>كجم</v>
      </c>
      <c r="E595" s="41" t="n">
        <f aca="false">IFERROR(INDEX(المكونات!$C$2:$C$500,MATCH($B595,المكونات!$A$2:$A$500,0)),"")</f>
        <v>27</v>
      </c>
      <c r="F595" s="42" t="n">
        <f aca="false">IFERROR($C595*$E595,"")</f>
        <v>0.81</v>
      </c>
    </row>
    <row r="596" customFormat="false" ht="15" hidden="false" customHeight="true" outlineLevel="0" collapsed="false">
      <c r="A596" s="39" t="s">
        <v>406</v>
      </c>
      <c r="B596" s="39" t="s">
        <v>162</v>
      </c>
      <c r="C596" s="39" t="n">
        <v>0.03</v>
      </c>
      <c r="D596" s="40" t="str">
        <f aca="false">IFERROR(INDEX(المكونات!$B$2:$B$500,MATCH($B596,المكونات!$A$2:$A$500,0)),"")</f>
        <v>كجم</v>
      </c>
      <c r="E596" s="41" t="n">
        <f aca="false">IFERROR(INDEX(المكونات!$C$2:$C$500,MATCH($B596,المكونات!$A$2:$A$500,0)),"")</f>
        <v>95</v>
      </c>
      <c r="F596" s="42" t="n">
        <f aca="false">IFERROR($C596*$E596,"")</f>
        <v>2.85</v>
      </c>
    </row>
    <row r="597" customFormat="false" ht="15" hidden="false" customHeight="true" outlineLevel="0" collapsed="false">
      <c r="A597" s="39" t="s">
        <v>406</v>
      </c>
      <c r="B597" s="39" t="s">
        <v>112</v>
      </c>
      <c r="C597" s="39" t="n">
        <v>1</v>
      </c>
      <c r="D597" s="40" t="str">
        <f aca="false">IFERROR(INDEX(المكونات!$B$2:$B$500,MATCH($B597,المكونات!$A$2:$A$500,0)),"")</f>
        <v>قطعة</v>
      </c>
      <c r="E597" s="41" t="n">
        <f aca="false">IFERROR(INDEX(المكونات!$C$2:$C$500,MATCH($B597,المكونات!$A$2:$A$500,0)),"")</f>
        <v>25</v>
      </c>
      <c r="F597" s="42" t="n">
        <f aca="false">IFERROR($C597*$E597,"")</f>
        <v>25</v>
      </c>
    </row>
    <row r="598" customFormat="false" ht="15" hidden="false" customHeight="true" outlineLevel="0" collapsed="false">
      <c r="A598" s="39" t="s">
        <v>406</v>
      </c>
      <c r="B598" s="39" t="s">
        <v>204</v>
      </c>
      <c r="C598" s="39" t="n">
        <v>1</v>
      </c>
      <c r="D598" s="40" t="str">
        <f aca="false">IFERROR(INDEX(المكونات!$B$2:$B$500,MATCH($B598,المكونات!$A$2:$A$500,0)),"")</f>
        <v>قطعة</v>
      </c>
      <c r="E598" s="41" t="n">
        <f aca="false">IFERROR(INDEX(المكونات!$C$2:$C$500,MATCH($B598,المكونات!$A$2:$A$500,0)),"")</f>
        <v>5.5</v>
      </c>
      <c r="F598" s="42" t="n">
        <f aca="false">IFERROR($C598*$E598,"")</f>
        <v>5.5</v>
      </c>
    </row>
    <row r="599" customFormat="false" ht="15" hidden="false" customHeight="true" outlineLevel="0" collapsed="false">
      <c r="A599" s="39" t="s">
        <v>406</v>
      </c>
      <c r="B599" s="39" t="s">
        <v>225</v>
      </c>
      <c r="C599" s="39" t="n">
        <v>3</v>
      </c>
      <c r="D599" s="40" t="str">
        <f aca="false">IFERROR(INDEX(المكونات!$B$2:$B$500,MATCH($B599,المكونات!$A$2:$A$500,0)),"")</f>
        <v>قطعة</v>
      </c>
      <c r="E599" s="41" t="n">
        <f aca="false">IFERROR(INDEX(المكونات!$C$2:$C$500,MATCH($B599,المكونات!$A$2:$A$500,0)),"")</f>
        <v>0.3</v>
      </c>
      <c r="F599" s="42" t="n">
        <f aca="false">IFERROR($C599*$E599,"")</f>
        <v>0.9</v>
      </c>
    </row>
    <row r="600" customFormat="false" ht="15" hidden="false" customHeight="true" outlineLevel="0" collapsed="false">
      <c r="A600" s="39" t="s">
        <v>406</v>
      </c>
      <c r="B600" s="39" t="s">
        <v>254</v>
      </c>
      <c r="C600" s="39" t="n">
        <v>1</v>
      </c>
      <c r="D600" s="40" t="str">
        <f aca="false">IFERROR(INDEX(المكونات!$B$2:$B$500,MATCH($B600,المكونات!$A$2:$A$500,0)),"")</f>
        <v>قطعة (ورقة)</v>
      </c>
      <c r="E600" s="41" t="n">
        <f aca="false">IFERROR(INDEX(المكونات!$C$2:$C$500,MATCH($B600,المكونات!$A$2:$A$500,0)),"")</f>
        <v>0.3665</v>
      </c>
      <c r="F600" s="42" t="n">
        <f aca="false">IFERROR($C600*$E600,"")</f>
        <v>0.3665</v>
      </c>
    </row>
    <row r="601" customFormat="false" ht="15" hidden="false" customHeight="true" outlineLevel="0" collapsed="false">
      <c r="A601" s="39" t="s">
        <v>406</v>
      </c>
      <c r="B601" s="39" t="s">
        <v>67</v>
      </c>
      <c r="C601" s="39" t="n">
        <v>1</v>
      </c>
      <c r="D601" s="40" t="str">
        <f aca="false">IFERROR(INDEX(المكونات!$B$2:$B$500,MATCH($B601,المكونات!$A$2:$A$500,0)),"")</f>
        <v>قطعة (كيس)</v>
      </c>
      <c r="E601" s="41" t="n">
        <f aca="false">IFERROR(INDEX(المكونات!$C$2:$C$500,MATCH($B601,المكونات!$A$2:$A$500,0)),"")</f>
        <v>1.4</v>
      </c>
      <c r="F601" s="42" t="n">
        <f aca="false">IFERROR($C601*$E601,"")</f>
        <v>1.4</v>
      </c>
    </row>
    <row r="602" customFormat="false" ht="15" hidden="false" customHeight="true" outlineLevel="0" collapsed="false">
      <c r="A602" s="39" t="s">
        <v>406</v>
      </c>
      <c r="B602" s="39" t="s">
        <v>228</v>
      </c>
      <c r="C602" s="39" t="n">
        <v>1</v>
      </c>
      <c r="D602" s="40" t="str">
        <f aca="false">IFERROR(INDEX(المكونات!$B$2:$B$500,MATCH($B602,المكونات!$A$2:$A$500,0)),"")</f>
        <v>قطعة</v>
      </c>
      <c r="E602" s="41" t="n">
        <f aca="false">IFERROR(INDEX(المكونات!$C$2:$C$500,MATCH($B602,المكونات!$A$2:$A$500,0)),"")</f>
        <v>0.5</v>
      </c>
      <c r="F602" s="42" t="n">
        <f aca="false">IFERROR($C602*$E602,"")</f>
        <v>0.5</v>
      </c>
    </row>
    <row r="603" customFormat="false" ht="15" hidden="false" customHeight="true" outlineLevel="0" collapsed="false">
      <c r="A603" s="39" t="s">
        <v>406</v>
      </c>
      <c r="B603" s="39" t="s">
        <v>145</v>
      </c>
      <c r="C603" s="39" t="n">
        <v>2</v>
      </c>
      <c r="D603" s="40" t="str">
        <f aca="false">IFERROR(INDEX(المكونات!$B$2:$B$500,MATCH($B603,المكونات!$A$2:$A$500,0)),"")</f>
        <v>قطعة (جلفز)</v>
      </c>
      <c r="E603" s="41" t="n">
        <f aca="false">IFERROR(INDEX(المكونات!$C$2:$C$500,MATCH($B603,المكونات!$A$2:$A$500,0)),"")</f>
        <v>0.18</v>
      </c>
      <c r="F603" s="42" t="n">
        <f aca="false">IFERROR($C603*$E603,"")</f>
        <v>0.36</v>
      </c>
    </row>
    <row r="604" customFormat="false" ht="15" hidden="false" customHeight="true" outlineLevel="0" collapsed="false">
      <c r="A604" s="39" t="s">
        <v>406</v>
      </c>
      <c r="B604" s="39" t="s">
        <v>257</v>
      </c>
      <c r="C604" s="39" t="n">
        <v>1</v>
      </c>
      <c r="D604" s="40" t="str">
        <f aca="false">IFERROR(INDEX(المكونات!$B$2:$B$500,MATCH($B604,المكونات!$A$2:$A$500,0)),"")</f>
        <v>قطعة (كيس)</v>
      </c>
      <c r="E604" s="41" t="n">
        <f aca="false">IFERROR(INDEX(المكونات!$C$2:$C$500,MATCH($B604,المكونات!$A$2:$A$500,0)),"")</f>
        <v>0.9995</v>
      </c>
      <c r="F604" s="42" t="n">
        <f aca="false">IFERROR($C604*$E604,"")</f>
        <v>0.9995</v>
      </c>
    </row>
    <row r="605" customFormat="false" ht="15" hidden="false" customHeight="true" outlineLevel="0" collapsed="false">
      <c r="A605" s="39" t="s">
        <v>406</v>
      </c>
      <c r="B605" s="39" t="s">
        <v>78</v>
      </c>
      <c r="C605" s="39" t="n">
        <v>1</v>
      </c>
      <c r="D605" s="40" t="str">
        <f aca="false">IFERROR(INDEX(المكونات!$B$2:$B$500,MATCH($B605,المكونات!$A$2:$A$500,0)),"")</f>
        <v>قطعة</v>
      </c>
      <c r="E605" s="41" t="n">
        <f aca="false">IFERROR(INDEX(المكونات!$C$2:$C$500,MATCH($B605,المكونات!$A$2:$A$500,0)),"")</f>
        <v>46.8889</v>
      </c>
      <c r="F605" s="42" t="n">
        <f aca="false">IFERROR($C605*$E605,"")</f>
        <v>46.8889</v>
      </c>
    </row>
    <row r="606" customFormat="false" ht="15" hidden="false" customHeight="true" outlineLevel="0" collapsed="false">
      <c r="A606" s="39" t="s">
        <v>406</v>
      </c>
      <c r="B606" s="39" t="s">
        <v>88</v>
      </c>
      <c r="C606" s="39" t="n">
        <v>1</v>
      </c>
      <c r="D606" s="40" t="str">
        <f aca="false">IFERROR(INDEX(المكونات!$B$2:$B$500,MATCH($B606,المكونات!$A$2:$A$500,0)),"")</f>
        <v>قطعة</v>
      </c>
      <c r="E606" s="41" t="n">
        <f aca="false">IFERROR(INDEX(المكونات!$C$2:$C$500,MATCH($B606,المكونات!$A$2:$A$500,0)),"")</f>
        <v>45</v>
      </c>
      <c r="F606" s="42" t="n">
        <f aca="false">IFERROR($C606*$E606,"")</f>
        <v>45</v>
      </c>
    </row>
    <row r="607" customFormat="false" ht="15" hidden="false" customHeight="true" outlineLevel="0" collapsed="false">
      <c r="A607" s="39" t="s">
        <v>406</v>
      </c>
      <c r="B607" s="39" t="s">
        <v>102</v>
      </c>
      <c r="C607" s="39" t="n">
        <v>1</v>
      </c>
      <c r="D607" s="40" t="str">
        <f aca="false">IFERROR(INDEX(المكونات!$B$2:$B$500,MATCH($B607,المكونات!$A$2:$A$500,0)),"")</f>
        <v>قطعة</v>
      </c>
      <c r="E607" s="41" t="n">
        <f aca="false">IFERROR(INDEX(المكونات!$C$2:$C$500,MATCH($B607,المكونات!$A$2:$A$500,0)),"")</f>
        <v>21</v>
      </c>
      <c r="F607" s="42" t="n">
        <f aca="false">IFERROR($C607*$E607,"")</f>
        <v>21</v>
      </c>
    </row>
    <row r="608" customFormat="false" ht="15" hidden="false" customHeight="true" outlineLevel="0" collapsed="false">
      <c r="A608" s="39" t="s">
        <v>365</v>
      </c>
      <c r="B608" s="39" t="s">
        <v>200</v>
      </c>
      <c r="C608" s="39" t="n">
        <v>1</v>
      </c>
      <c r="D608" s="40" t="str">
        <f aca="false">IFERROR(INDEX(المكونات!$B$2:$B$500,MATCH($B608,المكونات!$A$2:$A$500,0)),"")</f>
        <v>قطعة</v>
      </c>
      <c r="E608" s="41" t="n">
        <f aca="false">IFERROR(INDEX(المكونات!$C$2:$C$500,MATCH($B608,المكونات!$A$2:$A$500,0)),"")</f>
        <v>4</v>
      </c>
      <c r="F608" s="42" t="n">
        <f aca="false">IFERROR($C608*$E608,"")</f>
        <v>4</v>
      </c>
    </row>
    <row r="609" customFormat="false" ht="15" hidden="false" customHeight="true" outlineLevel="0" collapsed="false">
      <c r="A609" s="39" t="s">
        <v>365</v>
      </c>
      <c r="B609" s="39" t="s">
        <v>260</v>
      </c>
      <c r="C609" s="39" t="n">
        <v>0.15</v>
      </c>
      <c r="D609" s="40" t="str">
        <f aca="false">IFERROR(INDEX(المكونات!$B$2:$B$500,MATCH($B609,المكونات!$A$2:$A$500,0)),"")</f>
        <v>كجم</v>
      </c>
      <c r="E609" s="41" t="n">
        <f aca="false">IFERROR(INDEX(المكونات!$C$2:$C$500,MATCH($B609,المكونات!$A$2:$A$500,0)),"")</f>
        <v>23.40908</v>
      </c>
      <c r="F609" s="42" t="n">
        <f aca="false">IFERROR($C609*$E609,"")</f>
        <v>3.511362</v>
      </c>
    </row>
    <row r="610" customFormat="false" ht="15" hidden="false" customHeight="true" outlineLevel="0" collapsed="false">
      <c r="A610" s="39" t="s">
        <v>365</v>
      </c>
      <c r="B610" s="39" t="s">
        <v>164</v>
      </c>
      <c r="C610" s="39" t="n">
        <v>0.05</v>
      </c>
      <c r="D610" s="40" t="str">
        <f aca="false">IFERROR(INDEX(المكونات!$B$2:$B$500,MATCH($B610,المكونات!$A$2:$A$500,0)),"")</f>
        <v>كجم</v>
      </c>
      <c r="E610" s="41" t="n">
        <f aca="false">IFERROR(INDEX(المكونات!$C$2:$C$500,MATCH($B610,المكونات!$A$2:$A$500,0)),"")</f>
        <v>30.2614</v>
      </c>
      <c r="F610" s="42" t="n">
        <f aca="false">IFERROR($C610*$E610,"")</f>
        <v>1.51307</v>
      </c>
    </row>
    <row r="611" customFormat="false" ht="15" hidden="false" customHeight="true" outlineLevel="0" collapsed="false">
      <c r="A611" s="39" t="s">
        <v>365</v>
      </c>
      <c r="B611" s="39" t="s">
        <v>233</v>
      </c>
      <c r="C611" s="39" t="n">
        <v>0.15</v>
      </c>
      <c r="D611" s="40" t="str">
        <f aca="false">IFERROR(INDEX(المكونات!$B$2:$B$500,MATCH($B611,المكونات!$A$2:$A$500,0)),"")</f>
        <v>لتر</v>
      </c>
      <c r="E611" s="41" t="n">
        <f aca="false">IFERROR(INDEX(المكونات!$C$2:$C$500,MATCH($B611,المكونات!$A$2:$A$500,0)),"")</f>
        <v>20.2727</v>
      </c>
      <c r="F611" s="42" t="n">
        <f aca="false">IFERROR($C611*$E611,"")</f>
        <v>3.040905</v>
      </c>
    </row>
    <row r="612" customFormat="false" ht="15" hidden="false" customHeight="true" outlineLevel="0" collapsed="false">
      <c r="A612" s="39" t="s">
        <v>365</v>
      </c>
      <c r="B612" s="39" t="s">
        <v>59</v>
      </c>
      <c r="C612" s="39" t="n">
        <v>1</v>
      </c>
      <c r="D612" s="40" t="str">
        <f aca="false">IFERROR(INDEX(المكونات!$B$2:$B$500,MATCH($B612,المكونات!$A$2:$A$500,0)),"")</f>
        <v>قطعة</v>
      </c>
      <c r="E612" s="41" t="n">
        <f aca="false">IFERROR(INDEX(المكونات!$C$2:$C$500,MATCH($B612,المكونات!$A$2:$A$500,0)),"")</f>
        <v>0.8</v>
      </c>
      <c r="F612" s="42" t="n">
        <f aca="false">IFERROR($C612*$E612,"")</f>
        <v>0.8</v>
      </c>
    </row>
    <row r="613" customFormat="false" ht="26.25" hidden="false" customHeight="true" outlineLevel="0" collapsed="false">
      <c r="A613" s="39" t="s">
        <v>365</v>
      </c>
      <c r="B613" s="39" t="s">
        <v>126</v>
      </c>
      <c r="C613" s="39" t="n">
        <v>1</v>
      </c>
      <c r="D613" s="40" t="str">
        <f aca="false">IFERROR(INDEX(المكونات!$B$2:$B$500,MATCH($B613,المكونات!$A$2:$A$500,0)),"")</f>
        <v>قطعة (لفة استخدام)</v>
      </c>
      <c r="E613" s="41" t="n">
        <f aca="false">IFERROR(INDEX(المكونات!$C$2:$C$500,MATCH($B613,المكونات!$A$2:$A$500,0)),"")</f>
        <v>3.566</v>
      </c>
      <c r="F613" s="42" t="n">
        <f aca="false">IFERROR($C613*$E613,"")</f>
        <v>3.566</v>
      </c>
    </row>
    <row r="614" customFormat="false" ht="15" hidden="false" customHeight="true" outlineLevel="0" collapsed="false">
      <c r="A614" s="39" t="s">
        <v>365</v>
      </c>
      <c r="B614" s="39" t="s">
        <v>174</v>
      </c>
      <c r="C614" s="39" t="n">
        <v>1</v>
      </c>
      <c r="D614" s="40" t="str">
        <f aca="false">IFERROR(INDEX(المكونات!$B$2:$B$500,MATCH($B614,المكونات!$A$2:$A$500,0)),"")</f>
        <v>قطعة</v>
      </c>
      <c r="E614" s="41" t="n">
        <f aca="false">IFERROR(INDEX(المكونات!$C$2:$C$500,MATCH($B614,المكونات!$A$2:$A$500,0)),"")</f>
        <v>0.6744</v>
      </c>
      <c r="F614" s="42" t="n">
        <f aca="false">IFERROR($C614*$E614,"")</f>
        <v>0.6744</v>
      </c>
    </row>
    <row r="615" customFormat="false" ht="15" hidden="false" customHeight="true" outlineLevel="0" collapsed="false">
      <c r="A615" s="39" t="s">
        <v>365</v>
      </c>
      <c r="B615" s="39" t="s">
        <v>178</v>
      </c>
      <c r="C615" s="39" t="n">
        <v>1</v>
      </c>
      <c r="D615" s="40" t="str">
        <f aca="false">IFERROR(INDEX(المكونات!$B$2:$B$500,MATCH($B615,المكونات!$A$2:$A$500,0)),"")</f>
        <v>قطعة</v>
      </c>
      <c r="E615" s="41" t="n">
        <f aca="false">IFERROR(INDEX(المكونات!$C$2:$C$500,MATCH($B615,المكونات!$A$2:$A$500,0)),"")</f>
        <v>0.3</v>
      </c>
      <c r="F615" s="42" t="n">
        <f aca="false">IFERROR($C615*$E615,"")</f>
        <v>0.3</v>
      </c>
    </row>
    <row r="616" customFormat="false" ht="15" hidden="false" customHeight="true" outlineLevel="0" collapsed="false">
      <c r="A616" s="39" t="s">
        <v>365</v>
      </c>
      <c r="B616" s="39" t="s">
        <v>145</v>
      </c>
      <c r="C616" s="39" t="n">
        <v>2</v>
      </c>
      <c r="D616" s="40" t="str">
        <f aca="false">IFERROR(INDEX(المكونات!$B$2:$B$500,MATCH($B616,المكونات!$A$2:$A$500,0)),"")</f>
        <v>قطعة (جلفز)</v>
      </c>
      <c r="E616" s="41" t="n">
        <f aca="false">IFERROR(INDEX(المكونات!$C$2:$C$500,MATCH($B616,المكونات!$A$2:$A$500,0)),"")</f>
        <v>0.18</v>
      </c>
      <c r="F616" s="42" t="n">
        <f aca="false">IFERROR($C616*$E616,"")</f>
        <v>0.36</v>
      </c>
    </row>
    <row r="617" customFormat="false" ht="15" hidden="false" customHeight="true" outlineLevel="0" collapsed="false">
      <c r="A617" s="39" t="s">
        <v>365</v>
      </c>
      <c r="B617" s="39" t="s">
        <v>70</v>
      </c>
      <c r="C617" s="39" t="n">
        <v>1</v>
      </c>
      <c r="D617" s="40" t="str">
        <f aca="false">IFERROR(INDEX(المكونات!$B$2:$B$500,MATCH($B617,المكونات!$A$2:$A$500,0)),"")</f>
        <v>قطعة (كيس)</v>
      </c>
      <c r="E617" s="41" t="n">
        <f aca="false">IFERROR(INDEX(المكونات!$C$2:$C$500,MATCH($B617,المكونات!$A$2:$A$500,0)),"")</f>
        <v>1.4</v>
      </c>
      <c r="F617" s="42" t="n">
        <f aca="false">IFERROR($C617*$E617,"")</f>
        <v>1.4</v>
      </c>
    </row>
    <row r="618" customFormat="false" ht="15" hidden="false" customHeight="true" outlineLevel="0" collapsed="false">
      <c r="A618" s="39" t="s">
        <v>372</v>
      </c>
      <c r="B618" s="39" t="s">
        <v>200</v>
      </c>
      <c r="C618" s="39" t="n">
        <v>1</v>
      </c>
      <c r="D618" s="40" t="str">
        <f aca="false">IFERROR(INDEX(المكونات!$B$2:$B$500,MATCH($B618,المكونات!$A$2:$A$500,0)),"")</f>
        <v>قطعة</v>
      </c>
      <c r="E618" s="41" t="n">
        <f aca="false">IFERROR(INDEX(المكونات!$C$2:$C$500,MATCH($B618,المكونات!$A$2:$A$500,0)),"")</f>
        <v>4</v>
      </c>
      <c r="F618" s="42" t="n">
        <f aca="false">IFERROR($C618*$E618,"")</f>
        <v>4</v>
      </c>
    </row>
    <row r="619" customFormat="false" ht="15" hidden="false" customHeight="true" outlineLevel="0" collapsed="false">
      <c r="A619" s="39" t="s">
        <v>372</v>
      </c>
      <c r="B619" s="39" t="s">
        <v>260</v>
      </c>
      <c r="C619" s="39" t="n">
        <v>0.15</v>
      </c>
      <c r="D619" s="40" t="str">
        <f aca="false">IFERROR(INDEX(المكونات!$B$2:$B$500,MATCH($B619,المكونات!$A$2:$A$500,0)),"")</f>
        <v>كجم</v>
      </c>
      <c r="E619" s="41" t="n">
        <f aca="false">IFERROR(INDEX(المكونات!$C$2:$C$500,MATCH($B619,المكونات!$A$2:$A$500,0)),"")</f>
        <v>23.40908</v>
      </c>
      <c r="F619" s="42" t="n">
        <f aca="false">IFERROR($C619*$E619,"")</f>
        <v>3.511362</v>
      </c>
    </row>
    <row r="620" customFormat="false" ht="15" hidden="false" customHeight="true" outlineLevel="0" collapsed="false">
      <c r="A620" s="39" t="s">
        <v>372</v>
      </c>
      <c r="B620" s="39" t="s">
        <v>156</v>
      </c>
      <c r="C620" s="39" t="n">
        <v>0.06</v>
      </c>
      <c r="D620" s="40" t="str">
        <f aca="false">IFERROR(INDEX(المكونات!$B$2:$B$500,MATCH($B620,المكونات!$A$2:$A$500,0)),"")</f>
        <v>كجم</v>
      </c>
      <c r="E620" s="41" t="n">
        <f aca="false">IFERROR(INDEX(المكونات!$C$2:$C$500,MATCH($B620,المكونات!$A$2:$A$500,0)),"")</f>
        <v>220</v>
      </c>
      <c r="F620" s="42" t="n">
        <f aca="false">IFERROR($C620*$E620,"")</f>
        <v>13.2</v>
      </c>
    </row>
    <row r="621" customFormat="false" ht="15" hidden="false" customHeight="true" outlineLevel="0" collapsed="false">
      <c r="A621" s="39" t="s">
        <v>372</v>
      </c>
      <c r="B621" s="39" t="s">
        <v>148</v>
      </c>
      <c r="C621" s="39" t="n">
        <v>0.03</v>
      </c>
      <c r="D621" s="40" t="str">
        <f aca="false">IFERROR(INDEX(المكونات!$B$2:$B$500,MATCH($B621,المكونات!$A$2:$A$500,0)),"")</f>
        <v>كجم</v>
      </c>
      <c r="E621" s="41" t="n">
        <f aca="false">IFERROR(INDEX(المكونات!$C$2:$C$500,MATCH($B621,المكونات!$A$2:$A$500,0)),"")</f>
        <v>200</v>
      </c>
      <c r="F621" s="42" t="n">
        <f aca="false">IFERROR($C621*$E621,"")</f>
        <v>6</v>
      </c>
    </row>
    <row r="622" customFormat="false" ht="15" hidden="false" customHeight="true" outlineLevel="0" collapsed="false">
      <c r="A622" s="39" t="s">
        <v>372</v>
      </c>
      <c r="B622" s="39" t="s">
        <v>164</v>
      </c>
      <c r="C622" s="39" t="n">
        <v>0.05</v>
      </c>
      <c r="D622" s="40" t="str">
        <f aca="false">IFERROR(INDEX(المكونات!$B$2:$B$500,MATCH($B622,المكونات!$A$2:$A$500,0)),"")</f>
        <v>كجم</v>
      </c>
      <c r="E622" s="41" t="n">
        <f aca="false">IFERROR(INDEX(المكونات!$C$2:$C$500,MATCH($B622,المكونات!$A$2:$A$500,0)),"")</f>
        <v>30.2614</v>
      </c>
      <c r="F622" s="42" t="n">
        <f aca="false">IFERROR($C622*$E622,"")</f>
        <v>1.51307</v>
      </c>
    </row>
    <row r="623" customFormat="false" ht="15" hidden="false" customHeight="true" outlineLevel="0" collapsed="false">
      <c r="A623" s="39" t="s">
        <v>372</v>
      </c>
      <c r="B623" s="39" t="s">
        <v>233</v>
      </c>
      <c r="C623" s="39" t="n">
        <v>0.15</v>
      </c>
      <c r="D623" s="40" t="str">
        <f aca="false">IFERROR(INDEX(المكونات!$B$2:$B$500,MATCH($B623,المكونات!$A$2:$A$500,0)),"")</f>
        <v>لتر</v>
      </c>
      <c r="E623" s="41" t="n">
        <f aca="false">IFERROR(INDEX(المكونات!$C$2:$C$500,MATCH($B623,المكونات!$A$2:$A$500,0)),"")</f>
        <v>20.2727</v>
      </c>
      <c r="F623" s="42" t="n">
        <f aca="false">IFERROR($C623*$E623,"")</f>
        <v>3.040905</v>
      </c>
    </row>
    <row r="624" customFormat="false" ht="26.25" hidden="false" customHeight="true" outlineLevel="0" collapsed="false">
      <c r="A624" s="39" t="s">
        <v>372</v>
      </c>
      <c r="B624" s="39" t="s">
        <v>126</v>
      </c>
      <c r="C624" s="39" t="n">
        <v>1</v>
      </c>
      <c r="D624" s="40" t="str">
        <f aca="false">IFERROR(INDEX(المكونات!$B$2:$B$500,MATCH($B624,المكونات!$A$2:$A$500,0)),"")</f>
        <v>قطعة (لفة استخدام)</v>
      </c>
      <c r="E624" s="41" t="n">
        <f aca="false">IFERROR(INDEX(المكونات!$C$2:$C$500,MATCH($B624,المكونات!$A$2:$A$500,0)),"")</f>
        <v>3.566</v>
      </c>
      <c r="F624" s="42" t="n">
        <f aca="false">IFERROR($C624*$E624,"")</f>
        <v>3.566</v>
      </c>
    </row>
    <row r="625" customFormat="false" ht="15" hidden="false" customHeight="true" outlineLevel="0" collapsed="false">
      <c r="A625" s="39" t="s">
        <v>372</v>
      </c>
      <c r="B625" s="39" t="s">
        <v>213</v>
      </c>
      <c r="C625" s="39" t="n">
        <v>1</v>
      </c>
      <c r="D625" s="40" t="str">
        <f aca="false">IFERROR(INDEX(المكونات!$B$2:$B$500,MATCH($B625,المكونات!$A$2:$A$500,0)),"")</f>
        <v>قطعة</v>
      </c>
      <c r="E625" s="41" t="n">
        <f aca="false">IFERROR(INDEX(المكونات!$C$2:$C$500,MATCH($B625,المكونات!$A$2:$A$500,0)),"")</f>
        <v>3.1</v>
      </c>
      <c r="F625" s="42" t="n">
        <f aca="false">IFERROR($C625*$E625,"")</f>
        <v>3.1</v>
      </c>
    </row>
    <row r="626" customFormat="false" ht="15" hidden="false" customHeight="true" outlineLevel="0" collapsed="false">
      <c r="A626" s="39" t="s">
        <v>372</v>
      </c>
      <c r="B626" s="39" t="s">
        <v>178</v>
      </c>
      <c r="C626" s="39" t="n">
        <v>1</v>
      </c>
      <c r="D626" s="40" t="str">
        <f aca="false">IFERROR(INDEX(المكونات!$B$2:$B$500,MATCH($B626,المكونات!$A$2:$A$500,0)),"")</f>
        <v>قطعة</v>
      </c>
      <c r="E626" s="41" t="n">
        <f aca="false">IFERROR(INDEX(المكونات!$C$2:$C$500,MATCH($B626,المكونات!$A$2:$A$500,0)),"")</f>
        <v>0.3</v>
      </c>
      <c r="F626" s="42" t="n">
        <f aca="false">IFERROR($C626*$E626,"")</f>
        <v>0.3</v>
      </c>
    </row>
    <row r="627" customFormat="false" ht="15" hidden="false" customHeight="true" outlineLevel="0" collapsed="false">
      <c r="A627" s="39" t="s">
        <v>372</v>
      </c>
      <c r="B627" s="39" t="s">
        <v>70</v>
      </c>
      <c r="C627" s="39" t="n">
        <v>1</v>
      </c>
      <c r="D627" s="40" t="str">
        <f aca="false">IFERROR(INDEX(المكونات!$B$2:$B$500,MATCH($B627,المكونات!$A$2:$A$500,0)),"")</f>
        <v>قطعة (كيس)</v>
      </c>
      <c r="E627" s="41" t="n">
        <f aca="false">IFERROR(INDEX(المكونات!$C$2:$C$500,MATCH($B627,المكونات!$A$2:$A$500,0)),"")</f>
        <v>1.4</v>
      </c>
      <c r="F627" s="42" t="n">
        <f aca="false">IFERROR($C627*$E627,"")</f>
        <v>1.4</v>
      </c>
    </row>
    <row r="628" customFormat="false" ht="15" hidden="false" customHeight="true" outlineLevel="0" collapsed="false">
      <c r="A628" s="39" t="s">
        <v>340</v>
      </c>
      <c r="B628" s="39" t="s">
        <v>200</v>
      </c>
      <c r="C628" s="39" t="n">
        <v>1</v>
      </c>
      <c r="D628" s="40" t="str">
        <f aca="false">IFERROR(INDEX(المكونات!$B$2:$B$500,MATCH($B628,المكونات!$A$2:$A$500,0)),"")</f>
        <v>قطعة</v>
      </c>
      <c r="E628" s="41" t="n">
        <f aca="false">IFERROR(INDEX(المكونات!$C$2:$C$500,MATCH($B628,المكونات!$A$2:$A$500,0)),"")</f>
        <v>4</v>
      </c>
      <c r="F628" s="42" t="n">
        <f aca="false">IFERROR($C628*$E628,"")</f>
        <v>4</v>
      </c>
    </row>
    <row r="629" customFormat="false" ht="15" hidden="false" customHeight="true" outlineLevel="0" collapsed="false">
      <c r="A629" s="39" t="s">
        <v>340</v>
      </c>
      <c r="B629" s="39" t="s">
        <v>260</v>
      </c>
      <c r="C629" s="39" t="n">
        <v>0.15</v>
      </c>
      <c r="D629" s="40" t="str">
        <f aca="false">IFERROR(INDEX(المكونات!$B$2:$B$500,MATCH($B629,المكونات!$A$2:$A$500,0)),"")</f>
        <v>كجم</v>
      </c>
      <c r="E629" s="41" t="n">
        <f aca="false">IFERROR(INDEX(المكونات!$C$2:$C$500,MATCH($B629,المكونات!$A$2:$A$500,0)),"")</f>
        <v>23.40908</v>
      </c>
      <c r="F629" s="42" t="n">
        <f aca="false">IFERROR($C629*$E629,"")</f>
        <v>3.511362</v>
      </c>
    </row>
    <row r="630" customFormat="false" ht="15" hidden="false" customHeight="true" outlineLevel="0" collapsed="false">
      <c r="A630" s="39" t="s">
        <v>340</v>
      </c>
      <c r="B630" s="39" t="s">
        <v>100</v>
      </c>
      <c r="C630" s="39" t="n">
        <v>1</v>
      </c>
      <c r="D630" s="40" t="str">
        <f aca="false">IFERROR(INDEX(المكونات!$B$2:$B$500,MATCH($B630,المكونات!$A$2:$A$500,0)),"")</f>
        <v>قطعة</v>
      </c>
      <c r="E630" s="41" t="n">
        <f aca="false">IFERROR(INDEX(المكونات!$C$2:$C$500,MATCH($B630,المكونات!$A$2:$A$500,0)),"")</f>
        <v>25</v>
      </c>
      <c r="F630" s="42" t="n">
        <f aca="false">IFERROR($C630*$E630,"")</f>
        <v>25</v>
      </c>
    </row>
    <row r="631" customFormat="false" ht="15" hidden="false" customHeight="true" outlineLevel="0" collapsed="false">
      <c r="A631" s="39" t="s">
        <v>340</v>
      </c>
      <c r="B631" s="39" t="s">
        <v>104</v>
      </c>
      <c r="C631" s="39" t="n">
        <v>1</v>
      </c>
      <c r="D631" s="40" t="str">
        <f aca="false">IFERROR(INDEX(المكونات!$B$2:$B$500,MATCH($B631,المكونات!$A$2:$A$500,0)),"")</f>
        <v>قطعة</v>
      </c>
      <c r="E631" s="41" t="n">
        <f aca="false">IFERROR(INDEX(المكونات!$C$2:$C$500,MATCH($B631,المكونات!$A$2:$A$500,0)),"")</f>
        <v>23</v>
      </c>
      <c r="F631" s="42" t="n">
        <f aca="false">IFERROR($C631*$E631,"")</f>
        <v>23</v>
      </c>
    </row>
    <row r="632" customFormat="false" ht="15" hidden="false" customHeight="true" outlineLevel="0" collapsed="false">
      <c r="A632" s="39" t="s">
        <v>340</v>
      </c>
      <c r="B632" s="39" t="s">
        <v>164</v>
      </c>
      <c r="C632" s="39" t="n">
        <v>0.05</v>
      </c>
      <c r="D632" s="40" t="str">
        <f aca="false">IFERROR(INDEX(المكونات!$B$2:$B$500,MATCH($B632,المكونات!$A$2:$A$500,0)),"")</f>
        <v>كجم</v>
      </c>
      <c r="E632" s="41" t="n">
        <f aca="false">IFERROR(INDEX(المكونات!$C$2:$C$500,MATCH($B632,المكونات!$A$2:$A$500,0)),"")</f>
        <v>30.2614</v>
      </c>
      <c r="F632" s="42" t="n">
        <f aca="false">IFERROR($C632*$E632,"")</f>
        <v>1.51307</v>
      </c>
    </row>
    <row r="633" customFormat="false" ht="15" hidden="false" customHeight="true" outlineLevel="0" collapsed="false">
      <c r="A633" s="39" t="s">
        <v>340</v>
      </c>
      <c r="B633" s="39" t="s">
        <v>233</v>
      </c>
      <c r="C633" s="39" t="n">
        <v>0.15</v>
      </c>
      <c r="D633" s="40" t="str">
        <f aca="false">IFERROR(INDEX(المكونات!$B$2:$B$500,MATCH($B633,المكونات!$A$2:$A$500,0)),"")</f>
        <v>لتر</v>
      </c>
      <c r="E633" s="41" t="n">
        <f aca="false">IFERROR(INDEX(المكونات!$C$2:$C$500,MATCH($B633,المكونات!$A$2:$A$500,0)),"")</f>
        <v>20.2727</v>
      </c>
      <c r="F633" s="42" t="n">
        <f aca="false">IFERROR($C633*$E633,"")</f>
        <v>3.040905</v>
      </c>
    </row>
    <row r="634" customFormat="false" ht="15" hidden="false" customHeight="true" outlineLevel="0" collapsed="false">
      <c r="A634" s="39" t="s">
        <v>340</v>
      </c>
      <c r="B634" s="39" t="s">
        <v>202</v>
      </c>
      <c r="C634" s="39" t="n">
        <v>0.07</v>
      </c>
      <c r="D634" s="40" t="str">
        <f aca="false">IFERROR(INDEX(المكونات!$B$2:$B$500,MATCH($B634,المكونات!$A$2:$A$500,0)),"")</f>
        <v>كجم</v>
      </c>
      <c r="E634" s="41" t="n">
        <f aca="false">IFERROR(INDEX(المكونات!$C$2:$C$500,MATCH($B634,المكونات!$A$2:$A$500,0)),"")</f>
        <v>140</v>
      </c>
      <c r="F634" s="42" t="n">
        <f aca="false">IFERROR($C634*$E634,"")</f>
        <v>9.8</v>
      </c>
    </row>
    <row r="635" customFormat="false" ht="26.25" hidden="false" customHeight="true" outlineLevel="0" collapsed="false">
      <c r="A635" s="39" t="s">
        <v>340</v>
      </c>
      <c r="B635" s="39" t="s">
        <v>126</v>
      </c>
      <c r="C635" s="39" t="n">
        <v>1</v>
      </c>
      <c r="D635" s="40" t="str">
        <f aca="false">IFERROR(INDEX(المكونات!$B$2:$B$500,MATCH($B635,المكونات!$A$2:$A$500,0)),"")</f>
        <v>قطعة (لفة استخدام)</v>
      </c>
      <c r="E635" s="41" t="n">
        <f aca="false">IFERROR(INDEX(المكونات!$C$2:$C$500,MATCH($B635,المكونات!$A$2:$A$500,0)),"")</f>
        <v>3.566</v>
      </c>
      <c r="F635" s="42" t="n">
        <f aca="false">IFERROR($C635*$E635,"")</f>
        <v>3.566</v>
      </c>
    </row>
    <row r="636" customFormat="false" ht="15" hidden="false" customHeight="true" outlineLevel="0" collapsed="false">
      <c r="A636" s="39" t="s">
        <v>340</v>
      </c>
      <c r="B636" s="39" t="s">
        <v>213</v>
      </c>
      <c r="C636" s="39" t="n">
        <v>1</v>
      </c>
      <c r="D636" s="40" t="str">
        <f aca="false">IFERROR(INDEX(المكونات!$B$2:$B$500,MATCH($B636,المكونات!$A$2:$A$500,0)),"")</f>
        <v>قطعة</v>
      </c>
      <c r="E636" s="41" t="n">
        <f aca="false">IFERROR(INDEX(المكونات!$C$2:$C$500,MATCH($B636,المكونات!$A$2:$A$500,0)),"")</f>
        <v>3.1</v>
      </c>
      <c r="F636" s="42" t="n">
        <f aca="false">IFERROR($C636*$E636,"")</f>
        <v>3.1</v>
      </c>
    </row>
    <row r="637" customFormat="false" ht="15" hidden="false" customHeight="true" outlineLevel="0" collapsed="false">
      <c r="A637" s="39" t="s">
        <v>340</v>
      </c>
      <c r="B637" s="39" t="s">
        <v>178</v>
      </c>
      <c r="C637" s="39" t="n">
        <v>1</v>
      </c>
      <c r="D637" s="40" t="str">
        <f aca="false">IFERROR(INDEX(المكونات!$B$2:$B$500,MATCH($B637,المكونات!$A$2:$A$500,0)),"")</f>
        <v>قطعة</v>
      </c>
      <c r="E637" s="41" t="n">
        <f aca="false">IFERROR(INDEX(المكونات!$C$2:$C$500,MATCH($B637,المكونات!$A$2:$A$500,0)),"")</f>
        <v>0.3</v>
      </c>
      <c r="F637" s="42" t="n">
        <f aca="false">IFERROR($C637*$E637,"")</f>
        <v>0.3</v>
      </c>
    </row>
    <row r="638" customFormat="false" ht="15" hidden="false" customHeight="true" outlineLevel="0" collapsed="false">
      <c r="A638" s="39" t="s">
        <v>340</v>
      </c>
      <c r="B638" s="39" t="s">
        <v>70</v>
      </c>
      <c r="C638" s="39" t="n">
        <v>1</v>
      </c>
      <c r="D638" s="40" t="str">
        <f aca="false">IFERROR(INDEX(المكونات!$B$2:$B$500,MATCH($B638,المكونات!$A$2:$A$500,0)),"")</f>
        <v>قطعة (كيس)</v>
      </c>
      <c r="E638" s="41" t="n">
        <f aca="false">IFERROR(INDEX(المكونات!$C$2:$C$500,MATCH($B638,المكونات!$A$2:$A$500,0)),"")</f>
        <v>1.4</v>
      </c>
      <c r="F638" s="42" t="n">
        <f aca="false">IFERROR($C638*$E638,"")</f>
        <v>1.4</v>
      </c>
    </row>
    <row r="639" customFormat="false" ht="15" hidden="false" customHeight="true" outlineLevel="0" collapsed="false">
      <c r="A639" s="39" t="s">
        <v>331</v>
      </c>
      <c r="B639" s="39" t="s">
        <v>200</v>
      </c>
      <c r="C639" s="39" t="n">
        <v>1</v>
      </c>
      <c r="D639" s="40" t="str">
        <f aca="false">IFERROR(INDEX(المكونات!$B$2:$B$500,MATCH($B639,المكونات!$A$2:$A$500,0)),"")</f>
        <v>قطعة</v>
      </c>
      <c r="E639" s="41" t="n">
        <f aca="false">IFERROR(INDEX(المكونات!$C$2:$C$500,MATCH($B639,المكونات!$A$2:$A$500,0)),"")</f>
        <v>4</v>
      </c>
      <c r="F639" s="42" t="n">
        <f aca="false">IFERROR($C639*$E639,"")</f>
        <v>4</v>
      </c>
    </row>
    <row r="640" customFormat="false" ht="15" hidden="false" customHeight="true" outlineLevel="0" collapsed="false">
      <c r="A640" s="39" t="s">
        <v>331</v>
      </c>
      <c r="B640" s="39" t="s">
        <v>260</v>
      </c>
      <c r="C640" s="39" t="n">
        <v>0.15</v>
      </c>
      <c r="D640" s="40" t="str">
        <f aca="false">IFERROR(INDEX(المكونات!$B$2:$B$500,MATCH($B640,المكونات!$A$2:$A$500,0)),"")</f>
        <v>كجم</v>
      </c>
      <c r="E640" s="41" t="n">
        <f aca="false">IFERROR(INDEX(المكونات!$C$2:$C$500,MATCH($B640,المكونات!$A$2:$A$500,0)),"")</f>
        <v>23.40908</v>
      </c>
      <c r="F640" s="42" t="n">
        <f aca="false">IFERROR($C640*$E640,"")</f>
        <v>3.511362</v>
      </c>
    </row>
    <row r="641" customFormat="false" ht="15" hidden="false" customHeight="true" outlineLevel="0" collapsed="false">
      <c r="A641" s="39" t="s">
        <v>331</v>
      </c>
      <c r="B641" s="39" t="s">
        <v>180</v>
      </c>
      <c r="C641" s="39" t="n">
        <v>0.16</v>
      </c>
      <c r="D641" s="40" t="str">
        <f aca="false">IFERROR(INDEX(المكونات!$B$2:$B$500,MATCH($B641,المكونات!$A$2:$A$500,0)),"")</f>
        <v>كجم</v>
      </c>
      <c r="E641" s="41" t="n">
        <f aca="false">IFERROR(INDEX(المكونات!$C$2:$C$500,MATCH($B641,المكونات!$A$2:$A$500,0)),"")</f>
        <v>130</v>
      </c>
      <c r="F641" s="42" t="n">
        <f aca="false">IFERROR($C641*$E641,"")</f>
        <v>20.8</v>
      </c>
    </row>
    <row r="642" customFormat="false" ht="15" hidden="false" customHeight="true" outlineLevel="0" collapsed="false">
      <c r="A642" s="39" t="s">
        <v>331</v>
      </c>
      <c r="B642" s="39" t="s">
        <v>182</v>
      </c>
      <c r="C642" s="39" t="n">
        <v>0.03</v>
      </c>
      <c r="D642" s="40" t="str">
        <f aca="false">IFERROR(INDEX(المكونات!$B$2:$B$500,MATCH($B642,المكونات!$A$2:$A$500,0)),"")</f>
        <v>كجم</v>
      </c>
      <c r="E642" s="41" t="n">
        <f aca="false">IFERROR(INDEX(المكونات!$C$2:$C$500,MATCH($B642,المكونات!$A$2:$A$500,0)),"")</f>
        <v>100</v>
      </c>
      <c r="F642" s="42" t="n">
        <f aca="false">IFERROR($C642*$E642,"")</f>
        <v>3</v>
      </c>
    </row>
    <row r="643" customFormat="false" ht="15" hidden="false" customHeight="true" outlineLevel="0" collapsed="false">
      <c r="A643" s="39" t="s">
        <v>331</v>
      </c>
      <c r="B643" s="39" t="s">
        <v>230</v>
      </c>
      <c r="C643" s="39" t="n">
        <v>0.01</v>
      </c>
      <c r="D643" s="40" t="str">
        <f aca="false">IFERROR(INDEX(المكونات!$B$2:$B$500,MATCH($B643,المكونات!$A$2:$A$500,0)),"")</f>
        <v>كجم</v>
      </c>
      <c r="E643" s="41" t="n">
        <f aca="false">IFERROR(INDEX(المكونات!$C$2:$C$500,MATCH($B643,المكونات!$A$2:$A$500,0)),"")</f>
        <v>420</v>
      </c>
      <c r="F643" s="42" t="n">
        <f aca="false">IFERROR($C643*$E643,"")</f>
        <v>4.2</v>
      </c>
    </row>
    <row r="644" customFormat="false" ht="26.25" hidden="false" customHeight="true" outlineLevel="0" collapsed="false">
      <c r="A644" s="39" t="s">
        <v>331</v>
      </c>
      <c r="B644" s="39" t="s">
        <v>126</v>
      </c>
      <c r="C644" s="39" t="n">
        <v>1</v>
      </c>
      <c r="D644" s="40" t="str">
        <f aca="false">IFERROR(INDEX(المكونات!$B$2:$B$500,MATCH($B644,المكونات!$A$2:$A$500,0)),"")</f>
        <v>قطعة (لفة استخدام)</v>
      </c>
      <c r="E644" s="41" t="n">
        <f aca="false">IFERROR(INDEX(المكونات!$C$2:$C$500,MATCH($B644,المكونات!$A$2:$A$500,0)),"")</f>
        <v>3.566</v>
      </c>
      <c r="F644" s="42" t="n">
        <f aca="false">IFERROR($C644*$E644,"")</f>
        <v>3.566</v>
      </c>
    </row>
    <row r="645" customFormat="false" ht="15" hidden="false" customHeight="true" outlineLevel="0" collapsed="false">
      <c r="A645" s="39" t="s">
        <v>331</v>
      </c>
      <c r="B645" s="39" t="s">
        <v>213</v>
      </c>
      <c r="C645" s="39" t="n">
        <v>1</v>
      </c>
      <c r="D645" s="40" t="str">
        <f aca="false">IFERROR(INDEX(المكونات!$B$2:$B$500,MATCH($B645,المكونات!$A$2:$A$500,0)),"")</f>
        <v>قطعة</v>
      </c>
      <c r="E645" s="41" t="n">
        <f aca="false">IFERROR(INDEX(المكونات!$C$2:$C$500,MATCH($B645,المكونات!$A$2:$A$500,0)),"")</f>
        <v>3.1</v>
      </c>
      <c r="F645" s="42" t="n">
        <f aca="false">IFERROR($C645*$E645,"")</f>
        <v>3.1</v>
      </c>
    </row>
    <row r="646" customFormat="false" ht="15" hidden="false" customHeight="true" outlineLevel="0" collapsed="false">
      <c r="A646" s="39" t="s">
        <v>331</v>
      </c>
      <c r="B646" s="39" t="s">
        <v>178</v>
      </c>
      <c r="C646" s="39" t="n">
        <v>1</v>
      </c>
      <c r="D646" s="40" t="str">
        <f aca="false">IFERROR(INDEX(المكونات!$B$2:$B$500,MATCH($B646,المكونات!$A$2:$A$500,0)),"")</f>
        <v>قطعة</v>
      </c>
      <c r="E646" s="41" t="n">
        <f aca="false">IFERROR(INDEX(المكونات!$C$2:$C$500,MATCH($B646,المكونات!$A$2:$A$500,0)),"")</f>
        <v>0.3</v>
      </c>
      <c r="F646" s="42" t="n">
        <f aca="false">IFERROR($C646*$E646,"")</f>
        <v>0.3</v>
      </c>
    </row>
    <row r="647" customFormat="false" ht="15" hidden="false" customHeight="true" outlineLevel="0" collapsed="false">
      <c r="A647" s="39" t="s">
        <v>331</v>
      </c>
      <c r="B647" s="39" t="s">
        <v>70</v>
      </c>
      <c r="C647" s="39" t="n">
        <v>1</v>
      </c>
      <c r="D647" s="40" t="str">
        <f aca="false">IFERROR(INDEX(المكونات!$B$2:$B$500,MATCH($B647,المكونات!$A$2:$A$500,0)),"")</f>
        <v>قطعة (كيس)</v>
      </c>
      <c r="E647" s="41" t="n">
        <f aca="false">IFERROR(INDEX(المكونات!$C$2:$C$500,MATCH($B647,المكونات!$A$2:$A$500,0)),"")</f>
        <v>1.4</v>
      </c>
      <c r="F647" s="42" t="n">
        <f aca="false">IFERROR($C647*$E647,"")</f>
        <v>1.4</v>
      </c>
    </row>
    <row r="648" customFormat="false" ht="15" hidden="false" customHeight="true" outlineLevel="0" collapsed="false">
      <c r="A648" s="39" t="s">
        <v>358</v>
      </c>
      <c r="B648" s="39" t="s">
        <v>200</v>
      </c>
      <c r="C648" s="39" t="n">
        <v>1</v>
      </c>
      <c r="D648" s="40" t="str">
        <f aca="false">IFERROR(INDEX(المكونات!$B$2:$B$500,MATCH($B648,المكونات!$A$2:$A$500,0)),"")</f>
        <v>قطعة</v>
      </c>
      <c r="E648" s="41" t="n">
        <f aca="false">IFERROR(INDEX(المكونات!$C$2:$C$500,MATCH($B648,المكونات!$A$2:$A$500,0)),"")</f>
        <v>4</v>
      </c>
      <c r="F648" s="42" t="n">
        <f aca="false">IFERROR($C648*$E648,"")</f>
        <v>4</v>
      </c>
    </row>
    <row r="649" customFormat="false" ht="15" hidden="false" customHeight="true" outlineLevel="0" collapsed="false">
      <c r="A649" s="39" t="s">
        <v>358</v>
      </c>
      <c r="B649" s="39" t="s">
        <v>260</v>
      </c>
      <c r="C649" s="39" t="n">
        <v>0.15</v>
      </c>
      <c r="D649" s="40" t="str">
        <f aca="false">IFERROR(INDEX(المكونات!$B$2:$B$500,MATCH($B649,المكونات!$A$2:$A$500,0)),"")</f>
        <v>كجم</v>
      </c>
      <c r="E649" s="41" t="n">
        <f aca="false">IFERROR(INDEX(المكونات!$C$2:$C$500,MATCH($B649,المكونات!$A$2:$A$500,0)),"")</f>
        <v>23.40908</v>
      </c>
      <c r="F649" s="42" t="n">
        <f aca="false">IFERROR($C649*$E649,"")</f>
        <v>3.511362</v>
      </c>
    </row>
    <row r="650" customFormat="false" ht="15" hidden="false" customHeight="true" outlineLevel="0" collapsed="false">
      <c r="A650" s="39" t="s">
        <v>358</v>
      </c>
      <c r="B650" s="39" t="s">
        <v>252</v>
      </c>
      <c r="C650" s="39" t="n">
        <v>0.16</v>
      </c>
      <c r="D650" s="40" t="str">
        <f aca="false">IFERROR(INDEX(المكونات!$B$2:$B$500,MATCH($B650,المكونات!$A$2:$A$500,0)),"")</f>
        <v>كجم</v>
      </c>
      <c r="E650" s="41" t="n">
        <f aca="false">IFERROR(INDEX(المكونات!$C$2:$C$500,MATCH($B650,المكونات!$A$2:$A$500,0)),"")</f>
        <v>610</v>
      </c>
      <c r="F650" s="42" t="n">
        <f aca="false">IFERROR($C650*$E650,"")</f>
        <v>97.6</v>
      </c>
    </row>
    <row r="651" customFormat="false" ht="15" hidden="false" customHeight="true" outlineLevel="0" collapsed="false">
      <c r="A651" s="39" t="s">
        <v>358</v>
      </c>
      <c r="B651" s="39" t="s">
        <v>182</v>
      </c>
      <c r="C651" s="39" t="n">
        <v>0.03</v>
      </c>
      <c r="D651" s="40" t="str">
        <f aca="false">IFERROR(INDEX(المكونات!$B$2:$B$500,MATCH($B651,المكونات!$A$2:$A$500,0)),"")</f>
        <v>كجم</v>
      </c>
      <c r="E651" s="41" t="n">
        <f aca="false">IFERROR(INDEX(المكونات!$C$2:$C$500,MATCH($B651,المكونات!$A$2:$A$500,0)),"")</f>
        <v>100</v>
      </c>
      <c r="F651" s="42" t="n">
        <f aca="false">IFERROR($C651*$E651,"")</f>
        <v>3</v>
      </c>
    </row>
    <row r="652" customFormat="false" ht="15" hidden="false" customHeight="true" outlineLevel="0" collapsed="false">
      <c r="A652" s="39" t="s">
        <v>358</v>
      </c>
      <c r="B652" s="39" t="s">
        <v>100</v>
      </c>
      <c r="C652" s="39" t="n">
        <v>1</v>
      </c>
      <c r="D652" s="40" t="str">
        <f aca="false">IFERROR(INDEX(المكونات!$B$2:$B$500,MATCH($B652,المكونات!$A$2:$A$500,0)),"")</f>
        <v>قطعة</v>
      </c>
      <c r="E652" s="41" t="n">
        <f aca="false">IFERROR(INDEX(المكونات!$C$2:$C$500,MATCH($B652,المكونات!$A$2:$A$500,0)),"")</f>
        <v>25</v>
      </c>
      <c r="F652" s="42" t="n">
        <f aca="false">IFERROR($C652*$E652,"")</f>
        <v>25</v>
      </c>
    </row>
    <row r="653" customFormat="false" ht="15" hidden="false" customHeight="true" outlineLevel="0" collapsed="false">
      <c r="A653" s="39" t="s">
        <v>358</v>
      </c>
      <c r="B653" s="39" t="s">
        <v>104</v>
      </c>
      <c r="C653" s="39" t="n">
        <v>1</v>
      </c>
      <c r="D653" s="40" t="str">
        <f aca="false">IFERROR(INDEX(المكونات!$B$2:$B$500,MATCH($B653,المكونات!$A$2:$A$500,0)),"")</f>
        <v>قطعة</v>
      </c>
      <c r="E653" s="41" t="n">
        <f aca="false">IFERROR(INDEX(المكونات!$C$2:$C$500,MATCH($B653,المكونات!$A$2:$A$500,0)),"")</f>
        <v>23</v>
      </c>
      <c r="F653" s="42" t="n">
        <f aca="false">IFERROR($C653*$E653,"")</f>
        <v>23</v>
      </c>
    </row>
    <row r="654" customFormat="false" ht="26.25" hidden="false" customHeight="true" outlineLevel="0" collapsed="false">
      <c r="A654" s="39" t="s">
        <v>358</v>
      </c>
      <c r="B654" s="39" t="s">
        <v>126</v>
      </c>
      <c r="C654" s="39" t="n">
        <v>1</v>
      </c>
      <c r="D654" s="40" t="str">
        <f aca="false">IFERROR(INDEX(المكونات!$B$2:$B$500,MATCH($B654,المكونات!$A$2:$A$500,0)),"")</f>
        <v>قطعة (لفة استخدام)</v>
      </c>
      <c r="E654" s="41" t="n">
        <f aca="false">IFERROR(INDEX(المكونات!$C$2:$C$500,MATCH($B654,المكونات!$A$2:$A$500,0)),"")</f>
        <v>3.566</v>
      </c>
      <c r="F654" s="42" t="n">
        <f aca="false">IFERROR($C654*$E654,"")</f>
        <v>3.566</v>
      </c>
    </row>
    <row r="655" customFormat="false" ht="15" hidden="false" customHeight="true" outlineLevel="0" collapsed="false">
      <c r="A655" s="39" t="s">
        <v>358</v>
      </c>
      <c r="B655" s="39" t="s">
        <v>213</v>
      </c>
      <c r="C655" s="39" t="n">
        <v>1</v>
      </c>
      <c r="D655" s="40" t="str">
        <f aca="false">IFERROR(INDEX(المكونات!$B$2:$B$500,MATCH($B655,المكونات!$A$2:$A$500,0)),"")</f>
        <v>قطعة</v>
      </c>
      <c r="E655" s="41" t="n">
        <f aca="false">IFERROR(INDEX(المكونات!$C$2:$C$500,MATCH($B655,المكونات!$A$2:$A$500,0)),"")</f>
        <v>3.1</v>
      </c>
      <c r="F655" s="42" t="n">
        <f aca="false">IFERROR($C655*$E655,"")</f>
        <v>3.1</v>
      </c>
    </row>
    <row r="656" customFormat="false" ht="15" hidden="false" customHeight="true" outlineLevel="0" collapsed="false">
      <c r="A656" s="39" t="s">
        <v>358</v>
      </c>
      <c r="B656" s="39" t="s">
        <v>178</v>
      </c>
      <c r="C656" s="39" t="n">
        <v>1</v>
      </c>
      <c r="D656" s="40" t="str">
        <f aca="false">IFERROR(INDEX(المكونات!$B$2:$B$500,MATCH($B656,المكونات!$A$2:$A$500,0)),"")</f>
        <v>قطعة</v>
      </c>
      <c r="E656" s="41" t="n">
        <f aca="false">IFERROR(INDEX(المكونات!$C$2:$C$500,MATCH($B656,المكونات!$A$2:$A$500,0)),"")</f>
        <v>0.3</v>
      </c>
      <c r="F656" s="42" t="n">
        <f aca="false">IFERROR($C656*$E656,"")</f>
        <v>0.3</v>
      </c>
    </row>
    <row r="657" customFormat="false" ht="15" hidden="false" customHeight="true" outlineLevel="0" collapsed="false">
      <c r="A657" s="39" t="s">
        <v>358</v>
      </c>
      <c r="B657" s="39" t="s">
        <v>70</v>
      </c>
      <c r="C657" s="39" t="n">
        <v>1</v>
      </c>
      <c r="D657" s="40" t="str">
        <f aca="false">IFERROR(INDEX(المكونات!$B$2:$B$500,MATCH($B657,المكونات!$A$2:$A$500,0)),"")</f>
        <v>قطعة (كيس)</v>
      </c>
      <c r="E657" s="41" t="n">
        <f aca="false">IFERROR(INDEX(المكونات!$C$2:$C$500,MATCH($B657,المكونات!$A$2:$A$500,0)),"")</f>
        <v>1.4</v>
      </c>
      <c r="F657" s="42" t="n">
        <f aca="false">IFERROR($C657*$E657,"")</f>
        <v>1.4</v>
      </c>
    </row>
    <row r="658" customFormat="false" ht="15" hidden="false" customHeight="true" outlineLevel="0" collapsed="false">
      <c r="A658" s="39" t="s">
        <v>362</v>
      </c>
      <c r="B658" s="39" t="s">
        <v>200</v>
      </c>
      <c r="C658" s="39" t="n">
        <v>1</v>
      </c>
      <c r="D658" s="40" t="str">
        <f aca="false">IFERROR(INDEX(المكونات!$B$2:$B$500,MATCH($B658,المكونات!$A$2:$A$500,0)),"")</f>
        <v>قطعة</v>
      </c>
      <c r="E658" s="41" t="n">
        <f aca="false">IFERROR(INDEX(المكونات!$C$2:$C$500,MATCH($B658,المكونات!$A$2:$A$500,0)),"")</f>
        <v>4</v>
      </c>
      <c r="F658" s="42" t="n">
        <f aca="false">IFERROR($C658*$E658,"")</f>
        <v>4</v>
      </c>
    </row>
    <row r="659" customFormat="false" ht="15" hidden="false" customHeight="true" outlineLevel="0" collapsed="false">
      <c r="A659" s="39" t="s">
        <v>362</v>
      </c>
      <c r="B659" s="39" t="s">
        <v>260</v>
      </c>
      <c r="C659" s="39" t="n">
        <v>0.15</v>
      </c>
      <c r="D659" s="40" t="str">
        <f aca="false">IFERROR(INDEX(المكونات!$B$2:$B$500,MATCH($B659,المكونات!$A$2:$A$500,0)),"")</f>
        <v>كجم</v>
      </c>
      <c r="E659" s="41" t="n">
        <f aca="false">IFERROR(INDEX(المكونات!$C$2:$C$500,MATCH($B659,المكونات!$A$2:$A$500,0)),"")</f>
        <v>23.40908</v>
      </c>
      <c r="F659" s="42" t="n">
        <f aca="false">IFERROR($C659*$E659,"")</f>
        <v>3.511362</v>
      </c>
    </row>
    <row r="660" customFormat="false" ht="15" hidden="false" customHeight="true" outlineLevel="0" collapsed="false">
      <c r="A660" s="39" t="s">
        <v>362</v>
      </c>
      <c r="B660" s="39" t="s">
        <v>180</v>
      </c>
      <c r="C660" s="39" t="n">
        <v>0.1</v>
      </c>
      <c r="D660" s="40" t="str">
        <f aca="false">IFERROR(INDEX(المكونات!$B$2:$B$500,MATCH($B660,المكونات!$A$2:$A$500,0)),"")</f>
        <v>كجم</v>
      </c>
      <c r="E660" s="41" t="n">
        <f aca="false">IFERROR(INDEX(المكونات!$C$2:$C$500,MATCH($B660,المكونات!$A$2:$A$500,0)),"")</f>
        <v>130</v>
      </c>
      <c r="F660" s="42" t="n">
        <f aca="false">IFERROR($C660*$E660,"")</f>
        <v>13</v>
      </c>
    </row>
    <row r="661" customFormat="false" ht="15" hidden="false" customHeight="true" outlineLevel="0" collapsed="false">
      <c r="A661" s="39" t="s">
        <v>362</v>
      </c>
      <c r="B661" s="39" t="s">
        <v>237</v>
      </c>
      <c r="C661" s="39" t="n">
        <v>0.05</v>
      </c>
      <c r="D661" s="40" t="str">
        <f aca="false">IFERROR(INDEX(المكونات!$B$2:$B$500,MATCH($B661,المكونات!$A$2:$A$500,0)),"")</f>
        <v>كجم</v>
      </c>
      <c r="E661" s="41" t="n">
        <f aca="false">IFERROR(INDEX(المكونات!$C$2:$C$500,MATCH($B661,المكونات!$A$2:$A$500,0)),"")</f>
        <v>135</v>
      </c>
      <c r="F661" s="42" t="n">
        <f aca="false">IFERROR($C661*$E661,"")</f>
        <v>6.75</v>
      </c>
    </row>
    <row r="662" customFormat="false" ht="15" hidden="false" customHeight="true" outlineLevel="0" collapsed="false">
      <c r="A662" s="39" t="s">
        <v>362</v>
      </c>
      <c r="B662" s="39" t="s">
        <v>182</v>
      </c>
      <c r="C662" s="39" t="n">
        <v>0.05</v>
      </c>
      <c r="D662" s="40" t="str">
        <f aca="false">IFERROR(INDEX(المكونات!$B$2:$B$500,MATCH($B662,المكونات!$A$2:$A$500,0)),"")</f>
        <v>كجم</v>
      </c>
      <c r="E662" s="41" t="n">
        <f aca="false">IFERROR(INDEX(المكونات!$C$2:$C$500,MATCH($B662,المكونات!$A$2:$A$500,0)),"")</f>
        <v>100</v>
      </c>
      <c r="F662" s="42" t="n">
        <f aca="false">IFERROR($C662*$E662,"")</f>
        <v>5</v>
      </c>
    </row>
    <row r="663" customFormat="false" ht="15" hidden="false" customHeight="true" outlineLevel="0" collapsed="false">
      <c r="A663" s="39" t="s">
        <v>362</v>
      </c>
      <c r="B663" s="39" t="s">
        <v>119</v>
      </c>
      <c r="C663" s="39" t="n">
        <v>0.03</v>
      </c>
      <c r="D663" s="40" t="str">
        <f aca="false">IFERROR(INDEX(المكونات!$B$2:$B$500,MATCH($B663,المكونات!$A$2:$A$500,0)),"")</f>
        <v>كجم</v>
      </c>
      <c r="E663" s="41" t="n">
        <f aca="false">IFERROR(INDEX(المكونات!$C$2:$C$500,MATCH($B663,المكونات!$A$2:$A$500,0)),"")</f>
        <v>100</v>
      </c>
      <c r="F663" s="42" t="n">
        <f aca="false">IFERROR($C663*$E663,"")</f>
        <v>3</v>
      </c>
    </row>
    <row r="664" customFormat="false" ht="15" hidden="false" customHeight="true" outlineLevel="0" collapsed="false">
      <c r="A664" s="39" t="s">
        <v>362</v>
      </c>
      <c r="B664" s="39" t="s">
        <v>114</v>
      </c>
      <c r="C664" s="39" t="n">
        <v>0.03</v>
      </c>
      <c r="D664" s="40" t="str">
        <f aca="false">IFERROR(INDEX(المكونات!$B$2:$B$500,MATCH($B664,المكونات!$A$2:$A$500,0)),"")</f>
        <v>كجم</v>
      </c>
      <c r="E664" s="41" t="n">
        <f aca="false">IFERROR(INDEX(المكونات!$C$2:$C$500,MATCH($B664,المكونات!$A$2:$A$500,0)),"")</f>
        <v>100</v>
      </c>
      <c r="F664" s="42" t="n">
        <f aca="false">IFERROR($C664*$E664,"")</f>
        <v>3</v>
      </c>
    </row>
    <row r="665" customFormat="false" ht="15" hidden="false" customHeight="true" outlineLevel="0" collapsed="false">
      <c r="A665" s="39" t="s">
        <v>362</v>
      </c>
      <c r="B665" s="39" t="s">
        <v>104</v>
      </c>
      <c r="C665" s="39" t="n">
        <v>1</v>
      </c>
      <c r="D665" s="40" t="str">
        <f aca="false">IFERROR(INDEX(المكونات!$B$2:$B$500,MATCH($B665,المكونات!$A$2:$A$500,0)),"")</f>
        <v>قطعة</v>
      </c>
      <c r="E665" s="41" t="n">
        <f aca="false">IFERROR(INDEX(المكونات!$C$2:$C$500,MATCH($B665,المكونات!$A$2:$A$500,0)),"")</f>
        <v>23</v>
      </c>
      <c r="F665" s="42" t="n">
        <f aca="false">IFERROR($C665*$E665,"")</f>
        <v>23</v>
      </c>
    </row>
    <row r="666" customFormat="false" ht="15" hidden="false" customHeight="true" outlineLevel="0" collapsed="false">
      <c r="A666" s="39" t="s">
        <v>362</v>
      </c>
      <c r="B666" s="39" t="s">
        <v>169</v>
      </c>
      <c r="C666" s="39" t="n">
        <v>1</v>
      </c>
      <c r="D666" s="40" t="str">
        <f aca="false">IFERROR(INDEX(المكونات!$B$2:$B$500,MATCH($B666,المكونات!$A$2:$A$500,0)),"")</f>
        <v>قطعة (استخدام)</v>
      </c>
      <c r="E666" s="41" t="n">
        <f aca="false">IFERROR(INDEX(المكونات!$C$2:$C$500,MATCH($B666,المكونات!$A$2:$A$500,0)),"")</f>
        <v>2.5189</v>
      </c>
      <c r="F666" s="42" t="n">
        <f aca="false">IFERROR($C666*$E666,"")</f>
        <v>2.5189</v>
      </c>
    </row>
    <row r="667" customFormat="false" ht="15" hidden="false" customHeight="true" outlineLevel="0" collapsed="false">
      <c r="A667" s="39" t="s">
        <v>362</v>
      </c>
      <c r="B667" s="39" t="s">
        <v>206</v>
      </c>
      <c r="C667" s="39" t="n">
        <v>1</v>
      </c>
      <c r="D667" s="40" t="str">
        <f aca="false">IFERROR(INDEX(المكونات!$B$2:$B$500,MATCH($B667,المكونات!$A$2:$A$500,0)),"")</f>
        <v>قطعة</v>
      </c>
      <c r="E667" s="41" t="n">
        <f aca="false">IFERROR(INDEX(المكونات!$C$2:$C$500,MATCH($B667,المكونات!$A$2:$A$500,0)),"")</f>
        <v>4.5</v>
      </c>
      <c r="F667" s="42" t="n">
        <f aca="false">IFERROR($C667*$E667,"")</f>
        <v>4.5</v>
      </c>
    </row>
    <row r="668" customFormat="false" ht="26.25" hidden="false" customHeight="true" outlineLevel="0" collapsed="false">
      <c r="A668" s="39" t="s">
        <v>362</v>
      </c>
      <c r="B668" s="39" t="s">
        <v>126</v>
      </c>
      <c r="C668" s="39" t="n">
        <v>1</v>
      </c>
      <c r="D668" s="40" t="str">
        <f aca="false">IFERROR(INDEX(المكونات!$B$2:$B$500,MATCH($B668,المكونات!$A$2:$A$500,0)),"")</f>
        <v>قطعة (لفة استخدام)</v>
      </c>
      <c r="E668" s="41" t="n">
        <f aca="false">IFERROR(INDEX(المكونات!$C$2:$C$500,MATCH($B668,المكونات!$A$2:$A$500,0)),"")</f>
        <v>3.566</v>
      </c>
      <c r="F668" s="42" t="n">
        <f aca="false">IFERROR($C668*$E668,"")</f>
        <v>3.566</v>
      </c>
    </row>
    <row r="669" customFormat="false" ht="15" hidden="false" customHeight="true" outlineLevel="0" collapsed="false">
      <c r="A669" s="39" t="s">
        <v>362</v>
      </c>
      <c r="B669" s="39" t="s">
        <v>178</v>
      </c>
      <c r="C669" s="39" t="n">
        <v>1</v>
      </c>
      <c r="D669" s="40" t="str">
        <f aca="false">IFERROR(INDEX(المكونات!$B$2:$B$500,MATCH($B669,المكونات!$A$2:$A$500,0)),"")</f>
        <v>قطعة</v>
      </c>
      <c r="E669" s="41" t="n">
        <f aca="false">IFERROR(INDEX(المكونات!$C$2:$C$500,MATCH($B669,المكونات!$A$2:$A$500,0)),"")</f>
        <v>0.3</v>
      </c>
      <c r="F669" s="42" t="n">
        <f aca="false">IFERROR($C669*$E669,"")</f>
        <v>0.3</v>
      </c>
    </row>
    <row r="670" customFormat="false" ht="15" hidden="false" customHeight="true" outlineLevel="0" collapsed="false">
      <c r="A670" s="39" t="s">
        <v>362</v>
      </c>
      <c r="B670" s="39" t="s">
        <v>70</v>
      </c>
      <c r="C670" s="39" t="n">
        <v>1</v>
      </c>
      <c r="D670" s="40" t="str">
        <f aca="false">IFERROR(INDEX(المكونات!$B$2:$B$500,MATCH($B670,المكونات!$A$2:$A$500,0)),"")</f>
        <v>قطعة (كيس)</v>
      </c>
      <c r="E670" s="41" t="n">
        <f aca="false">IFERROR(INDEX(المكونات!$C$2:$C$500,MATCH($B670,المكونات!$A$2:$A$500,0)),"")</f>
        <v>1.4</v>
      </c>
      <c r="F670" s="42" t="n">
        <f aca="false">IFERROR($C670*$E670,"")</f>
        <v>1.4</v>
      </c>
    </row>
    <row r="671" customFormat="false" ht="15" hidden="false" customHeight="true" outlineLevel="0" collapsed="false">
      <c r="A671" s="39" t="s">
        <v>460</v>
      </c>
      <c r="B671" s="39" t="s">
        <v>198</v>
      </c>
      <c r="C671" s="39" t="n">
        <v>0.22</v>
      </c>
      <c r="D671" s="40" t="str">
        <f aca="false">IFERROR(INDEX(المكونات!$B$2:$B$500,MATCH($B671,المكونات!$A$2:$A$500,0)),"")</f>
        <v>كجم</v>
      </c>
      <c r="E671" s="41" t="n">
        <f aca="false">IFERROR(INDEX(المكونات!$C$2:$C$500,MATCH($B671,المكونات!$A$2:$A$500,0)),"")</f>
        <v>22</v>
      </c>
      <c r="F671" s="42" t="n">
        <f aca="false">IFERROR($C671*$E671,"")</f>
        <v>4.84</v>
      </c>
    </row>
    <row r="672" customFormat="false" ht="15" hidden="false" customHeight="true" outlineLevel="0" collapsed="false">
      <c r="A672" s="39" t="s">
        <v>460</v>
      </c>
      <c r="B672" s="39" t="s">
        <v>74</v>
      </c>
      <c r="C672" s="39" t="n">
        <v>2</v>
      </c>
      <c r="D672" s="40" t="str">
        <f aca="false">IFERROR(INDEX(المكونات!$B$2:$B$500,MATCH($B672,المكونات!$A$2:$A$500,0)),"")</f>
        <v>قطعة</v>
      </c>
      <c r="E672" s="41" t="n">
        <f aca="false">IFERROR(INDEX(المكونات!$C$2:$C$500,MATCH($B672,المكونات!$A$2:$A$500,0)),"")</f>
        <v>18</v>
      </c>
      <c r="F672" s="42" t="n">
        <f aca="false">IFERROR($C672*$E672,"")</f>
        <v>36</v>
      </c>
    </row>
    <row r="673" customFormat="false" ht="15" hidden="false" customHeight="true" outlineLevel="0" collapsed="false">
      <c r="A673" s="39" t="s">
        <v>460</v>
      </c>
      <c r="B673" s="39" t="s">
        <v>106</v>
      </c>
      <c r="C673" s="39" t="n">
        <v>0.5</v>
      </c>
      <c r="D673" s="40" t="str">
        <f aca="false">IFERROR(INDEX(المكونات!$B$2:$B$500,MATCH($B673,المكونات!$A$2:$A$500,0)),"")</f>
        <v>قطعة</v>
      </c>
      <c r="E673" s="41" t="n">
        <f aca="false">IFERROR(INDEX(المكونات!$C$2:$C$500,MATCH($B673,المكونات!$A$2:$A$500,0)),"")</f>
        <v>20</v>
      </c>
      <c r="F673" s="42" t="n">
        <f aca="false">IFERROR($C673*$E673,"")</f>
        <v>10</v>
      </c>
    </row>
    <row r="674" customFormat="false" ht="15" hidden="false" customHeight="true" outlineLevel="0" collapsed="false">
      <c r="A674" s="39" t="s">
        <v>460</v>
      </c>
      <c r="B674" s="39" t="s">
        <v>277</v>
      </c>
      <c r="C674" s="39" t="n">
        <v>1</v>
      </c>
      <c r="D674" s="40" t="str">
        <f aca="false">IFERROR(INDEX(المكونات!$B$2:$B$500,MATCH($B674,المكونات!$A$2:$A$500,0)),"")</f>
        <v>قطعة</v>
      </c>
      <c r="E674" s="41" t="n">
        <f aca="false">IFERROR(INDEX(المكونات!$C$2:$C$500,MATCH($B674,المكونات!$A$2:$A$500,0)),"")</f>
        <v>0.3</v>
      </c>
      <c r="F674" s="42" t="n">
        <f aca="false">IFERROR($C674*$E674,"")</f>
        <v>0.3</v>
      </c>
    </row>
    <row r="675" customFormat="false" ht="15" hidden="false" customHeight="true" outlineLevel="0" collapsed="false">
      <c r="A675" s="39" t="s">
        <v>460</v>
      </c>
      <c r="B675" s="39" t="s">
        <v>196</v>
      </c>
      <c r="C675" s="39" t="n">
        <v>0.02</v>
      </c>
      <c r="D675" s="40" t="str">
        <f aca="false">IFERROR(INDEX(المكونات!$B$2:$B$500,MATCH($B675,المكونات!$A$2:$A$500,0)),"")</f>
        <v>كجم</v>
      </c>
      <c r="E675" s="41" t="n">
        <f aca="false">IFERROR(INDEX(المكونات!$C$2:$C$500,MATCH($B675,المكونات!$A$2:$A$500,0)),"")</f>
        <v>21</v>
      </c>
      <c r="F675" s="42" t="n">
        <f aca="false">IFERROR($C675*$E675,"")</f>
        <v>0.42</v>
      </c>
    </row>
    <row r="676" customFormat="false" ht="15" hidden="false" customHeight="true" outlineLevel="0" collapsed="false">
      <c r="A676" s="39" t="s">
        <v>460</v>
      </c>
      <c r="B676" s="39" t="s">
        <v>219</v>
      </c>
      <c r="C676" s="39" t="n">
        <v>0.02</v>
      </c>
      <c r="D676" s="40" t="str">
        <f aca="false">IFERROR(INDEX(المكونات!$B$2:$B$500,MATCH($B676,المكونات!$A$2:$A$500,0)),"")</f>
        <v>كجم</v>
      </c>
      <c r="E676" s="41" t="n">
        <f aca="false">IFERROR(INDEX(المكونات!$C$2:$C$500,MATCH($B676,المكونات!$A$2:$A$500,0)),"")</f>
        <v>27</v>
      </c>
      <c r="F676" s="42" t="n">
        <f aca="false">IFERROR($C676*$E676,"")</f>
        <v>0.54</v>
      </c>
    </row>
    <row r="677" customFormat="false" ht="15" hidden="false" customHeight="true" outlineLevel="0" collapsed="false">
      <c r="A677" s="39" t="s">
        <v>460</v>
      </c>
      <c r="B677" s="39" t="s">
        <v>124</v>
      </c>
      <c r="C677" s="39" t="n">
        <v>0.02</v>
      </c>
      <c r="D677" s="40" t="str">
        <f aca="false">IFERROR(INDEX(المكونات!$B$2:$B$500,MATCH($B677,المكونات!$A$2:$A$500,0)),"")</f>
        <v>كجم</v>
      </c>
      <c r="E677" s="41" t="n">
        <f aca="false">IFERROR(INDEX(المكونات!$C$2:$C$500,MATCH($B677,المكونات!$A$2:$A$500,0)),"")</f>
        <v>18</v>
      </c>
      <c r="F677" s="42" t="n">
        <f aca="false">IFERROR($C677*$E677,"")</f>
        <v>0.36</v>
      </c>
    </row>
    <row r="678" customFormat="false" ht="15" hidden="false" customHeight="true" outlineLevel="0" collapsed="false">
      <c r="A678" s="39" t="s">
        <v>460</v>
      </c>
      <c r="B678" s="39" t="s">
        <v>151</v>
      </c>
      <c r="C678" s="39" t="n">
        <v>0.02</v>
      </c>
      <c r="D678" s="40" t="str">
        <f aca="false">IFERROR(INDEX(المكونات!$B$2:$B$500,MATCH($B678,المكونات!$A$2:$A$500,0)),"")</f>
        <v>كجم</v>
      </c>
      <c r="E678" s="41" t="n">
        <f aca="false">IFERROR(INDEX(المكونات!$C$2:$C$500,MATCH($B678,المكونات!$A$2:$A$500,0)),"")</f>
        <v>30</v>
      </c>
      <c r="F678" s="42" t="n">
        <f aca="false">IFERROR($C678*$E678,"")</f>
        <v>0.6</v>
      </c>
    </row>
    <row r="679" customFormat="false" ht="15" hidden="false" customHeight="true" outlineLevel="0" collapsed="false">
      <c r="A679" s="39" t="s">
        <v>460</v>
      </c>
      <c r="B679" s="39" t="s">
        <v>190</v>
      </c>
      <c r="C679" s="39" t="n">
        <v>0.05</v>
      </c>
      <c r="D679" s="40" t="str">
        <f aca="false">IFERROR(INDEX(المكونات!$B$2:$B$500,MATCH($B679,المكونات!$A$2:$A$500,0)),"")</f>
        <v>كجم</v>
      </c>
      <c r="E679" s="41" t="n">
        <f aca="false">IFERROR(INDEX(المكونات!$C$2:$C$500,MATCH($B679,المكونات!$A$2:$A$500,0)),"")</f>
        <v>140</v>
      </c>
      <c r="F679" s="42" t="n">
        <f aca="false">IFERROR($C679*$E679,"")</f>
        <v>7</v>
      </c>
    </row>
    <row r="680" customFormat="false" ht="15" hidden="false" customHeight="true" outlineLevel="0" collapsed="false">
      <c r="A680" s="39" t="s">
        <v>460</v>
      </c>
      <c r="B680" s="39" t="s">
        <v>188</v>
      </c>
      <c r="C680" s="39" t="n">
        <v>0.05</v>
      </c>
      <c r="D680" s="40" t="str">
        <f aca="false">IFERROR(INDEX(المكونات!$B$2:$B$500,MATCH($B680,المكونات!$A$2:$A$500,0)),"")</f>
        <v>كجم</v>
      </c>
      <c r="E680" s="41" t="n">
        <f aca="false">IFERROR(INDEX(المكونات!$C$2:$C$500,MATCH($B680,المكونات!$A$2:$A$500,0)),"")</f>
        <v>70</v>
      </c>
      <c r="F680" s="42" t="n">
        <f aca="false">IFERROR($C680*$E680,"")</f>
        <v>3.5</v>
      </c>
    </row>
    <row r="681" customFormat="false" ht="15" hidden="false" customHeight="true" outlineLevel="0" collapsed="false">
      <c r="A681" s="39" t="s">
        <v>460</v>
      </c>
      <c r="B681" s="39" t="s">
        <v>194</v>
      </c>
      <c r="C681" s="39" t="n">
        <v>0.05</v>
      </c>
      <c r="D681" s="40" t="str">
        <f aca="false">IFERROR(INDEX(المكونات!$B$2:$B$500,MATCH($B681,المكونات!$A$2:$A$500,0)),"")</f>
        <v>كجم</v>
      </c>
      <c r="E681" s="41" t="n">
        <f aca="false">IFERROR(INDEX(المكونات!$C$2:$C$500,MATCH($B681,المكونات!$A$2:$A$500,0)),"")</f>
        <v>140</v>
      </c>
      <c r="F681" s="42" t="n">
        <f aca="false">IFERROR($C681*$E681,"")</f>
        <v>7</v>
      </c>
    </row>
    <row r="682" customFormat="false" ht="15" hidden="false" customHeight="true" outlineLevel="0" collapsed="false">
      <c r="A682" s="39" t="s">
        <v>460</v>
      </c>
      <c r="B682" s="39" t="s">
        <v>225</v>
      </c>
      <c r="C682" s="39" t="n">
        <v>2</v>
      </c>
      <c r="D682" s="40" t="str">
        <f aca="false">IFERROR(INDEX(المكونات!$B$2:$B$500,MATCH($B682,المكونات!$A$2:$A$500,0)),"")</f>
        <v>قطعة</v>
      </c>
      <c r="E682" s="41" t="n">
        <f aca="false">IFERROR(INDEX(المكونات!$C$2:$C$500,MATCH($B682,المكونات!$A$2:$A$500,0)),"")</f>
        <v>0.3</v>
      </c>
      <c r="F682" s="42" t="n">
        <f aca="false">IFERROR($C682*$E682,"")</f>
        <v>0.6</v>
      </c>
    </row>
    <row r="683" customFormat="false" ht="15" hidden="false" customHeight="true" outlineLevel="0" collapsed="false">
      <c r="A683" s="39" t="s">
        <v>460</v>
      </c>
      <c r="B683" s="39" t="s">
        <v>254</v>
      </c>
      <c r="C683" s="39" t="n">
        <v>1</v>
      </c>
      <c r="D683" s="40" t="str">
        <f aca="false">IFERROR(INDEX(المكونات!$B$2:$B$500,MATCH($B683,المكونات!$A$2:$A$500,0)),"")</f>
        <v>قطعة (ورقة)</v>
      </c>
      <c r="E683" s="41" t="n">
        <f aca="false">IFERROR(INDEX(المكونات!$C$2:$C$500,MATCH($B683,المكونات!$A$2:$A$500,0)),"")</f>
        <v>0.3665</v>
      </c>
      <c r="F683" s="42" t="n">
        <f aca="false">IFERROR($C683*$E683,"")</f>
        <v>0.3665</v>
      </c>
    </row>
    <row r="684" customFormat="false" ht="15" hidden="false" customHeight="true" outlineLevel="0" collapsed="false">
      <c r="A684" s="39" t="s">
        <v>460</v>
      </c>
      <c r="B684" s="39" t="s">
        <v>67</v>
      </c>
      <c r="C684" s="39" t="n">
        <v>1</v>
      </c>
      <c r="D684" s="40" t="str">
        <f aca="false">IFERROR(INDEX(المكونات!$B$2:$B$500,MATCH($B684,المكونات!$A$2:$A$500,0)),"")</f>
        <v>قطعة (كيس)</v>
      </c>
      <c r="E684" s="41" t="n">
        <f aca="false">IFERROR(INDEX(المكونات!$C$2:$C$500,MATCH($B684,المكونات!$A$2:$A$500,0)),"")</f>
        <v>1.4</v>
      </c>
      <c r="F684" s="42" t="n">
        <f aca="false">IFERROR($C684*$E684,"")</f>
        <v>1.4</v>
      </c>
    </row>
    <row r="685" customFormat="false" ht="15" hidden="false" customHeight="true" outlineLevel="0" collapsed="false">
      <c r="A685" s="39" t="s">
        <v>460</v>
      </c>
      <c r="B685" s="39" t="s">
        <v>228</v>
      </c>
      <c r="C685" s="39" t="n">
        <v>1</v>
      </c>
      <c r="D685" s="40" t="str">
        <f aca="false">IFERROR(INDEX(المكونات!$B$2:$B$500,MATCH($B685,المكونات!$A$2:$A$500,0)),"")</f>
        <v>قطعة</v>
      </c>
      <c r="E685" s="41" t="n">
        <f aca="false">IFERROR(INDEX(المكونات!$C$2:$C$500,MATCH($B685,المكونات!$A$2:$A$500,0)),"")</f>
        <v>0.5</v>
      </c>
      <c r="F685" s="42" t="n">
        <f aca="false">IFERROR($C685*$E685,"")</f>
        <v>0.5</v>
      </c>
    </row>
    <row r="686" customFormat="false" ht="15" hidden="false" customHeight="true" outlineLevel="0" collapsed="false">
      <c r="A686" s="39" t="s">
        <v>460</v>
      </c>
      <c r="B686" s="39" t="s">
        <v>145</v>
      </c>
      <c r="C686" s="39" t="n">
        <v>2</v>
      </c>
      <c r="D686" s="40" t="str">
        <f aca="false">IFERROR(INDEX(المكونات!$B$2:$B$500,MATCH($B686,المكونات!$A$2:$A$500,0)),"")</f>
        <v>قطعة (جلفز)</v>
      </c>
      <c r="E686" s="41" t="n">
        <f aca="false">IFERROR(INDEX(المكونات!$C$2:$C$500,MATCH($B686,المكونات!$A$2:$A$500,0)),"")</f>
        <v>0.18</v>
      </c>
      <c r="F686" s="42" t="n">
        <f aca="false">IFERROR($C686*$E686,"")</f>
        <v>0.36</v>
      </c>
    </row>
    <row r="687" customFormat="false" ht="15" hidden="false" customHeight="true" outlineLevel="0" collapsed="false">
      <c r="A687" s="39" t="s">
        <v>460</v>
      </c>
      <c r="B687" s="39" t="s">
        <v>257</v>
      </c>
      <c r="C687" s="39" t="n">
        <v>1</v>
      </c>
      <c r="D687" s="40" t="str">
        <f aca="false">IFERROR(INDEX(المكونات!$B$2:$B$500,MATCH($B687,المكونات!$A$2:$A$500,0)),"")</f>
        <v>قطعة (كيس)</v>
      </c>
      <c r="E687" s="41" t="n">
        <f aca="false">IFERROR(INDEX(المكونات!$C$2:$C$500,MATCH($B687,المكونات!$A$2:$A$500,0)),"")</f>
        <v>0.9995</v>
      </c>
      <c r="F687" s="42" t="n">
        <f aca="false">IFERROR($C687*$E687,"")</f>
        <v>0.9995</v>
      </c>
    </row>
    <row r="688" customFormat="false" ht="15" hidden="false" customHeight="true" outlineLevel="0" collapsed="false">
      <c r="A688" s="39" t="s">
        <v>460</v>
      </c>
      <c r="B688" s="39" t="s">
        <v>279</v>
      </c>
      <c r="C688" s="39" t="n">
        <v>1</v>
      </c>
      <c r="D688" s="40" t="str">
        <f aca="false">IFERROR(INDEX(المكونات!$B$2:$B$500,MATCH($B688,المكونات!$A$2:$A$500,0)),"")</f>
        <v>قطعة</v>
      </c>
      <c r="E688" s="41" t="n">
        <f aca="false">IFERROR(INDEX(المكونات!$C$2:$C$500,MATCH($B688,المكونات!$A$2:$A$500,0)),"")</f>
        <v>4.44</v>
      </c>
      <c r="F688" s="42" t="n">
        <f aca="false">IFERROR($C688*$E688,"")</f>
        <v>4.44</v>
      </c>
    </row>
    <row r="689" customFormat="false" ht="15" hidden="false" customHeight="true" outlineLevel="0" collapsed="false">
      <c r="A689" s="39" t="s">
        <v>434</v>
      </c>
      <c r="B689" s="39" t="s">
        <v>198</v>
      </c>
      <c r="C689" s="39" t="n">
        <v>0.22</v>
      </c>
      <c r="D689" s="40" t="str">
        <f aca="false">IFERROR(INDEX(المكونات!$B$2:$B$500,MATCH($B689,المكونات!$A$2:$A$500,0)),"")</f>
        <v>كجم</v>
      </c>
      <c r="E689" s="41" t="n">
        <f aca="false">IFERROR(INDEX(المكونات!$C$2:$C$500,MATCH($B689,المكونات!$A$2:$A$500,0)),"")</f>
        <v>22</v>
      </c>
      <c r="F689" s="42" t="n">
        <f aca="false">IFERROR($C689*$E689,"")</f>
        <v>4.84</v>
      </c>
    </row>
    <row r="690" customFormat="false" ht="15" hidden="false" customHeight="true" outlineLevel="0" collapsed="false">
      <c r="A690" s="39" t="s">
        <v>434</v>
      </c>
      <c r="B690" s="39" t="s">
        <v>106</v>
      </c>
      <c r="C690" s="39" t="n">
        <v>1</v>
      </c>
      <c r="D690" s="40" t="str">
        <f aca="false">IFERROR(INDEX(المكونات!$B$2:$B$500,MATCH($B690,المكونات!$A$2:$A$500,0)),"")</f>
        <v>قطعة</v>
      </c>
      <c r="E690" s="41" t="n">
        <f aca="false">IFERROR(INDEX(المكونات!$C$2:$C$500,MATCH($B690,المكونات!$A$2:$A$500,0)),"")</f>
        <v>20</v>
      </c>
      <c r="F690" s="42" t="n">
        <f aca="false">IFERROR($C690*$E690,"")</f>
        <v>20</v>
      </c>
    </row>
    <row r="691" customFormat="false" ht="15" hidden="false" customHeight="true" outlineLevel="0" collapsed="false">
      <c r="A691" s="39" t="s">
        <v>434</v>
      </c>
      <c r="B691" s="39" t="s">
        <v>96</v>
      </c>
      <c r="C691" s="39" t="n">
        <v>1</v>
      </c>
      <c r="D691" s="40" t="str">
        <f aca="false">IFERROR(INDEX(المكونات!$B$2:$B$500,MATCH($B691,المكونات!$A$2:$A$500,0)),"")</f>
        <v>قطعة</v>
      </c>
      <c r="E691" s="41" t="n">
        <f aca="false">IFERROR(INDEX(المكونات!$C$2:$C$500,MATCH($B691,المكونات!$A$2:$A$500,0)),"")</f>
        <v>30</v>
      </c>
      <c r="F691" s="42" t="n">
        <f aca="false">IFERROR($C691*$E691,"")</f>
        <v>30</v>
      </c>
    </row>
    <row r="692" customFormat="false" ht="15" hidden="false" customHeight="true" outlineLevel="0" collapsed="false">
      <c r="A692" s="39" t="s">
        <v>434</v>
      </c>
      <c r="B692" s="39" t="s">
        <v>277</v>
      </c>
      <c r="C692" s="39" t="n">
        <v>1</v>
      </c>
      <c r="D692" s="40" t="str">
        <f aca="false">IFERROR(INDEX(المكونات!$B$2:$B$500,MATCH($B692,المكونات!$A$2:$A$500,0)),"")</f>
        <v>قطعة</v>
      </c>
      <c r="E692" s="41" t="n">
        <f aca="false">IFERROR(INDEX(المكونات!$C$2:$C$500,MATCH($B692,المكونات!$A$2:$A$500,0)),"")</f>
        <v>0.3</v>
      </c>
      <c r="F692" s="42" t="n">
        <f aca="false">IFERROR($C692*$E692,"")</f>
        <v>0.3</v>
      </c>
    </row>
    <row r="693" customFormat="false" ht="15" hidden="false" customHeight="true" outlineLevel="0" collapsed="false">
      <c r="A693" s="39" t="s">
        <v>434</v>
      </c>
      <c r="B693" s="39" t="s">
        <v>196</v>
      </c>
      <c r="C693" s="39" t="n">
        <v>0.02</v>
      </c>
      <c r="D693" s="40" t="str">
        <f aca="false">IFERROR(INDEX(المكونات!$B$2:$B$500,MATCH($B693,المكونات!$A$2:$A$500,0)),"")</f>
        <v>كجم</v>
      </c>
      <c r="E693" s="41" t="n">
        <f aca="false">IFERROR(INDEX(المكونات!$C$2:$C$500,MATCH($B693,المكونات!$A$2:$A$500,0)),"")</f>
        <v>21</v>
      </c>
      <c r="F693" s="42" t="n">
        <f aca="false">IFERROR($C693*$E693,"")</f>
        <v>0.42</v>
      </c>
    </row>
    <row r="694" customFormat="false" ht="15" hidden="false" customHeight="true" outlineLevel="0" collapsed="false">
      <c r="A694" s="39" t="s">
        <v>434</v>
      </c>
      <c r="B694" s="39" t="s">
        <v>219</v>
      </c>
      <c r="C694" s="39" t="n">
        <v>0.02</v>
      </c>
      <c r="D694" s="40" t="str">
        <f aca="false">IFERROR(INDEX(المكونات!$B$2:$B$500,MATCH($B694,المكونات!$A$2:$A$500,0)),"")</f>
        <v>كجم</v>
      </c>
      <c r="E694" s="41" t="n">
        <f aca="false">IFERROR(INDEX(المكونات!$C$2:$C$500,MATCH($B694,المكونات!$A$2:$A$500,0)),"")</f>
        <v>27</v>
      </c>
      <c r="F694" s="42" t="n">
        <f aca="false">IFERROR($C694*$E694,"")</f>
        <v>0.54</v>
      </c>
    </row>
    <row r="695" customFormat="false" ht="15" hidden="false" customHeight="true" outlineLevel="0" collapsed="false">
      <c r="A695" s="39" t="s">
        <v>434</v>
      </c>
      <c r="B695" s="39" t="s">
        <v>124</v>
      </c>
      <c r="C695" s="39" t="n">
        <v>0.02</v>
      </c>
      <c r="D695" s="40" t="str">
        <f aca="false">IFERROR(INDEX(المكونات!$B$2:$B$500,MATCH($B695,المكونات!$A$2:$A$500,0)),"")</f>
        <v>كجم</v>
      </c>
      <c r="E695" s="41" t="n">
        <f aca="false">IFERROR(INDEX(المكونات!$C$2:$C$500,MATCH($B695,المكونات!$A$2:$A$500,0)),"")</f>
        <v>18</v>
      </c>
      <c r="F695" s="42" t="n">
        <f aca="false">IFERROR($C695*$E695,"")</f>
        <v>0.36</v>
      </c>
    </row>
    <row r="696" customFormat="false" ht="15" hidden="false" customHeight="true" outlineLevel="0" collapsed="false">
      <c r="A696" s="39" t="s">
        <v>434</v>
      </c>
      <c r="B696" s="39" t="s">
        <v>151</v>
      </c>
      <c r="C696" s="39" t="n">
        <v>0.02</v>
      </c>
      <c r="D696" s="40" t="str">
        <f aca="false">IFERROR(INDEX(المكونات!$B$2:$B$500,MATCH($B696,المكونات!$A$2:$A$500,0)),"")</f>
        <v>كجم</v>
      </c>
      <c r="E696" s="41" t="n">
        <f aca="false">IFERROR(INDEX(المكونات!$C$2:$C$500,MATCH($B696,المكونات!$A$2:$A$500,0)),"")</f>
        <v>30</v>
      </c>
      <c r="F696" s="42" t="n">
        <f aca="false">IFERROR($C696*$E696,"")</f>
        <v>0.6</v>
      </c>
    </row>
    <row r="697" customFormat="false" ht="15" hidden="false" customHeight="true" outlineLevel="0" collapsed="false">
      <c r="A697" s="39" t="s">
        <v>434</v>
      </c>
      <c r="B697" s="39" t="s">
        <v>192</v>
      </c>
      <c r="C697" s="39" t="n">
        <v>0.05</v>
      </c>
      <c r="D697" s="40" t="str">
        <f aca="false">IFERROR(INDEX(المكونات!$B$2:$B$500,MATCH($B697,المكونات!$A$2:$A$500,0)),"")</f>
        <v>كجم</v>
      </c>
      <c r="E697" s="41" t="n">
        <f aca="false">IFERROR(INDEX(المكونات!$C$2:$C$500,MATCH($B697,المكونات!$A$2:$A$500,0)),"")</f>
        <v>105</v>
      </c>
      <c r="F697" s="42" t="n">
        <f aca="false">IFERROR($C697*$E697,"")</f>
        <v>5.25</v>
      </c>
    </row>
    <row r="698" customFormat="false" ht="15" hidden="false" customHeight="true" outlineLevel="0" collapsed="false">
      <c r="A698" s="39" t="s">
        <v>434</v>
      </c>
      <c r="B698" s="39" t="s">
        <v>188</v>
      </c>
      <c r="C698" s="39" t="n">
        <v>0.05</v>
      </c>
      <c r="D698" s="40" t="str">
        <f aca="false">IFERROR(INDEX(المكونات!$B$2:$B$500,MATCH($B698,المكونات!$A$2:$A$500,0)),"")</f>
        <v>كجم</v>
      </c>
      <c r="E698" s="41" t="n">
        <f aca="false">IFERROR(INDEX(المكونات!$C$2:$C$500,MATCH($B698,المكونات!$A$2:$A$500,0)),"")</f>
        <v>70</v>
      </c>
      <c r="F698" s="42" t="n">
        <f aca="false">IFERROR($C698*$E698,"")</f>
        <v>3.5</v>
      </c>
    </row>
    <row r="699" customFormat="false" ht="15" hidden="false" customHeight="true" outlineLevel="0" collapsed="false">
      <c r="A699" s="39" t="s">
        <v>434</v>
      </c>
      <c r="B699" s="39" t="s">
        <v>194</v>
      </c>
      <c r="C699" s="39" t="n">
        <v>0.05</v>
      </c>
      <c r="D699" s="40" t="str">
        <f aca="false">IFERROR(INDEX(المكونات!$B$2:$B$500,MATCH($B699,المكونات!$A$2:$A$500,0)),"")</f>
        <v>كجم</v>
      </c>
      <c r="E699" s="41" t="n">
        <f aca="false">IFERROR(INDEX(المكونات!$C$2:$C$500,MATCH($B699,المكونات!$A$2:$A$500,0)),"")</f>
        <v>140</v>
      </c>
      <c r="F699" s="42" t="n">
        <f aca="false">IFERROR($C699*$E699,"")</f>
        <v>7</v>
      </c>
    </row>
    <row r="700" customFormat="false" ht="15" hidden="false" customHeight="true" outlineLevel="0" collapsed="false">
      <c r="A700" s="39" t="s">
        <v>434</v>
      </c>
      <c r="B700" s="39" t="s">
        <v>225</v>
      </c>
      <c r="C700" s="39" t="n">
        <v>2</v>
      </c>
      <c r="D700" s="40" t="str">
        <f aca="false">IFERROR(INDEX(المكونات!$B$2:$B$500,MATCH($B700,المكونات!$A$2:$A$500,0)),"")</f>
        <v>قطعة</v>
      </c>
      <c r="E700" s="41" t="n">
        <f aca="false">IFERROR(INDEX(المكونات!$C$2:$C$500,MATCH($B700,المكونات!$A$2:$A$500,0)),"")</f>
        <v>0.3</v>
      </c>
      <c r="F700" s="42" t="n">
        <f aca="false">IFERROR($C700*$E700,"")</f>
        <v>0.6</v>
      </c>
    </row>
    <row r="701" customFormat="false" ht="15" hidden="false" customHeight="true" outlineLevel="0" collapsed="false">
      <c r="A701" s="39" t="s">
        <v>434</v>
      </c>
      <c r="B701" s="39" t="s">
        <v>254</v>
      </c>
      <c r="C701" s="39" t="n">
        <v>1</v>
      </c>
      <c r="D701" s="40" t="str">
        <f aca="false">IFERROR(INDEX(المكونات!$B$2:$B$500,MATCH($B701,المكونات!$A$2:$A$500,0)),"")</f>
        <v>قطعة (ورقة)</v>
      </c>
      <c r="E701" s="41" t="n">
        <f aca="false">IFERROR(INDEX(المكونات!$C$2:$C$500,MATCH($B701,المكونات!$A$2:$A$500,0)),"")</f>
        <v>0.3665</v>
      </c>
      <c r="F701" s="42" t="n">
        <f aca="false">IFERROR($C701*$E701,"")</f>
        <v>0.3665</v>
      </c>
    </row>
    <row r="702" customFormat="false" ht="15" hidden="false" customHeight="true" outlineLevel="0" collapsed="false">
      <c r="A702" s="39" t="s">
        <v>434</v>
      </c>
      <c r="B702" s="39" t="s">
        <v>67</v>
      </c>
      <c r="C702" s="39" t="n">
        <v>1</v>
      </c>
      <c r="D702" s="40" t="str">
        <f aca="false">IFERROR(INDEX(المكونات!$B$2:$B$500,MATCH($B702,المكونات!$A$2:$A$500,0)),"")</f>
        <v>قطعة (كيس)</v>
      </c>
      <c r="E702" s="41" t="n">
        <f aca="false">IFERROR(INDEX(المكونات!$C$2:$C$500,MATCH($B702,المكونات!$A$2:$A$500,0)),"")</f>
        <v>1.4</v>
      </c>
      <c r="F702" s="42" t="n">
        <f aca="false">IFERROR($C702*$E702,"")</f>
        <v>1.4</v>
      </c>
    </row>
    <row r="703" customFormat="false" ht="15" hidden="false" customHeight="true" outlineLevel="0" collapsed="false">
      <c r="A703" s="39" t="s">
        <v>434</v>
      </c>
      <c r="B703" s="39" t="s">
        <v>228</v>
      </c>
      <c r="C703" s="39" t="n">
        <v>1</v>
      </c>
      <c r="D703" s="40" t="str">
        <f aca="false">IFERROR(INDEX(المكونات!$B$2:$B$500,MATCH($B703,المكونات!$A$2:$A$500,0)),"")</f>
        <v>قطعة</v>
      </c>
      <c r="E703" s="41" t="n">
        <f aca="false">IFERROR(INDEX(المكونات!$C$2:$C$500,MATCH($B703,المكونات!$A$2:$A$500,0)),"")</f>
        <v>0.5</v>
      </c>
      <c r="F703" s="42" t="n">
        <f aca="false">IFERROR($C703*$E703,"")</f>
        <v>0.5</v>
      </c>
    </row>
    <row r="704" customFormat="false" ht="15" hidden="false" customHeight="true" outlineLevel="0" collapsed="false">
      <c r="A704" s="39" t="s">
        <v>434</v>
      </c>
      <c r="B704" s="39" t="s">
        <v>145</v>
      </c>
      <c r="C704" s="39" t="n">
        <v>2</v>
      </c>
      <c r="D704" s="40" t="str">
        <f aca="false">IFERROR(INDEX(المكونات!$B$2:$B$500,MATCH($B704,المكونات!$A$2:$A$500,0)),"")</f>
        <v>قطعة (جلفز)</v>
      </c>
      <c r="E704" s="41" t="n">
        <f aca="false">IFERROR(INDEX(المكونات!$C$2:$C$500,MATCH($B704,المكونات!$A$2:$A$500,0)),"")</f>
        <v>0.18</v>
      </c>
      <c r="F704" s="42" t="n">
        <f aca="false">IFERROR($C704*$E704,"")</f>
        <v>0.36</v>
      </c>
    </row>
    <row r="705" customFormat="false" ht="15" hidden="false" customHeight="true" outlineLevel="0" collapsed="false">
      <c r="A705" s="39" t="s">
        <v>434</v>
      </c>
      <c r="B705" s="39" t="s">
        <v>257</v>
      </c>
      <c r="C705" s="39" t="n">
        <v>1</v>
      </c>
      <c r="D705" s="40" t="str">
        <f aca="false">IFERROR(INDEX(المكونات!$B$2:$B$500,MATCH($B705,المكونات!$A$2:$A$500,0)),"")</f>
        <v>قطعة (كيس)</v>
      </c>
      <c r="E705" s="41" t="n">
        <f aca="false">IFERROR(INDEX(المكونات!$C$2:$C$500,MATCH($B705,المكونات!$A$2:$A$500,0)),"")</f>
        <v>0.9995</v>
      </c>
      <c r="F705" s="42" t="n">
        <f aca="false">IFERROR($C705*$E705,"")</f>
        <v>0.9995</v>
      </c>
    </row>
    <row r="706" customFormat="false" ht="15" hidden="false" customHeight="true" outlineLevel="0" collapsed="false">
      <c r="A706" s="39" t="s">
        <v>434</v>
      </c>
      <c r="B706" s="39" t="s">
        <v>279</v>
      </c>
      <c r="C706" s="39" t="n">
        <v>1</v>
      </c>
      <c r="D706" s="40" t="str">
        <f aca="false">IFERROR(INDEX(المكونات!$B$2:$B$500,MATCH($B706,المكونات!$A$2:$A$500,0)),"")</f>
        <v>قطعة</v>
      </c>
      <c r="E706" s="41" t="n">
        <f aca="false">IFERROR(INDEX(المكونات!$C$2:$C$500,MATCH($B706,المكونات!$A$2:$A$500,0)),"")</f>
        <v>4.44</v>
      </c>
      <c r="F706" s="42" t="n">
        <f aca="false">IFERROR($C706*$E706,"")</f>
        <v>4.44</v>
      </c>
    </row>
    <row r="707" customFormat="false" ht="15" hidden="false" customHeight="true" outlineLevel="0" collapsed="false">
      <c r="A707" s="39" t="s">
        <v>442</v>
      </c>
      <c r="B707" s="39" t="s">
        <v>198</v>
      </c>
      <c r="C707" s="39" t="n">
        <v>0.22</v>
      </c>
      <c r="D707" s="40" t="str">
        <f aca="false">IFERROR(INDEX(المكونات!$B$2:$B$500,MATCH($B707,المكونات!$A$2:$A$500,0)),"")</f>
        <v>كجم</v>
      </c>
      <c r="E707" s="41" t="n">
        <f aca="false">IFERROR(INDEX(المكونات!$C$2:$C$500,MATCH($B707,المكونات!$A$2:$A$500,0)),"")</f>
        <v>22</v>
      </c>
      <c r="F707" s="42" t="n">
        <f aca="false">IFERROR($C707*$E707,"")</f>
        <v>4.84</v>
      </c>
    </row>
    <row r="708" customFormat="false" ht="15" hidden="false" customHeight="true" outlineLevel="0" collapsed="false">
      <c r="A708" s="39" t="s">
        <v>442</v>
      </c>
      <c r="B708" s="39" t="s">
        <v>74</v>
      </c>
      <c r="C708" s="39" t="n">
        <v>2</v>
      </c>
      <c r="D708" s="40" t="str">
        <f aca="false">IFERROR(INDEX(المكونات!$B$2:$B$500,MATCH($B708,المكونات!$A$2:$A$500,0)),"")</f>
        <v>قطعة</v>
      </c>
      <c r="E708" s="41" t="n">
        <f aca="false">IFERROR(INDEX(المكونات!$C$2:$C$500,MATCH($B708,المكونات!$A$2:$A$500,0)),"")</f>
        <v>18</v>
      </c>
      <c r="F708" s="42" t="n">
        <f aca="false">IFERROR($C708*$E708,"")</f>
        <v>36</v>
      </c>
    </row>
    <row r="709" customFormat="false" ht="15" hidden="false" customHeight="true" outlineLevel="0" collapsed="false">
      <c r="A709" s="39" t="s">
        <v>442</v>
      </c>
      <c r="B709" s="39" t="s">
        <v>106</v>
      </c>
      <c r="C709" s="39" t="n">
        <v>1</v>
      </c>
      <c r="D709" s="40" t="str">
        <f aca="false">IFERROR(INDEX(المكونات!$B$2:$B$500,MATCH($B709,المكونات!$A$2:$A$500,0)),"")</f>
        <v>قطعة</v>
      </c>
      <c r="E709" s="41" t="n">
        <f aca="false">IFERROR(INDEX(المكونات!$C$2:$C$500,MATCH($B709,المكونات!$A$2:$A$500,0)),"")</f>
        <v>20</v>
      </c>
      <c r="F709" s="42" t="n">
        <f aca="false">IFERROR($C709*$E709,"")</f>
        <v>20</v>
      </c>
    </row>
    <row r="710" customFormat="false" ht="15" hidden="false" customHeight="true" outlineLevel="0" collapsed="false">
      <c r="A710" s="39" t="s">
        <v>442</v>
      </c>
      <c r="B710" s="39" t="s">
        <v>90</v>
      </c>
      <c r="C710" s="39" t="n">
        <v>0.3</v>
      </c>
      <c r="D710" s="40" t="str">
        <f aca="false">IFERROR(INDEX(المكونات!$B$2:$B$500,MATCH($B710,المكونات!$A$2:$A$500,0)),"")</f>
        <v>قطعة</v>
      </c>
      <c r="E710" s="41" t="n">
        <f aca="false">IFERROR(INDEX(المكونات!$C$2:$C$500,MATCH($B710,المكونات!$A$2:$A$500,0)),"")</f>
        <v>27.1442</v>
      </c>
      <c r="F710" s="42" t="n">
        <f aca="false">IFERROR($C710*$E710,"")</f>
        <v>8.14326</v>
      </c>
    </row>
    <row r="711" customFormat="false" ht="15" hidden="false" customHeight="true" outlineLevel="0" collapsed="false">
      <c r="A711" s="39" t="s">
        <v>442</v>
      </c>
      <c r="B711" s="39" t="s">
        <v>277</v>
      </c>
      <c r="C711" s="39" t="n">
        <v>1</v>
      </c>
      <c r="D711" s="40" t="str">
        <f aca="false">IFERROR(INDEX(المكونات!$B$2:$B$500,MATCH($B711,المكونات!$A$2:$A$500,0)),"")</f>
        <v>قطعة</v>
      </c>
      <c r="E711" s="41" t="n">
        <f aca="false">IFERROR(INDEX(المكونات!$C$2:$C$500,MATCH($B711,المكونات!$A$2:$A$500,0)),"")</f>
        <v>0.3</v>
      </c>
      <c r="F711" s="42" t="n">
        <f aca="false">IFERROR($C711*$E711,"")</f>
        <v>0.3</v>
      </c>
    </row>
    <row r="712" customFormat="false" ht="15" hidden="false" customHeight="true" outlineLevel="0" collapsed="false">
      <c r="A712" s="39" t="s">
        <v>442</v>
      </c>
      <c r="B712" s="39" t="s">
        <v>196</v>
      </c>
      <c r="C712" s="39" t="n">
        <v>0.02</v>
      </c>
      <c r="D712" s="40" t="str">
        <f aca="false">IFERROR(INDEX(المكونات!$B$2:$B$500,MATCH($B712,المكونات!$A$2:$A$500,0)),"")</f>
        <v>كجم</v>
      </c>
      <c r="E712" s="41" t="n">
        <f aca="false">IFERROR(INDEX(المكونات!$C$2:$C$500,MATCH($B712,المكونات!$A$2:$A$500,0)),"")</f>
        <v>21</v>
      </c>
      <c r="F712" s="42" t="n">
        <f aca="false">IFERROR($C712*$E712,"")</f>
        <v>0.42</v>
      </c>
    </row>
    <row r="713" customFormat="false" ht="15" hidden="false" customHeight="true" outlineLevel="0" collapsed="false">
      <c r="A713" s="39" t="s">
        <v>442</v>
      </c>
      <c r="B713" s="39" t="s">
        <v>219</v>
      </c>
      <c r="C713" s="39" t="n">
        <v>0.02</v>
      </c>
      <c r="D713" s="40" t="str">
        <f aca="false">IFERROR(INDEX(المكونات!$B$2:$B$500,MATCH($B713,المكونات!$A$2:$A$500,0)),"")</f>
        <v>كجم</v>
      </c>
      <c r="E713" s="41" t="n">
        <f aca="false">IFERROR(INDEX(المكونات!$C$2:$C$500,MATCH($B713,المكونات!$A$2:$A$500,0)),"")</f>
        <v>27</v>
      </c>
      <c r="F713" s="42" t="n">
        <f aca="false">IFERROR($C713*$E713,"")</f>
        <v>0.54</v>
      </c>
    </row>
    <row r="714" customFormat="false" ht="15" hidden="false" customHeight="true" outlineLevel="0" collapsed="false">
      <c r="A714" s="39" t="s">
        <v>442</v>
      </c>
      <c r="B714" s="39" t="s">
        <v>124</v>
      </c>
      <c r="C714" s="39" t="n">
        <v>0.02</v>
      </c>
      <c r="D714" s="40" t="str">
        <f aca="false">IFERROR(INDEX(المكونات!$B$2:$B$500,MATCH($B714,المكونات!$A$2:$A$500,0)),"")</f>
        <v>كجم</v>
      </c>
      <c r="E714" s="41" t="n">
        <f aca="false">IFERROR(INDEX(المكونات!$C$2:$C$500,MATCH($B714,المكونات!$A$2:$A$500,0)),"")</f>
        <v>18</v>
      </c>
      <c r="F714" s="42" t="n">
        <f aca="false">IFERROR($C714*$E714,"")</f>
        <v>0.36</v>
      </c>
    </row>
    <row r="715" customFormat="false" ht="15" hidden="false" customHeight="true" outlineLevel="0" collapsed="false">
      <c r="A715" s="39" t="s">
        <v>442</v>
      </c>
      <c r="B715" s="39" t="s">
        <v>151</v>
      </c>
      <c r="C715" s="39" t="n">
        <v>0.02</v>
      </c>
      <c r="D715" s="40" t="str">
        <f aca="false">IFERROR(INDEX(المكونات!$B$2:$B$500,MATCH($B715,المكونات!$A$2:$A$500,0)),"")</f>
        <v>كجم</v>
      </c>
      <c r="E715" s="41" t="n">
        <f aca="false">IFERROR(INDEX(المكونات!$C$2:$C$500,MATCH($B715,المكونات!$A$2:$A$500,0)),"")</f>
        <v>30</v>
      </c>
      <c r="F715" s="42" t="n">
        <f aca="false">IFERROR($C715*$E715,"")</f>
        <v>0.6</v>
      </c>
    </row>
    <row r="716" customFormat="false" ht="15" hidden="false" customHeight="true" outlineLevel="0" collapsed="false">
      <c r="A716" s="39" t="s">
        <v>442</v>
      </c>
      <c r="B716" s="39" t="s">
        <v>190</v>
      </c>
      <c r="C716" s="39" t="n">
        <v>0.05</v>
      </c>
      <c r="D716" s="40" t="str">
        <f aca="false">IFERROR(INDEX(المكونات!$B$2:$B$500,MATCH($B716,المكونات!$A$2:$A$500,0)),"")</f>
        <v>كجم</v>
      </c>
      <c r="E716" s="41" t="n">
        <f aca="false">IFERROR(INDEX(المكونات!$C$2:$C$500,MATCH($B716,المكونات!$A$2:$A$500,0)),"")</f>
        <v>140</v>
      </c>
      <c r="F716" s="42" t="n">
        <f aca="false">IFERROR($C716*$E716,"")</f>
        <v>7</v>
      </c>
    </row>
    <row r="717" customFormat="false" ht="15" hidden="false" customHeight="true" outlineLevel="0" collapsed="false">
      <c r="A717" s="39" t="s">
        <v>442</v>
      </c>
      <c r="B717" s="39" t="s">
        <v>188</v>
      </c>
      <c r="C717" s="39" t="n">
        <v>0.05</v>
      </c>
      <c r="D717" s="40" t="str">
        <f aca="false">IFERROR(INDEX(المكونات!$B$2:$B$500,MATCH($B717,المكونات!$A$2:$A$500,0)),"")</f>
        <v>كجم</v>
      </c>
      <c r="E717" s="41" t="n">
        <f aca="false">IFERROR(INDEX(المكونات!$C$2:$C$500,MATCH($B717,المكونات!$A$2:$A$500,0)),"")</f>
        <v>70</v>
      </c>
      <c r="F717" s="42" t="n">
        <f aca="false">IFERROR($C717*$E717,"")</f>
        <v>3.5</v>
      </c>
    </row>
    <row r="718" customFormat="false" ht="15" hidden="false" customHeight="true" outlineLevel="0" collapsed="false">
      <c r="A718" s="39" t="s">
        <v>442</v>
      </c>
      <c r="B718" s="39" t="s">
        <v>194</v>
      </c>
      <c r="C718" s="39" t="n">
        <v>0.05</v>
      </c>
      <c r="D718" s="40" t="str">
        <f aca="false">IFERROR(INDEX(المكونات!$B$2:$B$500,MATCH($B718,المكونات!$A$2:$A$500,0)),"")</f>
        <v>كجم</v>
      </c>
      <c r="E718" s="41" t="n">
        <f aca="false">IFERROR(INDEX(المكونات!$C$2:$C$500,MATCH($B718,المكونات!$A$2:$A$500,0)),"")</f>
        <v>140</v>
      </c>
      <c r="F718" s="42" t="n">
        <f aca="false">IFERROR($C718*$E718,"")</f>
        <v>7</v>
      </c>
    </row>
    <row r="719" customFormat="false" ht="15" hidden="false" customHeight="true" outlineLevel="0" collapsed="false">
      <c r="A719" s="39" t="s">
        <v>442</v>
      </c>
      <c r="B719" s="39" t="s">
        <v>225</v>
      </c>
      <c r="C719" s="39" t="n">
        <v>2</v>
      </c>
      <c r="D719" s="40" t="str">
        <f aca="false">IFERROR(INDEX(المكونات!$B$2:$B$500,MATCH($B719,المكونات!$A$2:$A$500,0)),"")</f>
        <v>قطعة</v>
      </c>
      <c r="E719" s="41" t="n">
        <f aca="false">IFERROR(INDEX(المكونات!$C$2:$C$500,MATCH($B719,المكونات!$A$2:$A$500,0)),"")</f>
        <v>0.3</v>
      </c>
      <c r="F719" s="42" t="n">
        <f aca="false">IFERROR($C719*$E719,"")</f>
        <v>0.6</v>
      </c>
    </row>
    <row r="720" customFormat="false" ht="15" hidden="false" customHeight="true" outlineLevel="0" collapsed="false">
      <c r="A720" s="39" t="s">
        <v>442</v>
      </c>
      <c r="B720" s="39" t="s">
        <v>254</v>
      </c>
      <c r="C720" s="39" t="n">
        <v>1</v>
      </c>
      <c r="D720" s="40" t="str">
        <f aca="false">IFERROR(INDEX(المكونات!$B$2:$B$500,MATCH($B720,المكونات!$A$2:$A$500,0)),"")</f>
        <v>قطعة (ورقة)</v>
      </c>
      <c r="E720" s="41" t="n">
        <f aca="false">IFERROR(INDEX(المكونات!$C$2:$C$500,MATCH($B720,المكونات!$A$2:$A$500,0)),"")</f>
        <v>0.3665</v>
      </c>
      <c r="F720" s="42" t="n">
        <f aca="false">IFERROR($C720*$E720,"")</f>
        <v>0.3665</v>
      </c>
    </row>
    <row r="721" customFormat="false" ht="15" hidden="false" customHeight="true" outlineLevel="0" collapsed="false">
      <c r="A721" s="39" t="s">
        <v>442</v>
      </c>
      <c r="B721" s="39" t="s">
        <v>67</v>
      </c>
      <c r="C721" s="39" t="n">
        <v>1</v>
      </c>
      <c r="D721" s="40" t="str">
        <f aca="false">IFERROR(INDEX(المكونات!$B$2:$B$500,MATCH($B721,المكونات!$A$2:$A$500,0)),"")</f>
        <v>قطعة (كيس)</v>
      </c>
      <c r="E721" s="41" t="n">
        <f aca="false">IFERROR(INDEX(المكونات!$C$2:$C$500,MATCH($B721,المكونات!$A$2:$A$500,0)),"")</f>
        <v>1.4</v>
      </c>
      <c r="F721" s="42" t="n">
        <f aca="false">IFERROR($C721*$E721,"")</f>
        <v>1.4</v>
      </c>
    </row>
    <row r="722" customFormat="false" ht="15" hidden="false" customHeight="true" outlineLevel="0" collapsed="false">
      <c r="A722" s="39" t="s">
        <v>442</v>
      </c>
      <c r="B722" s="39" t="s">
        <v>228</v>
      </c>
      <c r="C722" s="39" t="n">
        <v>1</v>
      </c>
      <c r="D722" s="40" t="str">
        <f aca="false">IFERROR(INDEX(المكونات!$B$2:$B$500,MATCH($B722,المكونات!$A$2:$A$500,0)),"")</f>
        <v>قطعة</v>
      </c>
      <c r="E722" s="41" t="n">
        <f aca="false">IFERROR(INDEX(المكونات!$C$2:$C$500,MATCH($B722,المكونات!$A$2:$A$500,0)),"")</f>
        <v>0.5</v>
      </c>
      <c r="F722" s="42" t="n">
        <f aca="false">IFERROR($C722*$E722,"")</f>
        <v>0.5</v>
      </c>
    </row>
    <row r="723" customFormat="false" ht="15" hidden="false" customHeight="true" outlineLevel="0" collapsed="false">
      <c r="A723" s="39" t="s">
        <v>442</v>
      </c>
      <c r="B723" s="39" t="s">
        <v>145</v>
      </c>
      <c r="C723" s="39" t="n">
        <v>2</v>
      </c>
      <c r="D723" s="40" t="str">
        <f aca="false">IFERROR(INDEX(المكونات!$B$2:$B$500,MATCH($B723,المكونات!$A$2:$A$500,0)),"")</f>
        <v>قطعة (جلفز)</v>
      </c>
      <c r="E723" s="41" t="n">
        <f aca="false">IFERROR(INDEX(المكونات!$C$2:$C$500,MATCH($B723,المكونات!$A$2:$A$500,0)),"")</f>
        <v>0.18</v>
      </c>
      <c r="F723" s="42" t="n">
        <f aca="false">IFERROR($C723*$E723,"")</f>
        <v>0.36</v>
      </c>
    </row>
    <row r="724" customFormat="false" ht="15" hidden="false" customHeight="true" outlineLevel="0" collapsed="false">
      <c r="A724" s="39" t="s">
        <v>442</v>
      </c>
      <c r="B724" s="39" t="s">
        <v>257</v>
      </c>
      <c r="C724" s="39" t="n">
        <v>1</v>
      </c>
      <c r="D724" s="40" t="str">
        <f aca="false">IFERROR(INDEX(المكونات!$B$2:$B$500,MATCH($B724,المكونات!$A$2:$A$500,0)),"")</f>
        <v>قطعة (كيس)</v>
      </c>
      <c r="E724" s="41" t="n">
        <f aca="false">IFERROR(INDEX(المكونات!$C$2:$C$500,MATCH($B724,المكونات!$A$2:$A$500,0)),"")</f>
        <v>0.9995</v>
      </c>
      <c r="F724" s="42" t="n">
        <f aca="false">IFERROR($C724*$E724,"")</f>
        <v>0.9995</v>
      </c>
    </row>
    <row r="725" customFormat="false" ht="15" hidden="false" customHeight="true" outlineLevel="0" collapsed="false">
      <c r="A725" s="39" t="s">
        <v>442</v>
      </c>
      <c r="B725" s="39" t="s">
        <v>279</v>
      </c>
      <c r="C725" s="39" t="n">
        <v>1</v>
      </c>
      <c r="D725" s="40" t="str">
        <f aca="false">IFERROR(INDEX(المكونات!$B$2:$B$500,MATCH($B725,المكونات!$A$2:$A$500,0)),"")</f>
        <v>قطعة</v>
      </c>
      <c r="E725" s="41" t="n">
        <f aca="false">IFERROR(INDEX(المكونات!$C$2:$C$500,MATCH($B725,المكونات!$A$2:$A$500,0)),"")</f>
        <v>4.44</v>
      </c>
      <c r="F725" s="42" t="n">
        <f aca="false">IFERROR($C725*$E725,"")</f>
        <v>4.44</v>
      </c>
    </row>
    <row r="726" customFormat="false" ht="15" hidden="false" customHeight="true" outlineLevel="0" collapsed="false">
      <c r="A726" s="39" t="s">
        <v>463</v>
      </c>
      <c r="B726" s="39" t="s">
        <v>198</v>
      </c>
      <c r="C726" s="39" t="n">
        <v>0.22</v>
      </c>
      <c r="D726" s="40" t="str">
        <f aca="false">IFERROR(INDEX(المكونات!$B$2:$B$500,MATCH($B726,المكونات!$A$2:$A$500,0)),"")</f>
        <v>كجم</v>
      </c>
      <c r="E726" s="41" t="n">
        <f aca="false">IFERROR(INDEX(المكونات!$C$2:$C$500,MATCH($B726,المكونات!$A$2:$A$500,0)),"")</f>
        <v>22</v>
      </c>
      <c r="F726" s="42" t="n">
        <f aca="false">IFERROR($C726*$E726,"")</f>
        <v>4.84</v>
      </c>
    </row>
    <row r="727" customFormat="false" ht="15" hidden="false" customHeight="true" outlineLevel="0" collapsed="false">
      <c r="A727" s="39" t="s">
        <v>463</v>
      </c>
      <c r="B727" s="39" t="s">
        <v>106</v>
      </c>
      <c r="C727" s="39" t="n">
        <v>1</v>
      </c>
      <c r="D727" s="40" t="str">
        <f aca="false">IFERROR(INDEX(المكونات!$B$2:$B$500,MATCH($B727,المكونات!$A$2:$A$500,0)),"")</f>
        <v>قطعة</v>
      </c>
      <c r="E727" s="41" t="n">
        <f aca="false">IFERROR(INDEX(المكونات!$C$2:$C$500,MATCH($B727,المكونات!$A$2:$A$500,0)),"")</f>
        <v>20</v>
      </c>
      <c r="F727" s="42" t="n">
        <f aca="false">IFERROR($C727*$E727,"")</f>
        <v>20</v>
      </c>
    </row>
    <row r="728" customFormat="false" ht="15" hidden="false" customHeight="true" outlineLevel="0" collapsed="false">
      <c r="A728" s="39" t="s">
        <v>463</v>
      </c>
      <c r="B728" s="39" t="s">
        <v>96</v>
      </c>
      <c r="C728" s="39" t="n">
        <v>1</v>
      </c>
      <c r="D728" s="40" t="str">
        <f aca="false">IFERROR(INDEX(المكونات!$B$2:$B$500,MATCH($B728,المكونات!$A$2:$A$500,0)),"")</f>
        <v>قطعة</v>
      </c>
      <c r="E728" s="41" t="n">
        <f aca="false">IFERROR(INDEX(المكونات!$C$2:$C$500,MATCH($B728,المكونات!$A$2:$A$500,0)),"")</f>
        <v>30</v>
      </c>
      <c r="F728" s="42" t="n">
        <f aca="false">IFERROR($C728*$E728,"")</f>
        <v>30</v>
      </c>
    </row>
    <row r="729" customFormat="false" ht="15" hidden="false" customHeight="true" outlineLevel="0" collapsed="false">
      <c r="A729" s="39" t="s">
        <v>463</v>
      </c>
      <c r="B729" s="39" t="s">
        <v>90</v>
      </c>
      <c r="C729" s="39" t="n">
        <v>0.3</v>
      </c>
      <c r="D729" s="40" t="str">
        <f aca="false">IFERROR(INDEX(المكونات!$B$2:$B$500,MATCH($B729,المكونات!$A$2:$A$500,0)),"")</f>
        <v>قطعة</v>
      </c>
      <c r="E729" s="41" t="n">
        <f aca="false">IFERROR(INDEX(المكونات!$C$2:$C$500,MATCH($B729,المكونات!$A$2:$A$500,0)),"")</f>
        <v>27.1442</v>
      </c>
      <c r="F729" s="42" t="n">
        <f aca="false">IFERROR($C729*$E729,"")</f>
        <v>8.14326</v>
      </c>
    </row>
    <row r="730" customFormat="false" ht="15" hidden="false" customHeight="true" outlineLevel="0" collapsed="false">
      <c r="A730" s="39" t="s">
        <v>463</v>
      </c>
      <c r="B730" s="39" t="s">
        <v>277</v>
      </c>
      <c r="C730" s="39" t="n">
        <v>1</v>
      </c>
      <c r="D730" s="40" t="str">
        <f aca="false">IFERROR(INDEX(المكونات!$B$2:$B$500,MATCH($B730,المكونات!$A$2:$A$500,0)),"")</f>
        <v>قطعة</v>
      </c>
      <c r="E730" s="41" t="n">
        <f aca="false">IFERROR(INDEX(المكونات!$C$2:$C$500,MATCH($B730,المكونات!$A$2:$A$500,0)),"")</f>
        <v>0.3</v>
      </c>
      <c r="F730" s="42" t="n">
        <f aca="false">IFERROR($C730*$E730,"")</f>
        <v>0.3</v>
      </c>
    </row>
    <row r="731" customFormat="false" ht="15" hidden="false" customHeight="true" outlineLevel="0" collapsed="false">
      <c r="A731" s="39" t="s">
        <v>463</v>
      </c>
      <c r="B731" s="39" t="s">
        <v>196</v>
      </c>
      <c r="C731" s="39" t="n">
        <v>0.02</v>
      </c>
      <c r="D731" s="40" t="str">
        <f aca="false">IFERROR(INDEX(المكونات!$B$2:$B$500,MATCH($B731,المكونات!$A$2:$A$500,0)),"")</f>
        <v>كجم</v>
      </c>
      <c r="E731" s="41" t="n">
        <f aca="false">IFERROR(INDEX(المكونات!$C$2:$C$500,MATCH($B731,المكونات!$A$2:$A$500,0)),"")</f>
        <v>21</v>
      </c>
      <c r="F731" s="42" t="n">
        <f aca="false">IFERROR($C731*$E731,"")</f>
        <v>0.42</v>
      </c>
    </row>
    <row r="732" customFormat="false" ht="15" hidden="false" customHeight="true" outlineLevel="0" collapsed="false">
      <c r="A732" s="39" t="s">
        <v>463</v>
      </c>
      <c r="B732" s="39" t="s">
        <v>219</v>
      </c>
      <c r="C732" s="39" t="n">
        <v>0.02</v>
      </c>
      <c r="D732" s="40" t="str">
        <f aca="false">IFERROR(INDEX(المكونات!$B$2:$B$500,MATCH($B732,المكونات!$A$2:$A$500,0)),"")</f>
        <v>كجم</v>
      </c>
      <c r="E732" s="41" t="n">
        <f aca="false">IFERROR(INDEX(المكونات!$C$2:$C$500,MATCH($B732,المكونات!$A$2:$A$500,0)),"")</f>
        <v>27</v>
      </c>
      <c r="F732" s="42" t="n">
        <f aca="false">IFERROR($C732*$E732,"")</f>
        <v>0.54</v>
      </c>
    </row>
    <row r="733" customFormat="false" ht="15" hidden="false" customHeight="true" outlineLevel="0" collapsed="false">
      <c r="A733" s="39" t="s">
        <v>463</v>
      </c>
      <c r="B733" s="39" t="s">
        <v>124</v>
      </c>
      <c r="C733" s="39" t="n">
        <v>0.02</v>
      </c>
      <c r="D733" s="40" t="str">
        <f aca="false">IFERROR(INDEX(المكونات!$B$2:$B$500,MATCH($B733,المكونات!$A$2:$A$500,0)),"")</f>
        <v>كجم</v>
      </c>
      <c r="E733" s="41" t="n">
        <f aca="false">IFERROR(INDEX(المكونات!$C$2:$C$500,MATCH($B733,المكونات!$A$2:$A$500,0)),"")</f>
        <v>18</v>
      </c>
      <c r="F733" s="42" t="n">
        <f aca="false">IFERROR($C733*$E733,"")</f>
        <v>0.36</v>
      </c>
    </row>
    <row r="734" customFormat="false" ht="15" hidden="false" customHeight="true" outlineLevel="0" collapsed="false">
      <c r="A734" s="39" t="s">
        <v>463</v>
      </c>
      <c r="B734" s="39" t="s">
        <v>151</v>
      </c>
      <c r="C734" s="39" t="n">
        <v>0.02</v>
      </c>
      <c r="D734" s="40" t="str">
        <f aca="false">IFERROR(INDEX(المكونات!$B$2:$B$500,MATCH($B734,المكونات!$A$2:$A$500,0)),"")</f>
        <v>كجم</v>
      </c>
      <c r="E734" s="41" t="n">
        <f aca="false">IFERROR(INDEX(المكونات!$C$2:$C$500,MATCH($B734,المكونات!$A$2:$A$500,0)),"")</f>
        <v>30</v>
      </c>
      <c r="F734" s="42" t="n">
        <f aca="false">IFERROR($C734*$E734,"")</f>
        <v>0.6</v>
      </c>
    </row>
    <row r="735" customFormat="false" ht="15" hidden="false" customHeight="true" outlineLevel="0" collapsed="false">
      <c r="A735" s="39" t="s">
        <v>463</v>
      </c>
      <c r="B735" s="39" t="s">
        <v>192</v>
      </c>
      <c r="C735" s="39" t="n">
        <v>0.05</v>
      </c>
      <c r="D735" s="40" t="str">
        <f aca="false">IFERROR(INDEX(المكونات!$B$2:$B$500,MATCH($B735,المكونات!$A$2:$A$500,0)),"")</f>
        <v>كجم</v>
      </c>
      <c r="E735" s="41" t="n">
        <f aca="false">IFERROR(INDEX(المكونات!$C$2:$C$500,MATCH($B735,المكونات!$A$2:$A$500,0)),"")</f>
        <v>105</v>
      </c>
      <c r="F735" s="42" t="n">
        <f aca="false">IFERROR($C735*$E735,"")</f>
        <v>5.25</v>
      </c>
    </row>
    <row r="736" customFormat="false" ht="15" hidden="false" customHeight="true" outlineLevel="0" collapsed="false">
      <c r="A736" s="39" t="s">
        <v>463</v>
      </c>
      <c r="B736" s="39" t="s">
        <v>188</v>
      </c>
      <c r="C736" s="39" t="n">
        <v>0.05</v>
      </c>
      <c r="D736" s="40" t="str">
        <f aca="false">IFERROR(INDEX(المكونات!$B$2:$B$500,MATCH($B736,المكونات!$A$2:$A$500,0)),"")</f>
        <v>كجم</v>
      </c>
      <c r="E736" s="41" t="n">
        <f aca="false">IFERROR(INDEX(المكونات!$C$2:$C$500,MATCH($B736,المكونات!$A$2:$A$500,0)),"")</f>
        <v>70</v>
      </c>
      <c r="F736" s="42" t="n">
        <f aca="false">IFERROR($C736*$E736,"")</f>
        <v>3.5</v>
      </c>
    </row>
    <row r="737" customFormat="false" ht="15" hidden="false" customHeight="true" outlineLevel="0" collapsed="false">
      <c r="A737" s="39" t="s">
        <v>463</v>
      </c>
      <c r="B737" s="39" t="s">
        <v>194</v>
      </c>
      <c r="C737" s="39" t="n">
        <v>0.05</v>
      </c>
      <c r="D737" s="40" t="str">
        <f aca="false">IFERROR(INDEX(المكونات!$B$2:$B$500,MATCH($B737,المكونات!$A$2:$A$500,0)),"")</f>
        <v>كجم</v>
      </c>
      <c r="E737" s="41" t="n">
        <f aca="false">IFERROR(INDEX(المكونات!$C$2:$C$500,MATCH($B737,المكونات!$A$2:$A$500,0)),"")</f>
        <v>140</v>
      </c>
      <c r="F737" s="42" t="n">
        <f aca="false">IFERROR($C737*$E737,"")</f>
        <v>7</v>
      </c>
    </row>
    <row r="738" customFormat="false" ht="15" hidden="false" customHeight="true" outlineLevel="0" collapsed="false">
      <c r="A738" s="39" t="s">
        <v>463</v>
      </c>
      <c r="B738" s="39" t="s">
        <v>225</v>
      </c>
      <c r="C738" s="39" t="n">
        <v>2</v>
      </c>
      <c r="D738" s="40" t="str">
        <f aca="false">IFERROR(INDEX(المكونات!$B$2:$B$500,MATCH($B738,المكونات!$A$2:$A$500,0)),"")</f>
        <v>قطعة</v>
      </c>
      <c r="E738" s="41" t="n">
        <f aca="false">IFERROR(INDEX(المكونات!$C$2:$C$500,MATCH($B738,المكونات!$A$2:$A$500,0)),"")</f>
        <v>0.3</v>
      </c>
      <c r="F738" s="42" t="n">
        <f aca="false">IFERROR($C738*$E738,"")</f>
        <v>0.6</v>
      </c>
    </row>
    <row r="739" customFormat="false" ht="15" hidden="false" customHeight="true" outlineLevel="0" collapsed="false">
      <c r="A739" s="39" t="s">
        <v>463</v>
      </c>
      <c r="B739" s="39" t="s">
        <v>254</v>
      </c>
      <c r="C739" s="39" t="n">
        <v>1</v>
      </c>
      <c r="D739" s="40" t="str">
        <f aca="false">IFERROR(INDEX(المكونات!$B$2:$B$500,MATCH($B739,المكونات!$A$2:$A$500,0)),"")</f>
        <v>قطعة (ورقة)</v>
      </c>
      <c r="E739" s="41" t="n">
        <f aca="false">IFERROR(INDEX(المكونات!$C$2:$C$500,MATCH($B739,المكونات!$A$2:$A$500,0)),"")</f>
        <v>0.3665</v>
      </c>
      <c r="F739" s="42" t="n">
        <f aca="false">IFERROR($C739*$E739,"")</f>
        <v>0.3665</v>
      </c>
    </row>
    <row r="740" customFormat="false" ht="15" hidden="false" customHeight="true" outlineLevel="0" collapsed="false">
      <c r="A740" s="39" t="s">
        <v>463</v>
      </c>
      <c r="B740" s="39" t="s">
        <v>67</v>
      </c>
      <c r="C740" s="39" t="n">
        <v>1</v>
      </c>
      <c r="D740" s="40" t="str">
        <f aca="false">IFERROR(INDEX(المكونات!$B$2:$B$500,MATCH($B740,المكونات!$A$2:$A$500,0)),"")</f>
        <v>قطعة (كيس)</v>
      </c>
      <c r="E740" s="41" t="n">
        <f aca="false">IFERROR(INDEX(المكونات!$C$2:$C$500,MATCH($B740,المكونات!$A$2:$A$500,0)),"")</f>
        <v>1.4</v>
      </c>
      <c r="F740" s="42" t="n">
        <f aca="false">IFERROR($C740*$E740,"")</f>
        <v>1.4</v>
      </c>
    </row>
    <row r="741" customFormat="false" ht="15" hidden="false" customHeight="true" outlineLevel="0" collapsed="false">
      <c r="A741" s="39" t="s">
        <v>463</v>
      </c>
      <c r="B741" s="39" t="s">
        <v>228</v>
      </c>
      <c r="C741" s="39" t="n">
        <v>1</v>
      </c>
      <c r="D741" s="40" t="str">
        <f aca="false">IFERROR(INDEX(المكونات!$B$2:$B$500,MATCH($B741,المكونات!$A$2:$A$500,0)),"")</f>
        <v>قطعة</v>
      </c>
      <c r="E741" s="41" t="n">
        <f aca="false">IFERROR(INDEX(المكونات!$C$2:$C$500,MATCH($B741,المكونات!$A$2:$A$500,0)),"")</f>
        <v>0.5</v>
      </c>
      <c r="F741" s="42" t="n">
        <f aca="false">IFERROR($C741*$E741,"")</f>
        <v>0.5</v>
      </c>
    </row>
    <row r="742" customFormat="false" ht="15" hidden="false" customHeight="true" outlineLevel="0" collapsed="false">
      <c r="A742" s="39" t="s">
        <v>463</v>
      </c>
      <c r="B742" s="39" t="s">
        <v>145</v>
      </c>
      <c r="C742" s="39" t="n">
        <v>2</v>
      </c>
      <c r="D742" s="40" t="str">
        <f aca="false">IFERROR(INDEX(المكونات!$B$2:$B$500,MATCH($B742,المكونات!$A$2:$A$500,0)),"")</f>
        <v>قطعة (جلفز)</v>
      </c>
      <c r="E742" s="41" t="n">
        <f aca="false">IFERROR(INDEX(المكونات!$C$2:$C$500,MATCH($B742,المكونات!$A$2:$A$500,0)),"")</f>
        <v>0.18</v>
      </c>
      <c r="F742" s="42" t="n">
        <f aca="false">IFERROR($C742*$E742,"")</f>
        <v>0.36</v>
      </c>
    </row>
    <row r="743" customFormat="false" ht="15" hidden="false" customHeight="true" outlineLevel="0" collapsed="false">
      <c r="A743" s="39" t="s">
        <v>463</v>
      </c>
      <c r="B743" s="39" t="s">
        <v>257</v>
      </c>
      <c r="C743" s="39" t="n">
        <v>1</v>
      </c>
      <c r="D743" s="40" t="str">
        <f aca="false">IFERROR(INDEX(المكونات!$B$2:$B$500,MATCH($B743,المكونات!$A$2:$A$500,0)),"")</f>
        <v>قطعة (كيس)</v>
      </c>
      <c r="E743" s="41" t="n">
        <f aca="false">IFERROR(INDEX(المكونات!$C$2:$C$500,MATCH($B743,المكونات!$A$2:$A$500,0)),"")</f>
        <v>0.9995</v>
      </c>
      <c r="F743" s="42" t="n">
        <f aca="false">IFERROR($C743*$E743,"")</f>
        <v>0.9995</v>
      </c>
    </row>
    <row r="744" customFormat="false" ht="15" hidden="false" customHeight="true" outlineLevel="0" collapsed="false">
      <c r="A744" s="39" t="s">
        <v>463</v>
      </c>
      <c r="B744" s="39" t="s">
        <v>279</v>
      </c>
      <c r="C744" s="39" t="n">
        <v>1</v>
      </c>
      <c r="D744" s="40" t="str">
        <f aca="false">IFERROR(INDEX(المكونات!$B$2:$B$500,MATCH($B744,المكونات!$A$2:$A$500,0)),"")</f>
        <v>قطعة</v>
      </c>
      <c r="E744" s="41" t="n">
        <f aca="false">IFERROR(INDEX(المكونات!$C$2:$C$500,MATCH($B744,المكونات!$A$2:$A$500,0)),"")</f>
        <v>4.44</v>
      </c>
      <c r="F744" s="42" t="n">
        <f aca="false">IFERROR($C744*$E744,"")</f>
        <v>4.44</v>
      </c>
    </row>
    <row r="745" customFormat="false" ht="15" hidden="false" customHeight="true" outlineLevel="0" collapsed="false">
      <c r="A745" s="39" t="s">
        <v>326</v>
      </c>
      <c r="B745" s="39" t="s">
        <v>198</v>
      </c>
      <c r="C745" s="39" t="n">
        <v>0.3</v>
      </c>
      <c r="D745" s="40" t="str">
        <f aca="false">IFERROR(INDEX(المكونات!$B$2:$B$500,MATCH($B745,المكونات!$A$2:$A$500,0)),"")</f>
        <v>كجم</v>
      </c>
      <c r="E745" s="41" t="n">
        <f aca="false">IFERROR(INDEX(المكونات!$C$2:$C$500,MATCH($B745,المكونات!$A$2:$A$500,0)),"")</f>
        <v>22</v>
      </c>
      <c r="F745" s="42" t="n">
        <f aca="false">IFERROR($C745*$E745,"")</f>
        <v>6.6</v>
      </c>
    </row>
    <row r="746" customFormat="false" ht="15" hidden="false" customHeight="true" outlineLevel="0" collapsed="false">
      <c r="A746" s="39" t="s">
        <v>326</v>
      </c>
      <c r="B746" s="39" t="s">
        <v>74</v>
      </c>
      <c r="C746" s="39" t="n">
        <v>3</v>
      </c>
      <c r="D746" s="40" t="str">
        <f aca="false">IFERROR(INDEX(المكونات!$B$2:$B$500,MATCH($B746,المكونات!$A$2:$A$500,0)),"")</f>
        <v>قطعة</v>
      </c>
      <c r="E746" s="41" t="n">
        <f aca="false">IFERROR(INDEX(المكونات!$C$2:$C$500,MATCH($B746,المكونات!$A$2:$A$500,0)),"")</f>
        <v>18</v>
      </c>
      <c r="F746" s="42" t="n">
        <f aca="false">IFERROR($C746*$E746,"")</f>
        <v>54</v>
      </c>
    </row>
    <row r="747" customFormat="false" ht="15" hidden="false" customHeight="true" outlineLevel="0" collapsed="false">
      <c r="A747" s="39" t="s">
        <v>326</v>
      </c>
      <c r="B747" s="39" t="s">
        <v>106</v>
      </c>
      <c r="C747" s="39" t="n">
        <v>4</v>
      </c>
      <c r="D747" s="40" t="str">
        <f aca="false">IFERROR(INDEX(المكونات!$B$2:$B$500,MATCH($B747,المكونات!$A$2:$A$500,0)),"")</f>
        <v>قطعة</v>
      </c>
      <c r="E747" s="41" t="n">
        <f aca="false">IFERROR(INDEX(المكونات!$C$2:$C$500,MATCH($B747,المكونات!$A$2:$A$500,0)),"")</f>
        <v>20</v>
      </c>
      <c r="F747" s="42" t="n">
        <f aca="false">IFERROR($C747*$E747,"")</f>
        <v>80</v>
      </c>
    </row>
    <row r="748" customFormat="false" ht="15" hidden="false" customHeight="true" outlineLevel="0" collapsed="false">
      <c r="A748" s="39" t="s">
        <v>326</v>
      </c>
      <c r="B748" s="39" t="s">
        <v>196</v>
      </c>
      <c r="C748" s="39" t="n">
        <v>0.02</v>
      </c>
      <c r="D748" s="40" t="str">
        <f aca="false">IFERROR(INDEX(المكونات!$B$2:$B$500,MATCH($B748,المكونات!$A$2:$A$500,0)),"")</f>
        <v>كجم</v>
      </c>
      <c r="E748" s="41" t="n">
        <f aca="false">IFERROR(INDEX(المكونات!$C$2:$C$500,MATCH($B748,المكونات!$A$2:$A$500,0)),"")</f>
        <v>21</v>
      </c>
      <c r="F748" s="42" t="n">
        <f aca="false">IFERROR($C748*$E748,"")</f>
        <v>0.42</v>
      </c>
    </row>
    <row r="749" customFormat="false" ht="15" hidden="false" customHeight="true" outlineLevel="0" collapsed="false">
      <c r="A749" s="39" t="s">
        <v>326</v>
      </c>
      <c r="B749" s="39" t="s">
        <v>219</v>
      </c>
      <c r="C749" s="39" t="n">
        <v>0.02</v>
      </c>
      <c r="D749" s="40" t="str">
        <f aca="false">IFERROR(INDEX(المكونات!$B$2:$B$500,MATCH($B749,المكونات!$A$2:$A$500,0)),"")</f>
        <v>كجم</v>
      </c>
      <c r="E749" s="41" t="n">
        <f aca="false">IFERROR(INDEX(المكونات!$C$2:$C$500,MATCH($B749,المكونات!$A$2:$A$500,0)),"")</f>
        <v>27</v>
      </c>
      <c r="F749" s="42" t="n">
        <f aca="false">IFERROR($C749*$E749,"")</f>
        <v>0.54</v>
      </c>
    </row>
    <row r="750" customFormat="false" ht="15" hidden="false" customHeight="true" outlineLevel="0" collapsed="false">
      <c r="A750" s="39" t="s">
        <v>326</v>
      </c>
      <c r="B750" s="39" t="s">
        <v>124</v>
      </c>
      <c r="C750" s="39" t="n">
        <v>0.02</v>
      </c>
      <c r="D750" s="40" t="str">
        <f aca="false">IFERROR(INDEX(المكونات!$B$2:$B$500,MATCH($B750,المكونات!$A$2:$A$500,0)),"")</f>
        <v>كجم</v>
      </c>
      <c r="E750" s="41" t="n">
        <f aca="false">IFERROR(INDEX(المكونات!$C$2:$C$500,MATCH($B750,المكونات!$A$2:$A$500,0)),"")</f>
        <v>18</v>
      </c>
      <c r="F750" s="42" t="n">
        <f aca="false">IFERROR($C750*$E750,"")</f>
        <v>0.36</v>
      </c>
    </row>
    <row r="751" customFormat="false" ht="15" hidden="false" customHeight="true" outlineLevel="0" collapsed="false">
      <c r="A751" s="39" t="s">
        <v>326</v>
      </c>
      <c r="B751" s="39" t="s">
        <v>151</v>
      </c>
      <c r="C751" s="39" t="n">
        <v>0.02</v>
      </c>
      <c r="D751" s="40" t="str">
        <f aca="false">IFERROR(INDEX(المكونات!$B$2:$B$500,MATCH($B751,المكونات!$A$2:$A$500,0)),"")</f>
        <v>كجم</v>
      </c>
      <c r="E751" s="41" t="n">
        <f aca="false">IFERROR(INDEX(المكونات!$C$2:$C$500,MATCH($B751,المكونات!$A$2:$A$500,0)),"")</f>
        <v>30</v>
      </c>
      <c r="F751" s="42" t="n">
        <f aca="false">IFERROR($C751*$E751,"")</f>
        <v>0.6</v>
      </c>
    </row>
    <row r="752" customFormat="false" ht="15" hidden="false" customHeight="true" outlineLevel="0" collapsed="false">
      <c r="A752" s="39" t="s">
        <v>326</v>
      </c>
      <c r="B752" s="39" t="s">
        <v>190</v>
      </c>
      <c r="C752" s="39" t="n">
        <v>0.0667</v>
      </c>
      <c r="D752" s="40" t="str">
        <f aca="false">IFERROR(INDEX(المكونات!$B$2:$B$500,MATCH($B752,المكونات!$A$2:$A$500,0)),"")</f>
        <v>كجم</v>
      </c>
      <c r="E752" s="41" t="n">
        <f aca="false">IFERROR(INDEX(المكونات!$C$2:$C$500,MATCH($B752,المكونات!$A$2:$A$500,0)),"")</f>
        <v>140</v>
      </c>
      <c r="F752" s="42" t="n">
        <f aca="false">IFERROR($C752*$E752,"")</f>
        <v>9.338</v>
      </c>
    </row>
    <row r="753" customFormat="false" ht="15" hidden="false" customHeight="true" outlineLevel="0" collapsed="false">
      <c r="A753" s="39" t="s">
        <v>326</v>
      </c>
      <c r="B753" s="39" t="s">
        <v>188</v>
      </c>
      <c r="C753" s="39" t="n">
        <v>0.0667</v>
      </c>
      <c r="D753" s="40" t="str">
        <f aca="false">IFERROR(INDEX(المكونات!$B$2:$B$500,MATCH($B753,المكونات!$A$2:$A$500,0)),"")</f>
        <v>كجم</v>
      </c>
      <c r="E753" s="41" t="n">
        <f aca="false">IFERROR(INDEX(المكونات!$C$2:$C$500,MATCH($B753,المكونات!$A$2:$A$500,0)),"")</f>
        <v>70</v>
      </c>
      <c r="F753" s="42" t="n">
        <f aca="false">IFERROR($C753*$E753,"")</f>
        <v>4.669</v>
      </c>
    </row>
    <row r="754" customFormat="false" ht="15" hidden="false" customHeight="true" outlineLevel="0" collapsed="false">
      <c r="A754" s="39" t="s">
        <v>326</v>
      </c>
      <c r="B754" s="39" t="s">
        <v>194</v>
      </c>
      <c r="C754" s="39" t="n">
        <v>0.0667</v>
      </c>
      <c r="D754" s="40" t="str">
        <f aca="false">IFERROR(INDEX(المكونات!$B$2:$B$500,MATCH($B754,المكونات!$A$2:$A$500,0)),"")</f>
        <v>كجم</v>
      </c>
      <c r="E754" s="41" t="n">
        <f aca="false">IFERROR(INDEX(المكونات!$C$2:$C$500,MATCH($B754,المكونات!$A$2:$A$500,0)),"")</f>
        <v>140</v>
      </c>
      <c r="F754" s="42" t="n">
        <f aca="false">IFERROR($C754*$E754,"")</f>
        <v>9.338</v>
      </c>
    </row>
    <row r="755" customFormat="false" ht="15" hidden="false" customHeight="true" outlineLevel="0" collapsed="false">
      <c r="A755" s="39" t="s">
        <v>326</v>
      </c>
      <c r="B755" s="39" t="s">
        <v>225</v>
      </c>
      <c r="C755" s="39" t="n">
        <v>3</v>
      </c>
      <c r="D755" s="40" t="str">
        <f aca="false">IFERROR(INDEX(المكونات!$B$2:$B$500,MATCH($B755,المكونات!$A$2:$A$500,0)),"")</f>
        <v>قطعة</v>
      </c>
      <c r="E755" s="41" t="n">
        <f aca="false">IFERROR(INDEX(المكونات!$C$2:$C$500,MATCH($B755,المكونات!$A$2:$A$500,0)),"")</f>
        <v>0.3</v>
      </c>
      <c r="F755" s="42" t="n">
        <f aca="false">IFERROR($C755*$E755,"")</f>
        <v>0.9</v>
      </c>
    </row>
    <row r="756" customFormat="false" ht="15" hidden="false" customHeight="true" outlineLevel="0" collapsed="false">
      <c r="A756" s="39" t="s">
        <v>326</v>
      </c>
      <c r="B756" s="39" t="s">
        <v>254</v>
      </c>
      <c r="C756" s="39" t="n">
        <v>1.5</v>
      </c>
      <c r="D756" s="40" t="str">
        <f aca="false">IFERROR(INDEX(المكونات!$B$2:$B$500,MATCH($B756,المكونات!$A$2:$A$500,0)),"")</f>
        <v>قطعة (ورقة)</v>
      </c>
      <c r="E756" s="41" t="n">
        <f aca="false">IFERROR(INDEX(المكونات!$C$2:$C$500,MATCH($B756,المكونات!$A$2:$A$500,0)),"")</f>
        <v>0.3665</v>
      </c>
      <c r="F756" s="42" t="n">
        <f aca="false">IFERROR($C756*$E756,"")</f>
        <v>0.54975</v>
      </c>
    </row>
    <row r="757" customFormat="false" ht="15" hidden="false" customHeight="true" outlineLevel="0" collapsed="false">
      <c r="A757" s="39" t="s">
        <v>326</v>
      </c>
      <c r="B757" s="39" t="s">
        <v>67</v>
      </c>
      <c r="C757" s="39" t="n">
        <v>1.5</v>
      </c>
      <c r="D757" s="40" t="str">
        <f aca="false">IFERROR(INDEX(المكونات!$B$2:$B$500,MATCH($B757,المكونات!$A$2:$A$500,0)),"")</f>
        <v>قطعة (كيس)</v>
      </c>
      <c r="E757" s="41" t="n">
        <f aca="false">IFERROR(INDEX(المكونات!$C$2:$C$500,MATCH($B757,المكونات!$A$2:$A$500,0)),"")</f>
        <v>1.4</v>
      </c>
      <c r="F757" s="42" t="n">
        <f aca="false">IFERROR($C757*$E757,"")</f>
        <v>2.1</v>
      </c>
    </row>
    <row r="758" customFormat="false" ht="15" hidden="false" customHeight="true" outlineLevel="0" collapsed="false">
      <c r="A758" s="39" t="s">
        <v>326</v>
      </c>
      <c r="B758" s="39" t="s">
        <v>228</v>
      </c>
      <c r="C758" s="39" t="n">
        <v>1.5</v>
      </c>
      <c r="D758" s="40" t="str">
        <f aca="false">IFERROR(INDEX(المكونات!$B$2:$B$500,MATCH($B758,المكونات!$A$2:$A$500,0)),"")</f>
        <v>قطعة</v>
      </c>
      <c r="E758" s="41" t="n">
        <f aca="false">IFERROR(INDEX(المكونات!$C$2:$C$500,MATCH($B758,المكونات!$A$2:$A$500,0)),"")</f>
        <v>0.5</v>
      </c>
      <c r="F758" s="42" t="n">
        <f aca="false">IFERROR($C758*$E758,"")</f>
        <v>0.75</v>
      </c>
    </row>
    <row r="759" customFormat="false" ht="15" hidden="false" customHeight="true" outlineLevel="0" collapsed="false">
      <c r="A759" s="39" t="s">
        <v>326</v>
      </c>
      <c r="B759" s="39" t="s">
        <v>145</v>
      </c>
      <c r="C759" s="39" t="n">
        <v>3</v>
      </c>
      <c r="D759" s="40" t="str">
        <f aca="false">IFERROR(INDEX(المكونات!$B$2:$B$500,MATCH($B759,المكونات!$A$2:$A$500,0)),"")</f>
        <v>قطعة (جلفز)</v>
      </c>
      <c r="E759" s="41" t="n">
        <f aca="false">IFERROR(INDEX(المكونات!$C$2:$C$500,MATCH($B759,المكونات!$A$2:$A$500,0)),"")</f>
        <v>0.18</v>
      </c>
      <c r="F759" s="42" t="n">
        <f aca="false">IFERROR($C759*$E759,"")</f>
        <v>0.54</v>
      </c>
    </row>
    <row r="760" customFormat="false" ht="15" hidden="false" customHeight="true" outlineLevel="0" collapsed="false">
      <c r="A760" s="39" t="s">
        <v>326</v>
      </c>
      <c r="B760" s="39" t="s">
        <v>257</v>
      </c>
      <c r="C760" s="39" t="n">
        <v>1.5</v>
      </c>
      <c r="D760" s="40" t="str">
        <f aca="false">IFERROR(INDEX(المكونات!$B$2:$B$500,MATCH($B760,المكونات!$A$2:$A$500,0)),"")</f>
        <v>قطعة (كيس)</v>
      </c>
      <c r="E760" s="41" t="n">
        <f aca="false">IFERROR(INDEX(المكونات!$C$2:$C$500,MATCH($B760,المكونات!$A$2:$A$500,0)),"")</f>
        <v>0.9995</v>
      </c>
      <c r="F760" s="42" t="n">
        <f aca="false">IFERROR($C760*$E760,"")</f>
        <v>1.49925</v>
      </c>
    </row>
    <row r="761" customFormat="false" ht="15" hidden="false" customHeight="true" outlineLevel="0" collapsed="false">
      <c r="A761" s="39" t="s">
        <v>326</v>
      </c>
      <c r="B761" s="39" t="s">
        <v>281</v>
      </c>
      <c r="C761" s="39" t="n">
        <v>1</v>
      </c>
      <c r="D761" s="40" t="str">
        <f aca="false">IFERROR(INDEX(المكونات!$B$2:$B$500,MATCH($B761,المكونات!$A$2:$A$500,0)),"")</f>
        <v>قطعة</v>
      </c>
      <c r="E761" s="41" t="n">
        <f aca="false">IFERROR(INDEX(المكونات!$C$2:$C$500,MATCH($B761,المكونات!$A$2:$A$500,0)),"")</f>
        <v>8</v>
      </c>
      <c r="F761" s="42" t="n">
        <f aca="false">IFERROR($C761*$E761,"")</f>
        <v>8</v>
      </c>
    </row>
    <row r="762" customFormat="false" ht="15" hidden="false" customHeight="true" outlineLevel="0" collapsed="false">
      <c r="A762" s="39" t="s">
        <v>412</v>
      </c>
      <c r="B762" s="39" t="s">
        <v>200</v>
      </c>
      <c r="C762" s="39" t="n">
        <v>2</v>
      </c>
      <c r="D762" s="40" t="str">
        <f aca="false">IFERROR(INDEX(المكونات!$B$2:$B$500,MATCH($B762,المكونات!$A$2:$A$500,0)),"")</f>
        <v>قطعة</v>
      </c>
      <c r="E762" s="41" t="n">
        <f aca="false">IFERROR(INDEX(المكونات!$C$2:$C$500,MATCH($B762,المكونات!$A$2:$A$500,0)),"")</f>
        <v>4</v>
      </c>
      <c r="F762" s="42" t="n">
        <f aca="false">IFERROR($C762*$E762,"")</f>
        <v>8</v>
      </c>
    </row>
    <row r="763" customFormat="false" ht="15" hidden="false" customHeight="true" outlineLevel="0" collapsed="false">
      <c r="A763" s="39" t="s">
        <v>412</v>
      </c>
      <c r="B763" s="39" t="s">
        <v>74</v>
      </c>
      <c r="C763" s="39" t="n">
        <v>2</v>
      </c>
      <c r="D763" s="40" t="str">
        <f aca="false">IFERROR(INDEX(المكونات!$B$2:$B$500,MATCH($B763,المكونات!$A$2:$A$500,0)),"")</f>
        <v>قطعة</v>
      </c>
      <c r="E763" s="41" t="n">
        <f aca="false">IFERROR(INDEX(المكونات!$C$2:$C$500,MATCH($B763,المكونات!$A$2:$A$500,0)),"")</f>
        <v>18</v>
      </c>
      <c r="F763" s="42" t="n">
        <f aca="false">IFERROR($C763*$E763,"")</f>
        <v>36</v>
      </c>
    </row>
    <row r="764" customFormat="false" ht="15" hidden="false" customHeight="true" outlineLevel="0" collapsed="false">
      <c r="A764" s="39" t="s">
        <v>412</v>
      </c>
      <c r="B764" s="39" t="s">
        <v>196</v>
      </c>
      <c r="C764" s="39" t="n">
        <v>0.02</v>
      </c>
      <c r="D764" s="40" t="str">
        <f aca="false">IFERROR(INDEX(المكونات!$B$2:$B$500,MATCH($B764,المكونات!$A$2:$A$500,0)),"")</f>
        <v>كجم</v>
      </c>
      <c r="E764" s="41" t="n">
        <f aca="false">IFERROR(INDEX(المكونات!$C$2:$C$500,MATCH($B764,المكونات!$A$2:$A$500,0)),"")</f>
        <v>21</v>
      </c>
      <c r="F764" s="42" t="n">
        <f aca="false">IFERROR($C764*$E764,"")</f>
        <v>0.42</v>
      </c>
    </row>
    <row r="765" customFormat="false" ht="15" hidden="false" customHeight="true" outlineLevel="0" collapsed="false">
      <c r="A765" s="39" t="s">
        <v>412</v>
      </c>
      <c r="B765" s="39" t="s">
        <v>219</v>
      </c>
      <c r="C765" s="39" t="n">
        <v>0.02</v>
      </c>
      <c r="D765" s="40" t="str">
        <f aca="false">IFERROR(INDEX(المكونات!$B$2:$B$500,MATCH($B765,المكونات!$A$2:$A$500,0)),"")</f>
        <v>كجم</v>
      </c>
      <c r="E765" s="41" t="n">
        <f aca="false">IFERROR(INDEX(المكونات!$C$2:$C$500,MATCH($B765,المكونات!$A$2:$A$500,0)),"")</f>
        <v>27</v>
      </c>
      <c r="F765" s="42" t="n">
        <f aca="false">IFERROR($C765*$E765,"")</f>
        <v>0.54</v>
      </c>
    </row>
    <row r="766" customFormat="false" ht="15" hidden="false" customHeight="true" outlineLevel="0" collapsed="false">
      <c r="A766" s="39" t="s">
        <v>412</v>
      </c>
      <c r="B766" s="39" t="s">
        <v>124</v>
      </c>
      <c r="C766" s="39" t="n">
        <v>0.02</v>
      </c>
      <c r="D766" s="40" t="str">
        <f aca="false">IFERROR(INDEX(المكونات!$B$2:$B$500,MATCH($B766,المكونات!$A$2:$A$500,0)),"")</f>
        <v>كجم</v>
      </c>
      <c r="E766" s="41" t="n">
        <f aca="false">IFERROR(INDEX(المكونات!$C$2:$C$500,MATCH($B766,المكونات!$A$2:$A$500,0)),"")</f>
        <v>18</v>
      </c>
      <c r="F766" s="42" t="n">
        <f aca="false">IFERROR($C766*$E766,"")</f>
        <v>0.36</v>
      </c>
    </row>
    <row r="767" customFormat="false" ht="15" hidden="false" customHeight="true" outlineLevel="0" collapsed="false">
      <c r="A767" s="39" t="s">
        <v>412</v>
      </c>
      <c r="B767" s="39" t="s">
        <v>151</v>
      </c>
      <c r="C767" s="39" t="n">
        <v>0.02</v>
      </c>
      <c r="D767" s="40" t="str">
        <f aca="false">IFERROR(INDEX(المكونات!$B$2:$B$500,MATCH($B767,المكونات!$A$2:$A$500,0)),"")</f>
        <v>كجم</v>
      </c>
      <c r="E767" s="41" t="n">
        <f aca="false">IFERROR(INDEX(المكونات!$C$2:$C$500,MATCH($B767,المكونات!$A$2:$A$500,0)),"")</f>
        <v>30</v>
      </c>
      <c r="F767" s="42" t="n">
        <f aca="false">IFERROR($C767*$E767,"")</f>
        <v>0.6</v>
      </c>
    </row>
    <row r="768" customFormat="false" ht="15" hidden="false" customHeight="true" outlineLevel="0" collapsed="false">
      <c r="A768" s="39" t="s">
        <v>412</v>
      </c>
      <c r="B768" s="39" t="s">
        <v>190</v>
      </c>
      <c r="C768" s="39" t="n">
        <v>0.05</v>
      </c>
      <c r="D768" s="40" t="str">
        <f aca="false">IFERROR(INDEX(المكونات!$B$2:$B$500,MATCH($B768,المكونات!$A$2:$A$500,0)),"")</f>
        <v>كجم</v>
      </c>
      <c r="E768" s="41" t="n">
        <f aca="false">IFERROR(INDEX(المكونات!$C$2:$C$500,MATCH($B768,المكونات!$A$2:$A$500,0)),"")</f>
        <v>140</v>
      </c>
      <c r="F768" s="42" t="n">
        <f aca="false">IFERROR($C768*$E768,"")</f>
        <v>7</v>
      </c>
    </row>
    <row r="769" customFormat="false" ht="15" hidden="false" customHeight="true" outlineLevel="0" collapsed="false">
      <c r="A769" s="39" t="s">
        <v>412</v>
      </c>
      <c r="B769" s="39" t="s">
        <v>188</v>
      </c>
      <c r="C769" s="39" t="n">
        <v>0.05</v>
      </c>
      <c r="D769" s="40" t="str">
        <f aca="false">IFERROR(INDEX(المكونات!$B$2:$B$500,MATCH($B769,المكونات!$A$2:$A$500,0)),"")</f>
        <v>كجم</v>
      </c>
      <c r="E769" s="41" t="n">
        <f aca="false">IFERROR(INDEX(المكونات!$C$2:$C$500,MATCH($B769,المكونات!$A$2:$A$500,0)),"")</f>
        <v>70</v>
      </c>
      <c r="F769" s="42" t="n">
        <f aca="false">IFERROR($C769*$E769,"")</f>
        <v>3.5</v>
      </c>
    </row>
    <row r="770" customFormat="false" ht="15" hidden="false" customHeight="true" outlineLevel="0" collapsed="false">
      <c r="A770" s="39" t="s">
        <v>412</v>
      </c>
      <c r="B770" s="39" t="s">
        <v>194</v>
      </c>
      <c r="C770" s="39" t="n">
        <v>0.05</v>
      </c>
      <c r="D770" s="40" t="str">
        <f aca="false">IFERROR(INDEX(المكونات!$B$2:$B$500,MATCH($B770,المكونات!$A$2:$A$500,0)),"")</f>
        <v>كجم</v>
      </c>
      <c r="E770" s="41" t="n">
        <f aca="false">IFERROR(INDEX(المكونات!$C$2:$C$500,MATCH($B770,المكونات!$A$2:$A$500,0)),"")</f>
        <v>140</v>
      </c>
      <c r="F770" s="42" t="n">
        <f aca="false">IFERROR($C770*$E770,"")</f>
        <v>7</v>
      </c>
    </row>
    <row r="771" customFormat="false" ht="15" hidden="false" customHeight="true" outlineLevel="0" collapsed="false">
      <c r="A771" s="39" t="s">
        <v>412</v>
      </c>
      <c r="B771" s="39" t="s">
        <v>225</v>
      </c>
      <c r="C771" s="39" t="n">
        <v>2</v>
      </c>
      <c r="D771" s="40" t="str">
        <f aca="false">IFERROR(INDEX(المكونات!$B$2:$B$500,MATCH($B771,المكونات!$A$2:$A$500,0)),"")</f>
        <v>قطعة</v>
      </c>
      <c r="E771" s="41" t="n">
        <f aca="false">IFERROR(INDEX(المكونات!$C$2:$C$500,MATCH($B771,المكونات!$A$2:$A$500,0)),"")</f>
        <v>0.3</v>
      </c>
      <c r="F771" s="42" t="n">
        <f aca="false">IFERROR($C771*$E771,"")</f>
        <v>0.6</v>
      </c>
    </row>
    <row r="772" customFormat="false" ht="15" hidden="false" customHeight="true" outlineLevel="0" collapsed="false">
      <c r="A772" s="39" t="s">
        <v>412</v>
      </c>
      <c r="B772" s="39" t="s">
        <v>254</v>
      </c>
      <c r="C772" s="39" t="n">
        <v>1</v>
      </c>
      <c r="D772" s="40" t="str">
        <f aca="false">IFERROR(INDEX(المكونات!$B$2:$B$500,MATCH($B772,المكونات!$A$2:$A$500,0)),"")</f>
        <v>قطعة (ورقة)</v>
      </c>
      <c r="E772" s="41" t="n">
        <f aca="false">IFERROR(INDEX(المكونات!$C$2:$C$500,MATCH($B772,المكونات!$A$2:$A$500,0)),"")</f>
        <v>0.3665</v>
      </c>
      <c r="F772" s="42" t="n">
        <f aca="false">IFERROR($C772*$E772,"")</f>
        <v>0.3665</v>
      </c>
    </row>
    <row r="773" customFormat="false" ht="15" hidden="false" customHeight="true" outlineLevel="0" collapsed="false">
      <c r="A773" s="39" t="s">
        <v>412</v>
      </c>
      <c r="B773" s="39" t="s">
        <v>67</v>
      </c>
      <c r="C773" s="39" t="n">
        <v>1</v>
      </c>
      <c r="D773" s="40" t="str">
        <f aca="false">IFERROR(INDEX(المكونات!$B$2:$B$500,MATCH($B773,المكونات!$A$2:$A$500,0)),"")</f>
        <v>قطعة (كيس)</v>
      </c>
      <c r="E773" s="41" t="n">
        <f aca="false">IFERROR(INDEX(المكونات!$C$2:$C$500,MATCH($B773,المكونات!$A$2:$A$500,0)),"")</f>
        <v>1.4</v>
      </c>
      <c r="F773" s="42" t="n">
        <f aca="false">IFERROR($C773*$E773,"")</f>
        <v>1.4</v>
      </c>
    </row>
    <row r="774" customFormat="false" ht="15" hidden="false" customHeight="true" outlineLevel="0" collapsed="false">
      <c r="A774" s="39" t="s">
        <v>412</v>
      </c>
      <c r="B774" s="39" t="s">
        <v>228</v>
      </c>
      <c r="C774" s="39" t="n">
        <v>1</v>
      </c>
      <c r="D774" s="40" t="str">
        <f aca="false">IFERROR(INDEX(المكونات!$B$2:$B$500,MATCH($B774,المكونات!$A$2:$A$500,0)),"")</f>
        <v>قطعة</v>
      </c>
      <c r="E774" s="41" t="n">
        <f aca="false">IFERROR(INDEX(المكونات!$C$2:$C$500,MATCH($B774,المكونات!$A$2:$A$500,0)),"")</f>
        <v>0.5</v>
      </c>
      <c r="F774" s="42" t="n">
        <f aca="false">IFERROR($C774*$E774,"")</f>
        <v>0.5</v>
      </c>
    </row>
    <row r="775" customFormat="false" ht="15" hidden="false" customHeight="true" outlineLevel="0" collapsed="false">
      <c r="A775" s="39" t="s">
        <v>412</v>
      </c>
      <c r="B775" s="39" t="s">
        <v>145</v>
      </c>
      <c r="C775" s="39" t="n">
        <v>2</v>
      </c>
      <c r="D775" s="40" t="str">
        <f aca="false">IFERROR(INDEX(المكونات!$B$2:$B$500,MATCH($B775,المكونات!$A$2:$A$500,0)),"")</f>
        <v>قطعة (جلفز)</v>
      </c>
      <c r="E775" s="41" t="n">
        <f aca="false">IFERROR(INDEX(المكونات!$C$2:$C$500,MATCH($B775,المكونات!$A$2:$A$500,0)),"")</f>
        <v>0.18</v>
      </c>
      <c r="F775" s="42" t="n">
        <f aca="false">IFERROR($C775*$E775,"")</f>
        <v>0.36</v>
      </c>
    </row>
    <row r="776" customFormat="false" ht="15" hidden="false" customHeight="true" outlineLevel="0" collapsed="false">
      <c r="A776" s="39" t="s">
        <v>412</v>
      </c>
      <c r="B776" s="39" t="s">
        <v>257</v>
      </c>
      <c r="C776" s="39" t="n">
        <v>1</v>
      </c>
      <c r="D776" s="40" t="str">
        <f aca="false">IFERROR(INDEX(المكونات!$B$2:$B$500,MATCH($B776,المكونات!$A$2:$A$500,0)),"")</f>
        <v>قطعة (كيس)</v>
      </c>
      <c r="E776" s="41" t="n">
        <f aca="false">IFERROR(INDEX(المكونات!$C$2:$C$500,MATCH($B776,المكونات!$A$2:$A$500,0)),"")</f>
        <v>0.9995</v>
      </c>
      <c r="F776" s="42" t="n">
        <f aca="false">IFERROR($C776*$E776,"")</f>
        <v>0.9995</v>
      </c>
    </row>
    <row r="777" customFormat="false" ht="15" hidden="false" customHeight="true" outlineLevel="0" collapsed="false">
      <c r="A777" s="39" t="s">
        <v>412</v>
      </c>
      <c r="B777" s="39" t="s">
        <v>279</v>
      </c>
      <c r="C777" s="39" t="n">
        <v>1</v>
      </c>
      <c r="D777" s="40" t="str">
        <f aca="false">IFERROR(INDEX(المكونات!$B$2:$B$500,MATCH($B777,المكونات!$A$2:$A$500,0)),"")</f>
        <v>قطعة</v>
      </c>
      <c r="E777" s="41" t="n">
        <f aca="false">IFERROR(INDEX(المكونات!$C$2:$C$500,MATCH($B777,المكونات!$A$2:$A$500,0)),"")</f>
        <v>4.44</v>
      </c>
      <c r="F777" s="42" t="n">
        <f aca="false">IFERROR($C777*$E777,"")</f>
        <v>4.44</v>
      </c>
    </row>
    <row r="778" customFormat="false" ht="15" hidden="false" customHeight="true" outlineLevel="0" collapsed="false">
      <c r="A778" s="39" t="s">
        <v>336</v>
      </c>
      <c r="B778" s="39" t="s">
        <v>244</v>
      </c>
      <c r="C778" s="39" t="n">
        <v>0.15</v>
      </c>
      <c r="D778" s="40" t="str">
        <f aca="false">IFERROR(INDEX(المكونات!$B$2:$B$500,MATCH($B778,المكونات!$A$2:$A$500,0)),"")</f>
        <v>كجم</v>
      </c>
      <c r="E778" s="41" t="n">
        <f aca="false">IFERROR(INDEX(المكونات!$C$2:$C$500,MATCH($B778,المكونات!$A$2:$A$500,0)),"")</f>
        <v>24</v>
      </c>
      <c r="F778" s="42" t="n">
        <f aca="false">IFERROR($C778*$E778,"")</f>
        <v>3.6</v>
      </c>
    </row>
    <row r="779" customFormat="false" ht="15" hidden="false" customHeight="true" outlineLevel="0" collapsed="false">
      <c r="A779" s="39" t="s">
        <v>336</v>
      </c>
      <c r="B779" s="39" t="s">
        <v>120</v>
      </c>
      <c r="C779" s="39" t="n">
        <v>0.2</v>
      </c>
      <c r="D779" s="40" t="str">
        <f aca="false">IFERROR(INDEX(المكونات!$B$2:$B$500,MATCH($B779,المكونات!$A$2:$A$500,0)),"")</f>
        <v>كجم</v>
      </c>
      <c r="E779" s="41" t="n">
        <f aca="false">IFERROR(INDEX(المكونات!$C$2:$C$500,MATCH($B779,المكونات!$A$2:$A$500,0)),"")</f>
        <v>41</v>
      </c>
      <c r="F779" s="42" t="n">
        <f aca="false">IFERROR($C779*$E779,"")</f>
        <v>8.2</v>
      </c>
    </row>
    <row r="780" customFormat="false" ht="15" hidden="false" customHeight="true" outlineLevel="0" collapsed="false">
      <c r="A780" s="39" t="s">
        <v>336</v>
      </c>
      <c r="B780" s="39" t="s">
        <v>233</v>
      </c>
      <c r="C780" s="39" t="n">
        <v>0.05</v>
      </c>
      <c r="D780" s="40" t="str">
        <f aca="false">IFERROR(INDEX(المكونات!$B$2:$B$500,MATCH($B780,المكونات!$A$2:$A$500,0)),"")</f>
        <v>لتر</v>
      </c>
      <c r="E780" s="41" t="n">
        <f aca="false">IFERROR(INDEX(المكونات!$C$2:$C$500,MATCH($B780,المكونات!$A$2:$A$500,0)),"")</f>
        <v>20.2727</v>
      </c>
      <c r="F780" s="42" t="n">
        <f aca="false">IFERROR($C780*$E780,"")</f>
        <v>1.013635</v>
      </c>
    </row>
    <row r="781" customFormat="false" ht="15" hidden="false" customHeight="true" outlineLevel="0" collapsed="false">
      <c r="A781" s="39" t="s">
        <v>336</v>
      </c>
      <c r="B781" s="39" t="s">
        <v>154</v>
      </c>
      <c r="C781" s="39" t="n">
        <v>0.01</v>
      </c>
      <c r="D781" s="40" t="str">
        <f aca="false">IFERROR(INDEX(المكونات!$B$2:$B$500,MATCH($B781,المكونات!$A$2:$A$500,0)),"")</f>
        <v>كجم</v>
      </c>
      <c r="E781" s="41" t="n">
        <f aca="false">IFERROR(INDEX(المكونات!$C$2:$C$500,MATCH($B781,المكونات!$A$2:$A$500,0)),"")</f>
        <v>120</v>
      </c>
      <c r="F781" s="42" t="n">
        <f aca="false">IFERROR($C781*$E781,"")</f>
        <v>1.2</v>
      </c>
    </row>
    <row r="782" customFormat="false" ht="15" hidden="false" customHeight="true" outlineLevel="0" collapsed="false">
      <c r="A782" s="39" t="s">
        <v>336</v>
      </c>
      <c r="B782" s="39" t="s">
        <v>106</v>
      </c>
      <c r="C782" s="39" t="n">
        <v>1</v>
      </c>
      <c r="D782" s="40" t="str">
        <f aca="false">IFERROR(INDEX(المكونات!$B$2:$B$500,MATCH($B782,المكونات!$A$2:$A$500,0)),"")</f>
        <v>قطعة</v>
      </c>
      <c r="E782" s="41" t="n">
        <f aca="false">IFERROR(INDEX(المكونات!$C$2:$C$500,MATCH($B782,المكونات!$A$2:$A$500,0)),"")</f>
        <v>20</v>
      </c>
      <c r="F782" s="42" t="n">
        <f aca="false">IFERROR($C782*$E782,"")</f>
        <v>20</v>
      </c>
    </row>
    <row r="783" customFormat="false" ht="15" hidden="false" customHeight="true" outlineLevel="0" collapsed="false">
      <c r="A783" s="39" t="s">
        <v>336</v>
      </c>
      <c r="B783" s="39" t="s">
        <v>92</v>
      </c>
      <c r="C783" s="39" t="n">
        <v>1</v>
      </c>
      <c r="D783" s="40" t="str">
        <f aca="false">IFERROR(INDEX(المكونات!$B$2:$B$500,MATCH($B783,المكونات!$A$2:$A$500,0)),"")</f>
        <v>قطعة</v>
      </c>
      <c r="E783" s="41" t="n">
        <f aca="false">IFERROR(INDEX(المكونات!$C$2:$C$500,MATCH($B783,المكونات!$A$2:$A$500,0)),"")</f>
        <v>33.7609</v>
      </c>
      <c r="F783" s="42" t="n">
        <f aca="false">IFERROR($C783*$E783,"")</f>
        <v>33.7609</v>
      </c>
    </row>
    <row r="784" customFormat="false" ht="15" hidden="false" customHeight="true" outlineLevel="0" collapsed="false">
      <c r="A784" s="39" t="s">
        <v>336</v>
      </c>
      <c r="B784" s="39" t="s">
        <v>242</v>
      </c>
      <c r="C784" s="39" t="n">
        <v>0.06</v>
      </c>
      <c r="D784" s="40" t="str">
        <f aca="false">IFERROR(INDEX(المكونات!$B$2:$B$500,MATCH($B784,المكونات!$A$2:$A$500,0)),"")</f>
        <v>كجم</v>
      </c>
      <c r="E784" s="41" t="n">
        <f aca="false">IFERROR(INDEX(المكونات!$C$2:$C$500,MATCH($B784,المكونات!$A$2:$A$500,0)),"")</f>
        <v>151.2027</v>
      </c>
      <c r="F784" s="42" t="n">
        <f aca="false">IFERROR($C784*$E784,"")</f>
        <v>9.072162</v>
      </c>
    </row>
    <row r="785" customFormat="false" ht="15" hidden="false" customHeight="true" outlineLevel="0" collapsed="false">
      <c r="A785" s="39" t="s">
        <v>336</v>
      </c>
      <c r="B785" s="39" t="s">
        <v>263</v>
      </c>
      <c r="C785" s="39" t="n">
        <v>1</v>
      </c>
      <c r="D785" s="40" t="str">
        <f aca="false">IFERROR(INDEX(المكونات!$B$2:$B$500,MATCH($B785,المكونات!$A$2:$A$500,0)),"")</f>
        <v>قطعة</v>
      </c>
      <c r="E785" s="41" t="n">
        <f aca="false">IFERROR(INDEX(المكونات!$C$2:$C$500,MATCH($B785,المكونات!$A$2:$A$500,0)),"")</f>
        <v>4.47</v>
      </c>
      <c r="F785" s="42" t="n">
        <f aca="false">IFERROR($C785*$E785,"")</f>
        <v>4.47</v>
      </c>
    </row>
    <row r="786" customFormat="false" ht="15" hidden="false" customHeight="true" outlineLevel="0" collapsed="false">
      <c r="A786" s="39" t="s">
        <v>336</v>
      </c>
      <c r="B786" s="39" t="s">
        <v>56</v>
      </c>
      <c r="C786" s="39" t="n">
        <v>1</v>
      </c>
      <c r="D786" s="40" t="str">
        <f aca="false">IFERROR(INDEX(المكونات!$B$2:$B$500,MATCH($B786,المكونات!$A$2:$A$500,0)),"")</f>
        <v>قطعة</v>
      </c>
      <c r="E786" s="41" t="n">
        <f aca="false">IFERROR(INDEX(المكونات!$C$2:$C$500,MATCH($B786,المكونات!$A$2:$A$500,0)),"")</f>
        <v>3.3</v>
      </c>
      <c r="F786" s="42" t="n">
        <f aca="false">IFERROR($C786*$E786,"")</f>
        <v>3.3</v>
      </c>
    </row>
    <row r="787" customFormat="false" ht="15" hidden="false" customHeight="true" outlineLevel="0" collapsed="false">
      <c r="A787" s="39" t="s">
        <v>336</v>
      </c>
      <c r="B787" s="39" t="s">
        <v>178</v>
      </c>
      <c r="C787" s="39" t="n">
        <v>1</v>
      </c>
      <c r="D787" s="40" t="str">
        <f aca="false">IFERROR(INDEX(المكونات!$B$2:$B$500,MATCH($B787,المكونات!$A$2:$A$500,0)),"")</f>
        <v>قطعة</v>
      </c>
      <c r="E787" s="41" t="n">
        <f aca="false">IFERROR(INDEX(المكونات!$C$2:$C$500,MATCH($B787,المكونات!$A$2:$A$500,0)),"")</f>
        <v>0.3</v>
      </c>
      <c r="F787" s="42" t="n">
        <f aca="false">IFERROR($C787*$E787,"")</f>
        <v>0.3</v>
      </c>
    </row>
    <row r="788" customFormat="false" ht="15" hidden="false" customHeight="true" outlineLevel="0" collapsed="false">
      <c r="A788" s="39" t="s">
        <v>336</v>
      </c>
      <c r="B788" s="39" t="s">
        <v>225</v>
      </c>
      <c r="C788" s="39" t="n">
        <v>2</v>
      </c>
      <c r="D788" s="40" t="str">
        <f aca="false">IFERROR(INDEX(المكونات!$B$2:$B$500,MATCH($B788,المكونات!$A$2:$A$500,0)),"")</f>
        <v>قطعة</v>
      </c>
      <c r="E788" s="41" t="n">
        <f aca="false">IFERROR(INDEX(المكونات!$C$2:$C$500,MATCH($B788,المكونات!$A$2:$A$500,0)),"")</f>
        <v>0.3</v>
      </c>
      <c r="F788" s="42" t="n">
        <f aca="false">IFERROR($C788*$E788,"")</f>
        <v>0.6</v>
      </c>
    </row>
    <row r="789" customFormat="false" ht="15" hidden="false" customHeight="true" outlineLevel="0" collapsed="false">
      <c r="A789" s="39" t="s">
        <v>336</v>
      </c>
      <c r="B789" s="39" t="s">
        <v>145</v>
      </c>
      <c r="C789" s="39" t="n">
        <v>2</v>
      </c>
      <c r="D789" s="40" t="str">
        <f aca="false">IFERROR(INDEX(المكونات!$B$2:$B$500,MATCH($B789,المكونات!$A$2:$A$500,0)),"")</f>
        <v>قطعة (جلفز)</v>
      </c>
      <c r="E789" s="41" t="n">
        <f aca="false">IFERROR(INDEX(المكونات!$C$2:$C$500,MATCH($B789,المكونات!$A$2:$A$500,0)),"")</f>
        <v>0.18</v>
      </c>
      <c r="F789" s="42" t="n">
        <f aca="false">IFERROR($C789*$E789,"")</f>
        <v>0.36</v>
      </c>
    </row>
    <row r="790" customFormat="false" ht="15" hidden="false" customHeight="true" outlineLevel="0" collapsed="false">
      <c r="A790" s="39" t="s">
        <v>336</v>
      </c>
      <c r="B790" s="39" t="s">
        <v>70</v>
      </c>
      <c r="C790" s="39" t="n">
        <v>1</v>
      </c>
      <c r="D790" s="40" t="str">
        <f aca="false">IFERROR(INDEX(المكونات!$B$2:$B$500,MATCH($B790,المكونات!$A$2:$A$500,0)),"")</f>
        <v>قطعة (كيس)</v>
      </c>
      <c r="E790" s="41" t="n">
        <f aca="false">IFERROR(INDEX(المكونات!$C$2:$C$500,MATCH($B790,المكونات!$A$2:$A$500,0)),"")</f>
        <v>1.4</v>
      </c>
      <c r="F790" s="42" t="n">
        <f aca="false">IFERROR($C790*$E790,"")</f>
        <v>1.4</v>
      </c>
    </row>
    <row r="791" customFormat="false" ht="15" hidden="false" customHeight="true" outlineLevel="0" collapsed="false">
      <c r="A791" s="39" t="s">
        <v>397</v>
      </c>
      <c r="B791" s="39" t="s">
        <v>244</v>
      </c>
      <c r="C791" s="39" t="n">
        <v>0.15</v>
      </c>
      <c r="D791" s="40" t="str">
        <f aca="false">IFERROR(INDEX(المكونات!$B$2:$B$500,MATCH($B791,المكونات!$A$2:$A$500,0)),"")</f>
        <v>كجم</v>
      </c>
      <c r="E791" s="41" t="n">
        <f aca="false">IFERROR(INDEX(المكونات!$C$2:$C$500,MATCH($B791,المكونات!$A$2:$A$500,0)),"")</f>
        <v>24</v>
      </c>
      <c r="F791" s="42" t="n">
        <f aca="false">IFERROR($C791*$E791,"")</f>
        <v>3.6</v>
      </c>
    </row>
    <row r="792" customFormat="false" ht="15" hidden="false" customHeight="true" outlineLevel="0" collapsed="false">
      <c r="A792" s="39" t="s">
        <v>397</v>
      </c>
      <c r="B792" s="39" t="s">
        <v>120</v>
      </c>
      <c r="C792" s="39" t="n">
        <v>0.2</v>
      </c>
      <c r="D792" s="40" t="str">
        <f aca="false">IFERROR(INDEX(المكونات!$B$2:$B$500,MATCH($B792,المكونات!$A$2:$A$500,0)),"")</f>
        <v>كجم</v>
      </c>
      <c r="E792" s="41" t="n">
        <f aca="false">IFERROR(INDEX(المكونات!$C$2:$C$500,MATCH($B792,المكونات!$A$2:$A$500,0)),"")</f>
        <v>41</v>
      </c>
      <c r="F792" s="42" t="n">
        <f aca="false">IFERROR($C792*$E792,"")</f>
        <v>8.2</v>
      </c>
    </row>
    <row r="793" customFormat="false" ht="15" hidden="false" customHeight="true" outlineLevel="0" collapsed="false">
      <c r="A793" s="39" t="s">
        <v>397</v>
      </c>
      <c r="B793" s="39" t="s">
        <v>233</v>
      </c>
      <c r="C793" s="39" t="n">
        <v>0.05</v>
      </c>
      <c r="D793" s="40" t="str">
        <f aca="false">IFERROR(INDEX(المكونات!$B$2:$B$500,MATCH($B793,المكونات!$A$2:$A$500,0)),"")</f>
        <v>لتر</v>
      </c>
      <c r="E793" s="41" t="n">
        <f aca="false">IFERROR(INDEX(المكونات!$C$2:$C$500,MATCH($B793,المكونات!$A$2:$A$500,0)),"")</f>
        <v>20.2727</v>
      </c>
      <c r="F793" s="42" t="n">
        <f aca="false">IFERROR($C793*$E793,"")</f>
        <v>1.013635</v>
      </c>
    </row>
    <row r="794" customFormat="false" ht="15" hidden="false" customHeight="true" outlineLevel="0" collapsed="false">
      <c r="A794" s="39" t="s">
        <v>397</v>
      </c>
      <c r="B794" s="39" t="s">
        <v>154</v>
      </c>
      <c r="C794" s="39" t="n">
        <v>0.01</v>
      </c>
      <c r="D794" s="40" t="str">
        <f aca="false">IFERROR(INDEX(المكونات!$B$2:$B$500,MATCH($B794,المكونات!$A$2:$A$500,0)),"")</f>
        <v>كجم</v>
      </c>
      <c r="E794" s="41" t="n">
        <f aca="false">IFERROR(INDEX(المكونات!$C$2:$C$500,MATCH($B794,المكونات!$A$2:$A$500,0)),"")</f>
        <v>120</v>
      </c>
      <c r="F794" s="42" t="n">
        <f aca="false">IFERROR($C794*$E794,"")</f>
        <v>1.2</v>
      </c>
    </row>
    <row r="795" customFormat="false" ht="15" hidden="false" customHeight="true" outlineLevel="0" collapsed="false">
      <c r="A795" s="39" t="s">
        <v>397</v>
      </c>
      <c r="B795" s="39" t="s">
        <v>106</v>
      </c>
      <c r="C795" s="39" t="n">
        <v>1</v>
      </c>
      <c r="D795" s="40" t="str">
        <f aca="false">IFERROR(INDEX(المكونات!$B$2:$B$500,MATCH($B795,المكونات!$A$2:$A$500,0)),"")</f>
        <v>قطعة</v>
      </c>
      <c r="E795" s="41" t="n">
        <f aca="false">IFERROR(INDEX(المكونات!$C$2:$C$500,MATCH($B795,المكونات!$A$2:$A$500,0)),"")</f>
        <v>20</v>
      </c>
      <c r="F795" s="42" t="n">
        <f aca="false">IFERROR($C795*$E795,"")</f>
        <v>20</v>
      </c>
    </row>
    <row r="796" customFormat="false" ht="15" hidden="false" customHeight="true" outlineLevel="0" collapsed="false">
      <c r="A796" s="39" t="s">
        <v>397</v>
      </c>
      <c r="B796" s="39" t="s">
        <v>96</v>
      </c>
      <c r="C796" s="39" t="n">
        <v>1</v>
      </c>
      <c r="D796" s="40" t="str">
        <f aca="false">IFERROR(INDEX(المكونات!$B$2:$B$500,MATCH($B796,المكونات!$A$2:$A$500,0)),"")</f>
        <v>قطعة</v>
      </c>
      <c r="E796" s="41" t="n">
        <f aca="false">IFERROR(INDEX(المكونات!$C$2:$C$500,MATCH($B796,المكونات!$A$2:$A$500,0)),"")</f>
        <v>30</v>
      </c>
      <c r="F796" s="42" t="n">
        <f aca="false">IFERROR($C796*$E796,"")</f>
        <v>30</v>
      </c>
    </row>
    <row r="797" customFormat="false" ht="15" hidden="false" customHeight="true" outlineLevel="0" collapsed="false">
      <c r="A797" s="39" t="s">
        <v>397</v>
      </c>
      <c r="B797" s="39" t="s">
        <v>194</v>
      </c>
      <c r="C797" s="39" t="n">
        <v>0.1</v>
      </c>
      <c r="D797" s="40" t="str">
        <f aca="false">IFERROR(INDEX(المكونات!$B$2:$B$500,MATCH($B797,المكونات!$A$2:$A$500,0)),"")</f>
        <v>كجم</v>
      </c>
      <c r="E797" s="41" t="n">
        <f aca="false">IFERROR(INDEX(المكونات!$C$2:$C$500,MATCH($B797,المكونات!$A$2:$A$500,0)),"")</f>
        <v>140</v>
      </c>
      <c r="F797" s="42" t="n">
        <f aca="false">IFERROR($C797*$E797,"")</f>
        <v>14</v>
      </c>
    </row>
    <row r="798" customFormat="false" ht="15" hidden="false" customHeight="true" outlineLevel="0" collapsed="false">
      <c r="A798" s="39" t="s">
        <v>397</v>
      </c>
      <c r="B798" s="39" t="s">
        <v>263</v>
      </c>
      <c r="C798" s="39" t="n">
        <v>1</v>
      </c>
      <c r="D798" s="40" t="str">
        <f aca="false">IFERROR(INDEX(المكونات!$B$2:$B$500,MATCH($B798,المكونات!$A$2:$A$500,0)),"")</f>
        <v>قطعة</v>
      </c>
      <c r="E798" s="41" t="n">
        <f aca="false">IFERROR(INDEX(المكونات!$C$2:$C$500,MATCH($B798,المكونات!$A$2:$A$500,0)),"")</f>
        <v>4.47</v>
      </c>
      <c r="F798" s="42" t="n">
        <f aca="false">IFERROR($C798*$E798,"")</f>
        <v>4.47</v>
      </c>
    </row>
    <row r="799" customFormat="false" ht="15" hidden="false" customHeight="true" outlineLevel="0" collapsed="false">
      <c r="A799" s="39" t="s">
        <v>397</v>
      </c>
      <c r="B799" s="39" t="s">
        <v>56</v>
      </c>
      <c r="C799" s="39" t="n">
        <v>1</v>
      </c>
      <c r="D799" s="40" t="str">
        <f aca="false">IFERROR(INDEX(المكونات!$B$2:$B$500,MATCH($B799,المكونات!$A$2:$A$500,0)),"")</f>
        <v>قطعة</v>
      </c>
      <c r="E799" s="41" t="n">
        <f aca="false">IFERROR(INDEX(المكونات!$C$2:$C$500,MATCH($B799,المكونات!$A$2:$A$500,0)),"")</f>
        <v>3.3</v>
      </c>
      <c r="F799" s="42" t="n">
        <f aca="false">IFERROR($C799*$E799,"")</f>
        <v>3.3</v>
      </c>
    </row>
    <row r="800" customFormat="false" ht="15" hidden="false" customHeight="true" outlineLevel="0" collapsed="false">
      <c r="A800" s="39" t="s">
        <v>397</v>
      </c>
      <c r="B800" s="39" t="s">
        <v>178</v>
      </c>
      <c r="C800" s="39" t="n">
        <v>1</v>
      </c>
      <c r="D800" s="40" t="str">
        <f aca="false">IFERROR(INDEX(المكونات!$B$2:$B$500,MATCH($B800,المكونات!$A$2:$A$500,0)),"")</f>
        <v>قطعة</v>
      </c>
      <c r="E800" s="41" t="n">
        <f aca="false">IFERROR(INDEX(المكونات!$C$2:$C$500,MATCH($B800,المكونات!$A$2:$A$500,0)),"")</f>
        <v>0.3</v>
      </c>
      <c r="F800" s="42" t="n">
        <f aca="false">IFERROR($C800*$E800,"")</f>
        <v>0.3</v>
      </c>
    </row>
    <row r="801" customFormat="false" ht="15" hidden="false" customHeight="true" outlineLevel="0" collapsed="false">
      <c r="A801" s="39" t="s">
        <v>397</v>
      </c>
      <c r="B801" s="39" t="s">
        <v>225</v>
      </c>
      <c r="C801" s="39" t="n">
        <v>2</v>
      </c>
      <c r="D801" s="40" t="str">
        <f aca="false">IFERROR(INDEX(المكونات!$B$2:$B$500,MATCH($B801,المكونات!$A$2:$A$500,0)),"")</f>
        <v>قطعة</v>
      </c>
      <c r="E801" s="41" t="n">
        <f aca="false">IFERROR(INDEX(المكونات!$C$2:$C$500,MATCH($B801,المكونات!$A$2:$A$500,0)),"")</f>
        <v>0.3</v>
      </c>
      <c r="F801" s="42" t="n">
        <f aca="false">IFERROR($C801*$E801,"")</f>
        <v>0.6</v>
      </c>
    </row>
    <row r="802" customFormat="false" ht="15" hidden="false" customHeight="true" outlineLevel="0" collapsed="false">
      <c r="A802" s="39" t="s">
        <v>397</v>
      </c>
      <c r="B802" s="39" t="s">
        <v>145</v>
      </c>
      <c r="C802" s="39" t="n">
        <v>2</v>
      </c>
      <c r="D802" s="40" t="str">
        <f aca="false">IFERROR(INDEX(المكونات!$B$2:$B$500,MATCH($B802,المكونات!$A$2:$A$500,0)),"")</f>
        <v>قطعة (جلفز)</v>
      </c>
      <c r="E802" s="41" t="n">
        <f aca="false">IFERROR(INDEX(المكونات!$C$2:$C$500,MATCH($B802,المكونات!$A$2:$A$500,0)),"")</f>
        <v>0.18</v>
      </c>
      <c r="F802" s="42" t="n">
        <f aca="false">IFERROR($C802*$E802,"")</f>
        <v>0.36</v>
      </c>
    </row>
    <row r="803" customFormat="false" ht="15" hidden="false" customHeight="true" outlineLevel="0" collapsed="false">
      <c r="A803" s="39" t="s">
        <v>397</v>
      </c>
      <c r="B803" s="39" t="s">
        <v>70</v>
      </c>
      <c r="C803" s="39" t="n">
        <v>1</v>
      </c>
      <c r="D803" s="40" t="str">
        <f aca="false">IFERROR(INDEX(المكونات!$B$2:$B$500,MATCH($B803,المكونات!$A$2:$A$500,0)),"")</f>
        <v>قطعة (كيس)</v>
      </c>
      <c r="E803" s="41" t="n">
        <f aca="false">IFERROR(INDEX(المكونات!$C$2:$C$500,MATCH($B803,المكونات!$A$2:$A$500,0)),"")</f>
        <v>1.4</v>
      </c>
      <c r="F803" s="42" t="n">
        <f aca="false">IFERROR($C803*$E803,"")</f>
        <v>1.4</v>
      </c>
    </row>
    <row r="804" customFormat="false" ht="15" hidden="false" customHeight="true" outlineLevel="0" collapsed="false">
      <c r="A804" s="39" t="s">
        <v>382</v>
      </c>
      <c r="B804" s="39" t="s">
        <v>244</v>
      </c>
      <c r="C804" s="39" t="n">
        <v>0.15</v>
      </c>
      <c r="D804" s="40" t="str">
        <f aca="false">IFERROR(INDEX(المكونات!$B$2:$B$500,MATCH($B804,المكونات!$A$2:$A$500,0)),"")</f>
        <v>كجم</v>
      </c>
      <c r="E804" s="41" t="n">
        <f aca="false">IFERROR(INDEX(المكونات!$C$2:$C$500,MATCH($B804,المكونات!$A$2:$A$500,0)),"")</f>
        <v>24</v>
      </c>
      <c r="F804" s="42" t="n">
        <f aca="false">IFERROR($C804*$E804,"")</f>
        <v>3.6</v>
      </c>
    </row>
    <row r="805" customFormat="false" ht="15" hidden="false" customHeight="true" outlineLevel="0" collapsed="false">
      <c r="A805" s="39" t="s">
        <v>382</v>
      </c>
      <c r="B805" s="39" t="s">
        <v>120</v>
      </c>
      <c r="C805" s="39" t="n">
        <v>0.2</v>
      </c>
      <c r="D805" s="40" t="str">
        <f aca="false">IFERROR(INDEX(المكونات!$B$2:$B$500,MATCH($B805,المكونات!$A$2:$A$500,0)),"")</f>
        <v>كجم</v>
      </c>
      <c r="E805" s="41" t="n">
        <f aca="false">IFERROR(INDEX(المكونات!$C$2:$C$500,MATCH($B805,المكونات!$A$2:$A$500,0)),"")</f>
        <v>41</v>
      </c>
      <c r="F805" s="42" t="n">
        <f aca="false">IFERROR($C805*$E805,"")</f>
        <v>8.2</v>
      </c>
    </row>
    <row r="806" customFormat="false" ht="15" hidden="false" customHeight="true" outlineLevel="0" collapsed="false">
      <c r="A806" s="39" t="s">
        <v>382</v>
      </c>
      <c r="B806" s="39" t="s">
        <v>233</v>
      </c>
      <c r="C806" s="39" t="n">
        <v>0.05</v>
      </c>
      <c r="D806" s="40" t="str">
        <f aca="false">IFERROR(INDEX(المكونات!$B$2:$B$500,MATCH($B806,المكونات!$A$2:$A$500,0)),"")</f>
        <v>لتر</v>
      </c>
      <c r="E806" s="41" t="n">
        <f aca="false">IFERROR(INDEX(المكونات!$C$2:$C$500,MATCH($B806,المكونات!$A$2:$A$500,0)),"")</f>
        <v>20.2727</v>
      </c>
      <c r="F806" s="42" t="n">
        <f aca="false">IFERROR($C806*$E806,"")</f>
        <v>1.013635</v>
      </c>
    </row>
    <row r="807" customFormat="false" ht="15" hidden="false" customHeight="true" outlineLevel="0" collapsed="false">
      <c r="A807" s="39" t="s">
        <v>382</v>
      </c>
      <c r="B807" s="39" t="s">
        <v>154</v>
      </c>
      <c r="C807" s="39" t="n">
        <v>0.01</v>
      </c>
      <c r="D807" s="40" t="str">
        <f aca="false">IFERROR(INDEX(المكونات!$B$2:$B$500,MATCH($B807,المكونات!$A$2:$A$500,0)),"")</f>
        <v>كجم</v>
      </c>
      <c r="E807" s="41" t="n">
        <f aca="false">IFERROR(INDEX(المكونات!$C$2:$C$500,MATCH($B807,المكونات!$A$2:$A$500,0)),"")</f>
        <v>120</v>
      </c>
      <c r="F807" s="42" t="n">
        <f aca="false">IFERROR($C807*$E807,"")</f>
        <v>1.2</v>
      </c>
    </row>
    <row r="808" customFormat="false" ht="15" hidden="false" customHeight="true" outlineLevel="0" collapsed="false">
      <c r="A808" s="39" t="s">
        <v>382</v>
      </c>
      <c r="B808" s="39" t="s">
        <v>106</v>
      </c>
      <c r="C808" s="39" t="n">
        <v>1</v>
      </c>
      <c r="D808" s="40" t="str">
        <f aca="false">IFERROR(INDEX(المكونات!$B$2:$B$500,MATCH($B808,المكونات!$A$2:$A$500,0)),"")</f>
        <v>قطعة</v>
      </c>
      <c r="E808" s="41" t="n">
        <f aca="false">IFERROR(INDEX(المكونات!$C$2:$C$500,MATCH($B808,المكونات!$A$2:$A$500,0)),"")</f>
        <v>20</v>
      </c>
      <c r="F808" s="42" t="n">
        <f aca="false">IFERROR($C808*$E808,"")</f>
        <v>20</v>
      </c>
    </row>
    <row r="809" customFormat="false" ht="15" hidden="false" customHeight="true" outlineLevel="0" collapsed="false">
      <c r="A809" s="39" t="s">
        <v>382</v>
      </c>
      <c r="B809" s="39" t="s">
        <v>96</v>
      </c>
      <c r="C809" s="39" t="n">
        <v>1</v>
      </c>
      <c r="D809" s="40" t="str">
        <f aca="false">IFERROR(INDEX(المكونات!$B$2:$B$500,MATCH($B809,المكونات!$A$2:$A$500,0)),"")</f>
        <v>قطعة</v>
      </c>
      <c r="E809" s="41" t="n">
        <f aca="false">IFERROR(INDEX(المكونات!$C$2:$C$500,MATCH($B809,المكونات!$A$2:$A$500,0)),"")</f>
        <v>30</v>
      </c>
      <c r="F809" s="42" t="n">
        <f aca="false">IFERROR($C809*$E809,"")</f>
        <v>30</v>
      </c>
    </row>
    <row r="810" customFormat="false" ht="15" hidden="false" customHeight="true" outlineLevel="0" collapsed="false">
      <c r="A810" s="39" t="s">
        <v>382</v>
      </c>
      <c r="B810" s="39" t="s">
        <v>192</v>
      </c>
      <c r="C810" s="39" t="n">
        <v>0.1</v>
      </c>
      <c r="D810" s="40" t="str">
        <f aca="false">IFERROR(INDEX(المكونات!$B$2:$B$500,MATCH($B810,المكونات!$A$2:$A$500,0)),"")</f>
        <v>كجم</v>
      </c>
      <c r="E810" s="41" t="n">
        <f aca="false">IFERROR(INDEX(المكونات!$C$2:$C$500,MATCH($B810,المكونات!$A$2:$A$500,0)),"")</f>
        <v>105</v>
      </c>
      <c r="F810" s="42" t="n">
        <f aca="false">IFERROR($C810*$E810,"")</f>
        <v>10.5</v>
      </c>
    </row>
    <row r="811" customFormat="false" ht="15" hidden="false" customHeight="true" outlineLevel="0" collapsed="false">
      <c r="A811" s="39" t="s">
        <v>382</v>
      </c>
      <c r="B811" s="39" t="s">
        <v>263</v>
      </c>
      <c r="C811" s="39" t="n">
        <v>1</v>
      </c>
      <c r="D811" s="40" t="str">
        <f aca="false">IFERROR(INDEX(المكونات!$B$2:$B$500,MATCH($B811,المكونات!$A$2:$A$500,0)),"")</f>
        <v>قطعة</v>
      </c>
      <c r="E811" s="41" t="n">
        <f aca="false">IFERROR(INDEX(المكونات!$C$2:$C$500,MATCH($B811,المكونات!$A$2:$A$500,0)),"")</f>
        <v>4.47</v>
      </c>
      <c r="F811" s="42" t="n">
        <f aca="false">IFERROR($C811*$E811,"")</f>
        <v>4.47</v>
      </c>
    </row>
    <row r="812" customFormat="false" ht="15" hidden="false" customHeight="true" outlineLevel="0" collapsed="false">
      <c r="A812" s="39" t="s">
        <v>382</v>
      </c>
      <c r="B812" s="39" t="s">
        <v>56</v>
      </c>
      <c r="C812" s="39" t="n">
        <v>1</v>
      </c>
      <c r="D812" s="40" t="str">
        <f aca="false">IFERROR(INDEX(المكونات!$B$2:$B$500,MATCH($B812,المكونات!$A$2:$A$500,0)),"")</f>
        <v>قطعة</v>
      </c>
      <c r="E812" s="41" t="n">
        <f aca="false">IFERROR(INDEX(المكونات!$C$2:$C$500,MATCH($B812,المكونات!$A$2:$A$500,0)),"")</f>
        <v>3.3</v>
      </c>
      <c r="F812" s="42" t="n">
        <f aca="false">IFERROR($C812*$E812,"")</f>
        <v>3.3</v>
      </c>
    </row>
    <row r="813" customFormat="false" ht="15" hidden="false" customHeight="true" outlineLevel="0" collapsed="false">
      <c r="A813" s="39" t="s">
        <v>382</v>
      </c>
      <c r="B813" s="39" t="s">
        <v>178</v>
      </c>
      <c r="C813" s="39" t="n">
        <v>1</v>
      </c>
      <c r="D813" s="40" t="str">
        <f aca="false">IFERROR(INDEX(المكونات!$B$2:$B$500,MATCH($B813,المكونات!$A$2:$A$500,0)),"")</f>
        <v>قطعة</v>
      </c>
      <c r="E813" s="41" t="n">
        <f aca="false">IFERROR(INDEX(المكونات!$C$2:$C$500,MATCH($B813,المكونات!$A$2:$A$500,0)),"")</f>
        <v>0.3</v>
      </c>
      <c r="F813" s="42" t="n">
        <f aca="false">IFERROR($C813*$E813,"")</f>
        <v>0.3</v>
      </c>
    </row>
    <row r="814" customFormat="false" ht="15" hidden="false" customHeight="true" outlineLevel="0" collapsed="false">
      <c r="A814" s="39" t="s">
        <v>382</v>
      </c>
      <c r="B814" s="39" t="s">
        <v>225</v>
      </c>
      <c r="C814" s="39" t="n">
        <v>2</v>
      </c>
      <c r="D814" s="40" t="str">
        <f aca="false">IFERROR(INDEX(المكونات!$B$2:$B$500,MATCH($B814,المكونات!$A$2:$A$500,0)),"")</f>
        <v>قطعة</v>
      </c>
      <c r="E814" s="41" t="n">
        <f aca="false">IFERROR(INDEX(المكونات!$C$2:$C$500,MATCH($B814,المكونات!$A$2:$A$500,0)),"")</f>
        <v>0.3</v>
      </c>
      <c r="F814" s="42" t="n">
        <f aca="false">IFERROR($C814*$E814,"")</f>
        <v>0.6</v>
      </c>
    </row>
    <row r="815" customFormat="false" ht="15" hidden="false" customHeight="true" outlineLevel="0" collapsed="false">
      <c r="A815" s="39" t="s">
        <v>382</v>
      </c>
      <c r="B815" s="39" t="s">
        <v>145</v>
      </c>
      <c r="C815" s="39" t="n">
        <v>2</v>
      </c>
      <c r="D815" s="40" t="str">
        <f aca="false">IFERROR(INDEX(المكونات!$B$2:$B$500,MATCH($B815,المكونات!$A$2:$A$500,0)),"")</f>
        <v>قطعة (جلفز)</v>
      </c>
      <c r="E815" s="41" t="n">
        <f aca="false">IFERROR(INDEX(المكونات!$C$2:$C$500,MATCH($B815,المكونات!$A$2:$A$500,0)),"")</f>
        <v>0.18</v>
      </c>
      <c r="F815" s="42" t="n">
        <f aca="false">IFERROR($C815*$E815,"")</f>
        <v>0.36</v>
      </c>
    </row>
    <row r="816" customFormat="false" ht="15" hidden="false" customHeight="true" outlineLevel="0" collapsed="false">
      <c r="A816" s="39" t="s">
        <v>382</v>
      </c>
      <c r="B816" s="39" t="s">
        <v>70</v>
      </c>
      <c r="C816" s="39" t="n">
        <v>1</v>
      </c>
      <c r="D816" s="40" t="str">
        <f aca="false">IFERROR(INDEX(المكونات!$B$2:$B$500,MATCH($B816,المكونات!$A$2:$A$500,0)),"")</f>
        <v>قطعة (كيس)</v>
      </c>
      <c r="E816" s="41" t="n">
        <f aca="false">IFERROR(INDEX(المكونات!$C$2:$C$500,MATCH($B816,المكونات!$A$2:$A$500,0)),"")</f>
        <v>1.4</v>
      </c>
      <c r="F816" s="42" t="n">
        <f aca="false">IFERROR($C816*$E816,"")</f>
        <v>1.4</v>
      </c>
    </row>
    <row r="817" customFormat="false" ht="15" hidden="false" customHeight="true" outlineLevel="0" collapsed="false">
      <c r="A817" s="39" t="s">
        <v>435</v>
      </c>
      <c r="B817" s="39" t="s">
        <v>244</v>
      </c>
      <c r="C817" s="39" t="n">
        <v>0.15</v>
      </c>
      <c r="D817" s="40" t="str">
        <f aca="false">IFERROR(INDEX(المكونات!$B$2:$B$500,MATCH($B817,المكونات!$A$2:$A$500,0)),"")</f>
        <v>كجم</v>
      </c>
      <c r="E817" s="41" t="n">
        <f aca="false">IFERROR(INDEX(المكونات!$C$2:$C$500,MATCH($B817,المكونات!$A$2:$A$500,0)),"")</f>
        <v>24</v>
      </c>
      <c r="F817" s="42" t="n">
        <f aca="false">IFERROR($C817*$E817,"")</f>
        <v>3.6</v>
      </c>
    </row>
    <row r="818" customFormat="false" ht="15" hidden="false" customHeight="true" outlineLevel="0" collapsed="false">
      <c r="A818" s="39" t="s">
        <v>435</v>
      </c>
      <c r="B818" s="39" t="s">
        <v>120</v>
      </c>
      <c r="C818" s="39" t="n">
        <v>0.2</v>
      </c>
      <c r="D818" s="40" t="str">
        <f aca="false">IFERROR(INDEX(المكونات!$B$2:$B$500,MATCH($B818,المكونات!$A$2:$A$500,0)),"")</f>
        <v>كجم</v>
      </c>
      <c r="E818" s="41" t="n">
        <f aca="false">IFERROR(INDEX(المكونات!$C$2:$C$500,MATCH($B818,المكونات!$A$2:$A$500,0)),"")</f>
        <v>41</v>
      </c>
      <c r="F818" s="42" t="n">
        <f aca="false">IFERROR($C818*$E818,"")</f>
        <v>8.2</v>
      </c>
    </row>
    <row r="819" customFormat="false" ht="15" hidden="false" customHeight="true" outlineLevel="0" collapsed="false">
      <c r="A819" s="39" t="s">
        <v>435</v>
      </c>
      <c r="B819" s="39" t="s">
        <v>233</v>
      </c>
      <c r="C819" s="39" t="n">
        <v>0.05</v>
      </c>
      <c r="D819" s="40" t="str">
        <f aca="false">IFERROR(INDEX(المكونات!$B$2:$B$500,MATCH($B819,المكونات!$A$2:$A$500,0)),"")</f>
        <v>لتر</v>
      </c>
      <c r="E819" s="41" t="n">
        <f aca="false">IFERROR(INDEX(المكونات!$C$2:$C$500,MATCH($B819,المكونات!$A$2:$A$500,0)),"")</f>
        <v>20.2727</v>
      </c>
      <c r="F819" s="42" t="n">
        <f aca="false">IFERROR($C819*$E819,"")</f>
        <v>1.013635</v>
      </c>
    </row>
    <row r="820" customFormat="false" ht="15" hidden="false" customHeight="true" outlineLevel="0" collapsed="false">
      <c r="A820" s="39" t="s">
        <v>435</v>
      </c>
      <c r="B820" s="39" t="s">
        <v>154</v>
      </c>
      <c r="C820" s="39" t="n">
        <v>0.01</v>
      </c>
      <c r="D820" s="40" t="str">
        <f aca="false">IFERROR(INDEX(المكونات!$B$2:$B$500,MATCH($B820,المكونات!$A$2:$A$500,0)),"")</f>
        <v>كجم</v>
      </c>
      <c r="E820" s="41" t="n">
        <f aca="false">IFERROR(INDEX(المكونات!$C$2:$C$500,MATCH($B820,المكونات!$A$2:$A$500,0)),"")</f>
        <v>120</v>
      </c>
      <c r="F820" s="42" t="n">
        <f aca="false">IFERROR($C820*$E820,"")</f>
        <v>1.2</v>
      </c>
    </row>
    <row r="821" customFormat="false" ht="15" hidden="false" customHeight="true" outlineLevel="0" collapsed="false">
      <c r="A821" s="39" t="s">
        <v>435</v>
      </c>
      <c r="B821" s="39" t="s">
        <v>106</v>
      </c>
      <c r="C821" s="39" t="n">
        <v>1</v>
      </c>
      <c r="D821" s="40" t="str">
        <f aca="false">IFERROR(INDEX(المكونات!$B$2:$B$500,MATCH($B821,المكونات!$A$2:$A$500,0)),"")</f>
        <v>قطعة</v>
      </c>
      <c r="E821" s="41" t="n">
        <f aca="false">IFERROR(INDEX(المكونات!$C$2:$C$500,MATCH($B821,المكونات!$A$2:$A$500,0)),"")</f>
        <v>20</v>
      </c>
      <c r="F821" s="42" t="n">
        <f aca="false">IFERROR($C821*$E821,"")</f>
        <v>20</v>
      </c>
    </row>
    <row r="822" customFormat="false" ht="15" hidden="false" customHeight="true" outlineLevel="0" collapsed="false">
      <c r="A822" s="39" t="s">
        <v>435</v>
      </c>
      <c r="B822" s="39" t="s">
        <v>84</v>
      </c>
      <c r="C822" s="39" t="n">
        <v>1</v>
      </c>
      <c r="D822" s="40" t="str">
        <f aca="false">IFERROR(INDEX(المكونات!$B$2:$B$500,MATCH($B822,المكونات!$A$2:$A$500,0)),"")</f>
        <v>قطعة</v>
      </c>
      <c r="E822" s="41" t="n">
        <f aca="false">IFERROR(INDEX(المكونات!$C$2:$C$500,MATCH($B822,المكونات!$A$2:$A$500,0)),"")</f>
        <v>95</v>
      </c>
      <c r="F822" s="42" t="n">
        <f aca="false">IFERROR($C822*$E822,"")</f>
        <v>95</v>
      </c>
    </row>
    <row r="823" customFormat="false" ht="15" hidden="false" customHeight="true" outlineLevel="0" collapsed="false">
      <c r="A823" s="39" t="s">
        <v>435</v>
      </c>
      <c r="B823" s="39" t="s">
        <v>263</v>
      </c>
      <c r="C823" s="39" t="n">
        <v>1</v>
      </c>
      <c r="D823" s="40" t="str">
        <f aca="false">IFERROR(INDEX(المكونات!$B$2:$B$500,MATCH($B823,المكونات!$A$2:$A$500,0)),"")</f>
        <v>قطعة</v>
      </c>
      <c r="E823" s="41" t="n">
        <f aca="false">IFERROR(INDEX(المكونات!$C$2:$C$500,MATCH($B823,المكونات!$A$2:$A$500,0)),"")</f>
        <v>4.47</v>
      </c>
      <c r="F823" s="42" t="n">
        <f aca="false">IFERROR($C823*$E823,"")</f>
        <v>4.47</v>
      </c>
    </row>
    <row r="824" customFormat="false" ht="15" hidden="false" customHeight="true" outlineLevel="0" collapsed="false">
      <c r="A824" s="39" t="s">
        <v>435</v>
      </c>
      <c r="B824" s="39" t="s">
        <v>56</v>
      </c>
      <c r="C824" s="39" t="n">
        <v>1</v>
      </c>
      <c r="D824" s="40" t="str">
        <f aca="false">IFERROR(INDEX(المكونات!$B$2:$B$500,MATCH($B824,المكونات!$A$2:$A$500,0)),"")</f>
        <v>قطعة</v>
      </c>
      <c r="E824" s="41" t="n">
        <f aca="false">IFERROR(INDEX(المكونات!$C$2:$C$500,MATCH($B824,المكونات!$A$2:$A$500,0)),"")</f>
        <v>3.3</v>
      </c>
      <c r="F824" s="42" t="n">
        <f aca="false">IFERROR($C824*$E824,"")</f>
        <v>3.3</v>
      </c>
    </row>
    <row r="825" customFormat="false" ht="15" hidden="false" customHeight="true" outlineLevel="0" collapsed="false">
      <c r="A825" s="39" t="s">
        <v>435</v>
      </c>
      <c r="B825" s="39" t="s">
        <v>178</v>
      </c>
      <c r="C825" s="39" t="n">
        <v>1</v>
      </c>
      <c r="D825" s="40" t="str">
        <f aca="false">IFERROR(INDEX(المكونات!$B$2:$B$500,MATCH($B825,المكونات!$A$2:$A$500,0)),"")</f>
        <v>قطعة</v>
      </c>
      <c r="E825" s="41" t="n">
        <f aca="false">IFERROR(INDEX(المكونات!$C$2:$C$500,MATCH($B825,المكونات!$A$2:$A$500,0)),"")</f>
        <v>0.3</v>
      </c>
      <c r="F825" s="42" t="n">
        <f aca="false">IFERROR($C825*$E825,"")</f>
        <v>0.3</v>
      </c>
    </row>
    <row r="826" customFormat="false" ht="15" hidden="false" customHeight="true" outlineLevel="0" collapsed="false">
      <c r="A826" s="39" t="s">
        <v>435</v>
      </c>
      <c r="B826" s="39" t="s">
        <v>225</v>
      </c>
      <c r="C826" s="39" t="n">
        <v>2</v>
      </c>
      <c r="D826" s="40" t="str">
        <f aca="false">IFERROR(INDEX(المكونات!$B$2:$B$500,MATCH($B826,المكونات!$A$2:$A$500,0)),"")</f>
        <v>قطعة</v>
      </c>
      <c r="E826" s="41" t="n">
        <f aca="false">IFERROR(INDEX(المكونات!$C$2:$C$500,MATCH($B826,المكونات!$A$2:$A$500,0)),"")</f>
        <v>0.3</v>
      </c>
      <c r="F826" s="42" t="n">
        <f aca="false">IFERROR($C826*$E826,"")</f>
        <v>0.6</v>
      </c>
    </row>
    <row r="827" customFormat="false" ht="15" hidden="false" customHeight="true" outlineLevel="0" collapsed="false">
      <c r="A827" s="39" t="s">
        <v>435</v>
      </c>
      <c r="B827" s="39" t="s">
        <v>145</v>
      </c>
      <c r="C827" s="39" t="n">
        <v>2</v>
      </c>
      <c r="D827" s="40" t="str">
        <f aca="false">IFERROR(INDEX(المكونات!$B$2:$B$500,MATCH($B827,المكونات!$A$2:$A$500,0)),"")</f>
        <v>قطعة (جلفز)</v>
      </c>
      <c r="E827" s="41" t="n">
        <f aca="false">IFERROR(INDEX(المكونات!$C$2:$C$500,MATCH($B827,المكونات!$A$2:$A$500,0)),"")</f>
        <v>0.18</v>
      </c>
      <c r="F827" s="42" t="n">
        <f aca="false">IFERROR($C827*$E827,"")</f>
        <v>0.36</v>
      </c>
    </row>
    <row r="828" customFormat="false" ht="15" hidden="false" customHeight="true" outlineLevel="0" collapsed="false">
      <c r="A828" s="39" t="s">
        <v>435</v>
      </c>
      <c r="B828" s="39" t="s">
        <v>70</v>
      </c>
      <c r="C828" s="39" t="n">
        <v>1</v>
      </c>
      <c r="D828" s="40" t="str">
        <f aca="false">IFERROR(INDEX(المكونات!$B$2:$B$500,MATCH($B828,المكونات!$A$2:$A$500,0)),"")</f>
        <v>قطعة (كيس)</v>
      </c>
      <c r="E828" s="41" t="n">
        <f aca="false">IFERROR(INDEX(المكونات!$C$2:$C$500,MATCH($B828,المكونات!$A$2:$A$500,0)),"")</f>
        <v>1.4</v>
      </c>
      <c r="F828" s="42" t="n">
        <f aca="false">IFERROR($C828*$E828,"")</f>
        <v>1.4</v>
      </c>
    </row>
    <row r="829" customFormat="false" ht="15" hidden="false" customHeight="true" outlineLevel="0" collapsed="false">
      <c r="A829" s="39" t="s">
        <v>459</v>
      </c>
      <c r="B829" s="39" t="s">
        <v>244</v>
      </c>
      <c r="C829" s="39" t="n">
        <v>0.15</v>
      </c>
      <c r="D829" s="40" t="str">
        <f aca="false">IFERROR(INDEX(المكونات!$B$2:$B$500,MATCH($B829,المكونات!$A$2:$A$500,0)),"")</f>
        <v>كجم</v>
      </c>
      <c r="E829" s="41" t="n">
        <f aca="false">IFERROR(INDEX(المكونات!$C$2:$C$500,MATCH($B829,المكونات!$A$2:$A$500,0)),"")</f>
        <v>24</v>
      </c>
      <c r="F829" s="42" t="n">
        <f aca="false">IFERROR($C829*$E829,"")</f>
        <v>3.6</v>
      </c>
    </row>
    <row r="830" customFormat="false" ht="15" hidden="false" customHeight="true" outlineLevel="0" collapsed="false">
      <c r="A830" s="39" t="s">
        <v>459</v>
      </c>
      <c r="B830" s="39" t="s">
        <v>120</v>
      </c>
      <c r="C830" s="39" t="n">
        <v>0.2</v>
      </c>
      <c r="D830" s="40" t="str">
        <f aca="false">IFERROR(INDEX(المكونات!$B$2:$B$500,MATCH($B830,المكونات!$A$2:$A$500,0)),"")</f>
        <v>كجم</v>
      </c>
      <c r="E830" s="41" t="n">
        <f aca="false">IFERROR(INDEX(المكونات!$C$2:$C$500,MATCH($B830,المكونات!$A$2:$A$500,0)),"")</f>
        <v>41</v>
      </c>
      <c r="F830" s="42" t="n">
        <f aca="false">IFERROR($C830*$E830,"")</f>
        <v>8.2</v>
      </c>
    </row>
    <row r="831" customFormat="false" ht="15" hidden="false" customHeight="true" outlineLevel="0" collapsed="false">
      <c r="A831" s="39" t="s">
        <v>459</v>
      </c>
      <c r="B831" s="39" t="s">
        <v>233</v>
      </c>
      <c r="C831" s="39" t="n">
        <v>0.05</v>
      </c>
      <c r="D831" s="40" t="str">
        <f aca="false">IFERROR(INDEX(المكونات!$B$2:$B$500,MATCH($B831,المكونات!$A$2:$A$500,0)),"")</f>
        <v>لتر</v>
      </c>
      <c r="E831" s="41" t="n">
        <f aca="false">IFERROR(INDEX(المكونات!$C$2:$C$500,MATCH($B831,المكونات!$A$2:$A$500,0)),"")</f>
        <v>20.2727</v>
      </c>
      <c r="F831" s="42" t="n">
        <f aca="false">IFERROR($C831*$E831,"")</f>
        <v>1.013635</v>
      </c>
    </row>
    <row r="832" customFormat="false" ht="15" hidden="false" customHeight="true" outlineLevel="0" collapsed="false">
      <c r="A832" s="39" t="s">
        <v>459</v>
      </c>
      <c r="B832" s="39" t="s">
        <v>154</v>
      </c>
      <c r="C832" s="39" t="n">
        <v>0.01</v>
      </c>
      <c r="D832" s="40" t="str">
        <f aca="false">IFERROR(INDEX(المكونات!$B$2:$B$500,MATCH($B832,المكونات!$A$2:$A$500,0)),"")</f>
        <v>كجم</v>
      </c>
      <c r="E832" s="41" t="n">
        <f aca="false">IFERROR(INDEX(المكونات!$C$2:$C$500,MATCH($B832,المكونات!$A$2:$A$500,0)),"")</f>
        <v>120</v>
      </c>
      <c r="F832" s="42" t="n">
        <f aca="false">IFERROR($C832*$E832,"")</f>
        <v>1.2</v>
      </c>
    </row>
    <row r="833" customFormat="false" ht="15" hidden="false" customHeight="true" outlineLevel="0" collapsed="false">
      <c r="A833" s="39" t="s">
        <v>459</v>
      </c>
      <c r="B833" s="39" t="s">
        <v>106</v>
      </c>
      <c r="C833" s="39" t="n">
        <v>1</v>
      </c>
      <c r="D833" s="40" t="str">
        <f aca="false">IFERROR(INDEX(المكونات!$B$2:$B$500,MATCH($B833,المكونات!$A$2:$A$500,0)),"")</f>
        <v>قطعة</v>
      </c>
      <c r="E833" s="41" t="n">
        <f aca="false">IFERROR(INDEX(المكونات!$C$2:$C$500,MATCH($B833,المكونات!$A$2:$A$500,0)),"")</f>
        <v>20</v>
      </c>
      <c r="F833" s="42" t="n">
        <f aca="false">IFERROR($C833*$E833,"")</f>
        <v>20</v>
      </c>
    </row>
    <row r="834" customFormat="false" ht="15" hidden="false" customHeight="true" outlineLevel="0" collapsed="false">
      <c r="A834" s="39" t="s">
        <v>459</v>
      </c>
      <c r="B834" s="39" t="s">
        <v>86</v>
      </c>
      <c r="C834" s="39" t="n">
        <v>1</v>
      </c>
      <c r="D834" s="40" t="str">
        <f aca="false">IFERROR(INDEX(المكونات!$B$2:$B$500,MATCH($B834,المكونات!$A$2:$A$500,0)),"")</f>
        <v>قطعة</v>
      </c>
      <c r="E834" s="41" t="n">
        <f aca="false">IFERROR(INDEX(المكونات!$C$2:$C$500,MATCH($B834,المكونات!$A$2:$A$500,0)),"")</f>
        <v>34</v>
      </c>
      <c r="F834" s="42" t="n">
        <f aca="false">IFERROR($C834*$E834,"")</f>
        <v>34</v>
      </c>
    </row>
    <row r="835" customFormat="false" ht="15" hidden="false" customHeight="true" outlineLevel="0" collapsed="false">
      <c r="A835" s="39" t="s">
        <v>459</v>
      </c>
      <c r="B835" s="39" t="s">
        <v>263</v>
      </c>
      <c r="C835" s="39" t="n">
        <v>1</v>
      </c>
      <c r="D835" s="40" t="str">
        <f aca="false">IFERROR(INDEX(المكونات!$B$2:$B$500,MATCH($B835,المكونات!$A$2:$A$500,0)),"")</f>
        <v>قطعة</v>
      </c>
      <c r="E835" s="41" t="n">
        <f aca="false">IFERROR(INDEX(المكونات!$C$2:$C$500,MATCH($B835,المكونات!$A$2:$A$500,0)),"")</f>
        <v>4.47</v>
      </c>
      <c r="F835" s="42" t="n">
        <f aca="false">IFERROR($C835*$E835,"")</f>
        <v>4.47</v>
      </c>
    </row>
    <row r="836" customFormat="false" ht="15" hidden="false" customHeight="true" outlineLevel="0" collapsed="false">
      <c r="A836" s="39" t="s">
        <v>459</v>
      </c>
      <c r="B836" s="39" t="s">
        <v>56</v>
      </c>
      <c r="C836" s="39" t="n">
        <v>1</v>
      </c>
      <c r="D836" s="40" t="str">
        <f aca="false">IFERROR(INDEX(المكونات!$B$2:$B$500,MATCH($B836,المكونات!$A$2:$A$500,0)),"")</f>
        <v>قطعة</v>
      </c>
      <c r="E836" s="41" t="n">
        <f aca="false">IFERROR(INDEX(المكونات!$C$2:$C$500,MATCH($B836,المكونات!$A$2:$A$500,0)),"")</f>
        <v>3.3</v>
      </c>
      <c r="F836" s="42" t="n">
        <f aca="false">IFERROR($C836*$E836,"")</f>
        <v>3.3</v>
      </c>
    </row>
    <row r="837" customFormat="false" ht="15" hidden="false" customHeight="true" outlineLevel="0" collapsed="false">
      <c r="A837" s="39" t="s">
        <v>459</v>
      </c>
      <c r="B837" s="39" t="s">
        <v>178</v>
      </c>
      <c r="C837" s="39" t="n">
        <v>1</v>
      </c>
      <c r="D837" s="40" t="str">
        <f aca="false">IFERROR(INDEX(المكونات!$B$2:$B$500,MATCH($B837,المكونات!$A$2:$A$500,0)),"")</f>
        <v>قطعة</v>
      </c>
      <c r="E837" s="41" t="n">
        <f aca="false">IFERROR(INDEX(المكونات!$C$2:$C$500,MATCH($B837,المكونات!$A$2:$A$500,0)),"")</f>
        <v>0.3</v>
      </c>
      <c r="F837" s="42" t="n">
        <f aca="false">IFERROR($C837*$E837,"")</f>
        <v>0.3</v>
      </c>
    </row>
    <row r="838" customFormat="false" ht="15" hidden="false" customHeight="true" outlineLevel="0" collapsed="false">
      <c r="A838" s="39" t="s">
        <v>459</v>
      </c>
      <c r="B838" s="39" t="s">
        <v>225</v>
      </c>
      <c r="C838" s="39" t="n">
        <v>2</v>
      </c>
      <c r="D838" s="40" t="str">
        <f aca="false">IFERROR(INDEX(المكونات!$B$2:$B$500,MATCH($B838,المكونات!$A$2:$A$500,0)),"")</f>
        <v>قطعة</v>
      </c>
      <c r="E838" s="41" t="n">
        <f aca="false">IFERROR(INDEX(المكونات!$C$2:$C$500,MATCH($B838,المكونات!$A$2:$A$500,0)),"")</f>
        <v>0.3</v>
      </c>
      <c r="F838" s="42" t="n">
        <f aca="false">IFERROR($C838*$E838,"")</f>
        <v>0.6</v>
      </c>
    </row>
    <row r="839" customFormat="false" ht="15" hidden="false" customHeight="true" outlineLevel="0" collapsed="false">
      <c r="A839" s="39" t="s">
        <v>459</v>
      </c>
      <c r="B839" s="39" t="s">
        <v>145</v>
      </c>
      <c r="C839" s="39" t="n">
        <v>2</v>
      </c>
      <c r="D839" s="40" t="str">
        <f aca="false">IFERROR(INDEX(المكونات!$B$2:$B$500,MATCH($B839,المكونات!$A$2:$A$500,0)),"")</f>
        <v>قطعة (جلفز)</v>
      </c>
      <c r="E839" s="41" t="n">
        <f aca="false">IFERROR(INDEX(المكونات!$C$2:$C$500,MATCH($B839,المكونات!$A$2:$A$500,0)),"")</f>
        <v>0.18</v>
      </c>
      <c r="F839" s="42" t="n">
        <f aca="false">IFERROR($C839*$E839,"")</f>
        <v>0.36</v>
      </c>
    </row>
    <row r="840" customFormat="false" ht="15" hidden="false" customHeight="true" outlineLevel="0" collapsed="false">
      <c r="A840" s="39" t="s">
        <v>459</v>
      </c>
      <c r="B840" s="39" t="s">
        <v>70</v>
      </c>
      <c r="C840" s="39" t="n">
        <v>1</v>
      </c>
      <c r="D840" s="40" t="str">
        <f aca="false">IFERROR(INDEX(المكونات!$B$2:$B$500,MATCH($B840,المكونات!$A$2:$A$500,0)),"")</f>
        <v>قطعة (كيس)</v>
      </c>
      <c r="E840" s="41" t="n">
        <f aca="false">IFERROR(INDEX(المكونات!$C$2:$C$500,MATCH($B840,المكونات!$A$2:$A$500,0)),"")</f>
        <v>1.4</v>
      </c>
      <c r="F840" s="42" t="n">
        <f aca="false">IFERROR($C840*$E840,"")</f>
        <v>1.4</v>
      </c>
    </row>
    <row r="841" customFormat="false" ht="15" hidden="false" customHeight="true" outlineLevel="0" collapsed="false">
      <c r="A841" s="39" t="s">
        <v>385</v>
      </c>
      <c r="B841" s="39" t="s">
        <v>244</v>
      </c>
      <c r="C841" s="39" t="n">
        <v>0.15</v>
      </c>
      <c r="D841" s="40" t="str">
        <f aca="false">IFERROR(INDEX(المكونات!$B$2:$B$500,MATCH($B841,المكونات!$A$2:$A$500,0)),"")</f>
        <v>كجم</v>
      </c>
      <c r="E841" s="41" t="n">
        <f aca="false">IFERROR(INDEX(المكونات!$C$2:$C$500,MATCH($B841,المكونات!$A$2:$A$500,0)),"")</f>
        <v>24</v>
      </c>
      <c r="F841" s="42" t="n">
        <f aca="false">IFERROR($C841*$E841,"")</f>
        <v>3.6</v>
      </c>
    </row>
    <row r="842" customFormat="false" ht="15" hidden="false" customHeight="true" outlineLevel="0" collapsed="false">
      <c r="A842" s="39" t="s">
        <v>385</v>
      </c>
      <c r="B842" s="39" t="s">
        <v>120</v>
      </c>
      <c r="C842" s="39" t="n">
        <v>0.2</v>
      </c>
      <c r="D842" s="40" t="str">
        <f aca="false">IFERROR(INDEX(المكونات!$B$2:$B$500,MATCH($B842,المكونات!$A$2:$A$500,0)),"")</f>
        <v>كجم</v>
      </c>
      <c r="E842" s="41" t="n">
        <f aca="false">IFERROR(INDEX(المكونات!$C$2:$C$500,MATCH($B842,المكونات!$A$2:$A$500,0)),"")</f>
        <v>41</v>
      </c>
      <c r="F842" s="42" t="n">
        <f aca="false">IFERROR($C842*$E842,"")</f>
        <v>8.2</v>
      </c>
    </row>
    <row r="843" customFormat="false" ht="15" hidden="false" customHeight="true" outlineLevel="0" collapsed="false">
      <c r="A843" s="39" t="s">
        <v>385</v>
      </c>
      <c r="B843" s="39" t="s">
        <v>233</v>
      </c>
      <c r="C843" s="39" t="n">
        <v>0.05</v>
      </c>
      <c r="D843" s="40" t="str">
        <f aca="false">IFERROR(INDEX(المكونات!$B$2:$B$500,MATCH($B843,المكونات!$A$2:$A$500,0)),"")</f>
        <v>لتر</v>
      </c>
      <c r="E843" s="41" t="n">
        <f aca="false">IFERROR(INDEX(المكونات!$C$2:$C$500,MATCH($B843,المكونات!$A$2:$A$500,0)),"")</f>
        <v>20.2727</v>
      </c>
      <c r="F843" s="42" t="n">
        <f aca="false">IFERROR($C843*$E843,"")</f>
        <v>1.013635</v>
      </c>
    </row>
    <row r="844" customFormat="false" ht="15" hidden="false" customHeight="true" outlineLevel="0" collapsed="false">
      <c r="A844" s="39" t="s">
        <v>385</v>
      </c>
      <c r="B844" s="39" t="s">
        <v>154</v>
      </c>
      <c r="C844" s="39" t="n">
        <v>0.01</v>
      </c>
      <c r="D844" s="40" t="str">
        <f aca="false">IFERROR(INDEX(المكونات!$B$2:$B$500,MATCH($B844,المكونات!$A$2:$A$500,0)),"")</f>
        <v>كجم</v>
      </c>
      <c r="E844" s="41" t="n">
        <f aca="false">IFERROR(INDEX(المكونات!$C$2:$C$500,MATCH($B844,المكونات!$A$2:$A$500,0)),"")</f>
        <v>120</v>
      </c>
      <c r="F844" s="42" t="n">
        <f aca="false">IFERROR($C844*$E844,"")</f>
        <v>1.2</v>
      </c>
    </row>
    <row r="845" customFormat="false" ht="15" hidden="false" customHeight="true" outlineLevel="0" collapsed="false">
      <c r="A845" s="39" t="s">
        <v>385</v>
      </c>
      <c r="B845" s="39" t="s">
        <v>106</v>
      </c>
      <c r="C845" s="39" t="n">
        <v>1</v>
      </c>
      <c r="D845" s="40" t="str">
        <f aca="false">IFERROR(INDEX(المكونات!$B$2:$B$500,MATCH($B845,المكونات!$A$2:$A$500,0)),"")</f>
        <v>قطعة</v>
      </c>
      <c r="E845" s="41" t="n">
        <f aca="false">IFERROR(INDEX(المكونات!$C$2:$C$500,MATCH($B845,المكونات!$A$2:$A$500,0)),"")</f>
        <v>20</v>
      </c>
      <c r="F845" s="42" t="n">
        <f aca="false">IFERROR($C845*$E845,"")</f>
        <v>20</v>
      </c>
    </row>
    <row r="846" customFormat="false" ht="15" hidden="false" customHeight="true" outlineLevel="0" collapsed="false">
      <c r="A846" s="39" t="s">
        <v>385</v>
      </c>
      <c r="B846" s="39" t="s">
        <v>76</v>
      </c>
      <c r="C846" s="39" t="n">
        <v>1</v>
      </c>
      <c r="D846" s="40" t="str">
        <f aca="false">IFERROR(INDEX(المكونات!$B$2:$B$500,MATCH($B846,المكونات!$A$2:$A$500,0)),"")</f>
        <v>قطعة</v>
      </c>
      <c r="E846" s="41" t="n">
        <f aca="false">IFERROR(INDEX(المكونات!$C$2:$C$500,MATCH($B846,المكونات!$A$2:$A$500,0)),"")</f>
        <v>35</v>
      </c>
      <c r="F846" s="42" t="n">
        <f aca="false">IFERROR($C846*$E846,"")</f>
        <v>35</v>
      </c>
    </row>
    <row r="847" customFormat="false" ht="15" hidden="false" customHeight="true" outlineLevel="0" collapsed="false">
      <c r="A847" s="39" t="s">
        <v>385</v>
      </c>
      <c r="B847" s="39" t="s">
        <v>263</v>
      </c>
      <c r="C847" s="39" t="n">
        <v>1</v>
      </c>
      <c r="D847" s="40" t="str">
        <f aca="false">IFERROR(INDEX(المكونات!$B$2:$B$500,MATCH($B847,المكونات!$A$2:$A$500,0)),"")</f>
        <v>قطعة</v>
      </c>
      <c r="E847" s="41" t="n">
        <f aca="false">IFERROR(INDEX(المكونات!$C$2:$C$500,MATCH($B847,المكونات!$A$2:$A$500,0)),"")</f>
        <v>4.47</v>
      </c>
      <c r="F847" s="42" t="n">
        <f aca="false">IFERROR($C847*$E847,"")</f>
        <v>4.47</v>
      </c>
    </row>
    <row r="848" customFormat="false" ht="15" hidden="false" customHeight="true" outlineLevel="0" collapsed="false">
      <c r="A848" s="39" t="s">
        <v>385</v>
      </c>
      <c r="B848" s="39" t="s">
        <v>56</v>
      </c>
      <c r="C848" s="39" t="n">
        <v>1</v>
      </c>
      <c r="D848" s="40" t="str">
        <f aca="false">IFERROR(INDEX(المكونات!$B$2:$B$500,MATCH($B848,المكونات!$A$2:$A$500,0)),"")</f>
        <v>قطعة</v>
      </c>
      <c r="E848" s="41" t="n">
        <f aca="false">IFERROR(INDEX(المكونات!$C$2:$C$500,MATCH($B848,المكونات!$A$2:$A$500,0)),"")</f>
        <v>3.3</v>
      </c>
      <c r="F848" s="42" t="n">
        <f aca="false">IFERROR($C848*$E848,"")</f>
        <v>3.3</v>
      </c>
    </row>
    <row r="849" customFormat="false" ht="15" hidden="false" customHeight="true" outlineLevel="0" collapsed="false">
      <c r="A849" s="39" t="s">
        <v>385</v>
      </c>
      <c r="B849" s="39" t="s">
        <v>178</v>
      </c>
      <c r="C849" s="39" t="n">
        <v>1</v>
      </c>
      <c r="D849" s="40" t="str">
        <f aca="false">IFERROR(INDEX(المكونات!$B$2:$B$500,MATCH($B849,المكونات!$A$2:$A$500,0)),"")</f>
        <v>قطعة</v>
      </c>
      <c r="E849" s="41" t="n">
        <f aca="false">IFERROR(INDEX(المكونات!$C$2:$C$500,MATCH($B849,المكونات!$A$2:$A$500,0)),"")</f>
        <v>0.3</v>
      </c>
      <c r="F849" s="42" t="n">
        <f aca="false">IFERROR($C849*$E849,"")</f>
        <v>0.3</v>
      </c>
    </row>
    <row r="850" customFormat="false" ht="15" hidden="false" customHeight="true" outlineLevel="0" collapsed="false">
      <c r="A850" s="39" t="s">
        <v>385</v>
      </c>
      <c r="B850" s="39" t="s">
        <v>225</v>
      </c>
      <c r="C850" s="39" t="n">
        <v>2</v>
      </c>
      <c r="D850" s="40" t="str">
        <f aca="false">IFERROR(INDEX(المكونات!$B$2:$B$500,MATCH($B850,المكونات!$A$2:$A$500,0)),"")</f>
        <v>قطعة</v>
      </c>
      <c r="E850" s="41" t="n">
        <f aca="false">IFERROR(INDEX(المكونات!$C$2:$C$500,MATCH($B850,المكونات!$A$2:$A$500,0)),"")</f>
        <v>0.3</v>
      </c>
      <c r="F850" s="42" t="n">
        <f aca="false">IFERROR($C850*$E850,"")</f>
        <v>0.6</v>
      </c>
    </row>
    <row r="851" customFormat="false" ht="15" hidden="false" customHeight="true" outlineLevel="0" collapsed="false">
      <c r="A851" s="39" t="s">
        <v>385</v>
      </c>
      <c r="B851" s="39" t="s">
        <v>145</v>
      </c>
      <c r="C851" s="39" t="n">
        <v>2</v>
      </c>
      <c r="D851" s="40" t="str">
        <f aca="false">IFERROR(INDEX(المكونات!$B$2:$B$500,MATCH($B851,المكونات!$A$2:$A$500,0)),"")</f>
        <v>قطعة (جلفز)</v>
      </c>
      <c r="E851" s="41" t="n">
        <f aca="false">IFERROR(INDEX(المكونات!$C$2:$C$500,MATCH($B851,المكونات!$A$2:$A$500,0)),"")</f>
        <v>0.18</v>
      </c>
      <c r="F851" s="42" t="n">
        <f aca="false">IFERROR($C851*$E851,"")</f>
        <v>0.36</v>
      </c>
    </row>
    <row r="852" customFormat="false" ht="15" hidden="false" customHeight="true" outlineLevel="0" collapsed="false">
      <c r="A852" s="39" t="s">
        <v>385</v>
      </c>
      <c r="B852" s="39" t="s">
        <v>70</v>
      </c>
      <c r="C852" s="39" t="n">
        <v>1</v>
      </c>
      <c r="D852" s="40" t="str">
        <f aca="false">IFERROR(INDEX(المكونات!$B$2:$B$500,MATCH($B852,المكونات!$A$2:$A$500,0)),"")</f>
        <v>قطعة (كيس)</v>
      </c>
      <c r="E852" s="41" t="n">
        <f aca="false">IFERROR(INDEX(المكونات!$C$2:$C$500,MATCH($B852,المكونات!$A$2:$A$500,0)),"")</f>
        <v>1.4</v>
      </c>
      <c r="F852" s="42" t="n">
        <f aca="false">IFERROR($C852*$E852,"")</f>
        <v>1.4</v>
      </c>
    </row>
    <row r="853" customFormat="false" ht="15" hidden="false" customHeight="true" outlineLevel="0" collapsed="false">
      <c r="A853" s="39" t="s">
        <v>364</v>
      </c>
      <c r="B853" s="39" t="s">
        <v>265</v>
      </c>
      <c r="C853" s="39" t="n">
        <v>1</v>
      </c>
      <c r="D853" s="40" t="str">
        <f aca="false">IFERROR(INDEX(المكونات!$B$2:$B$500,MATCH($B853,المكونات!$A$2:$A$500,0)),"")</f>
        <v>قطعة</v>
      </c>
      <c r="E853" s="41" t="n">
        <f aca="false">IFERROR(INDEX(المكونات!$C$2:$C$500,MATCH($B853,المكونات!$A$2:$A$500,0)),"")</f>
        <v>2.9685125</v>
      </c>
      <c r="F853" s="42" t="n">
        <f aca="false">IFERROR($C853*$E853,"")</f>
        <v>2.9685125</v>
      </c>
    </row>
    <row r="854" customFormat="false" ht="15" hidden="false" customHeight="true" outlineLevel="0" collapsed="false">
      <c r="A854" s="39" t="s">
        <v>364</v>
      </c>
      <c r="B854" s="39" t="s">
        <v>110</v>
      </c>
      <c r="C854" s="39" t="n">
        <v>1</v>
      </c>
      <c r="D854" s="40" t="str">
        <f aca="false">IFERROR(INDEX(المكونات!$B$2:$B$500,MATCH($B854,المكونات!$A$2:$A$500,0)),"")</f>
        <v>قطعة</v>
      </c>
      <c r="E854" s="41" t="n">
        <f aca="false">IFERROR(INDEX(المكونات!$C$2:$C$500,MATCH($B854,المكونات!$A$2:$A$500,0)),"")</f>
        <v>17.5</v>
      </c>
      <c r="F854" s="42" t="n">
        <f aca="false">IFERROR($C854*$E854,"")</f>
        <v>17.5</v>
      </c>
    </row>
    <row r="855" customFormat="false" ht="15" hidden="false" customHeight="true" outlineLevel="0" collapsed="false">
      <c r="A855" s="39" t="s">
        <v>364</v>
      </c>
      <c r="B855" s="39" t="s">
        <v>196</v>
      </c>
      <c r="C855" s="39" t="n">
        <v>0.03</v>
      </c>
      <c r="D855" s="40" t="str">
        <f aca="false">IFERROR(INDEX(المكونات!$B$2:$B$500,MATCH($B855,المكونات!$A$2:$A$500,0)),"")</f>
        <v>كجم</v>
      </c>
      <c r="E855" s="41" t="n">
        <f aca="false">IFERROR(INDEX(المكونات!$C$2:$C$500,MATCH($B855,المكونات!$A$2:$A$500,0)),"")</f>
        <v>21</v>
      </c>
      <c r="F855" s="42" t="n">
        <f aca="false">IFERROR($C855*$E855,"")</f>
        <v>0.63</v>
      </c>
    </row>
    <row r="856" customFormat="false" ht="15" hidden="false" customHeight="true" outlineLevel="0" collapsed="false">
      <c r="A856" s="39" t="s">
        <v>364</v>
      </c>
      <c r="B856" s="39" t="s">
        <v>219</v>
      </c>
      <c r="C856" s="39" t="n">
        <v>0.02</v>
      </c>
      <c r="D856" s="40" t="str">
        <f aca="false">IFERROR(INDEX(المكونات!$B$2:$B$500,MATCH($B856,المكونات!$A$2:$A$500,0)),"")</f>
        <v>كجم</v>
      </c>
      <c r="E856" s="41" t="n">
        <f aca="false">IFERROR(INDEX(المكونات!$C$2:$C$500,MATCH($B856,المكونات!$A$2:$A$500,0)),"")</f>
        <v>27</v>
      </c>
      <c r="F856" s="42" t="n">
        <f aca="false">IFERROR($C856*$E856,"")</f>
        <v>0.54</v>
      </c>
    </row>
    <row r="857" customFormat="false" ht="15" hidden="false" customHeight="true" outlineLevel="0" collapsed="false">
      <c r="A857" s="39" t="s">
        <v>364</v>
      </c>
      <c r="B857" s="39" t="s">
        <v>162</v>
      </c>
      <c r="C857" s="39" t="n">
        <v>0.02</v>
      </c>
      <c r="D857" s="40" t="str">
        <f aca="false">IFERROR(INDEX(المكونات!$B$2:$B$500,MATCH($B857,المكونات!$A$2:$A$500,0)),"")</f>
        <v>كجم</v>
      </c>
      <c r="E857" s="41" t="n">
        <f aca="false">IFERROR(INDEX(المكونات!$C$2:$C$500,MATCH($B857,المكونات!$A$2:$A$500,0)),"")</f>
        <v>95</v>
      </c>
      <c r="F857" s="42" t="n">
        <f aca="false">IFERROR($C857*$E857,"")</f>
        <v>1.9</v>
      </c>
    </row>
    <row r="858" customFormat="false" ht="15" hidden="false" customHeight="true" outlineLevel="0" collapsed="false">
      <c r="A858" s="39" t="s">
        <v>364</v>
      </c>
      <c r="B858" s="39" t="s">
        <v>232</v>
      </c>
      <c r="C858" s="39" t="n">
        <v>1</v>
      </c>
      <c r="D858" s="40" t="str">
        <f aca="false">IFERROR(INDEX(المكونات!$B$2:$B$500,MATCH($B858,المكونات!$A$2:$A$500,0)),"")</f>
        <v>قطعة</v>
      </c>
      <c r="E858" s="41" t="n">
        <f aca="false">IFERROR(INDEX(المكونات!$C$2:$C$500,MATCH($B858,المكونات!$A$2:$A$500,0)),"")</f>
        <v>2</v>
      </c>
      <c r="F858" s="42" t="n">
        <f aca="false">IFERROR($C858*$E858,"")</f>
        <v>2</v>
      </c>
    </row>
    <row r="859" customFormat="false" ht="15" hidden="false" customHeight="true" outlineLevel="0" collapsed="false">
      <c r="A859" s="39" t="s">
        <v>364</v>
      </c>
      <c r="B859" s="39" t="s">
        <v>169</v>
      </c>
      <c r="C859" s="39" t="n">
        <v>1</v>
      </c>
      <c r="D859" s="40" t="str">
        <f aca="false">IFERROR(INDEX(المكونات!$B$2:$B$500,MATCH($B859,المكونات!$A$2:$A$500,0)),"")</f>
        <v>قطعة (استخدام)</v>
      </c>
      <c r="E859" s="41" t="n">
        <f aca="false">IFERROR(INDEX(المكونات!$C$2:$C$500,MATCH($B859,المكونات!$A$2:$A$500,0)),"")</f>
        <v>2.5189</v>
      </c>
      <c r="F859" s="42" t="n">
        <f aca="false">IFERROR($C859*$E859,"")</f>
        <v>2.5189</v>
      </c>
    </row>
    <row r="860" customFormat="false" ht="15" hidden="false" customHeight="true" outlineLevel="0" collapsed="false">
      <c r="A860" s="39" t="s">
        <v>364</v>
      </c>
      <c r="B860" s="39" t="s">
        <v>96</v>
      </c>
      <c r="C860" s="39" t="n">
        <v>1</v>
      </c>
      <c r="D860" s="40" t="str">
        <f aca="false">IFERROR(INDEX(المكونات!$B$2:$B$500,MATCH($B860,المكونات!$A$2:$A$500,0)),"")</f>
        <v>قطعة</v>
      </c>
      <c r="E860" s="41" t="n">
        <f aca="false">IFERROR(INDEX(المكونات!$C$2:$C$500,MATCH($B860,المكونات!$A$2:$A$500,0)),"")</f>
        <v>30</v>
      </c>
      <c r="F860" s="42" t="n">
        <f aca="false">IFERROR($C860*$E860,"")</f>
        <v>30</v>
      </c>
    </row>
    <row r="861" customFormat="false" ht="15" hidden="false" customHeight="true" outlineLevel="0" collapsed="false">
      <c r="A861" s="39" t="s">
        <v>366</v>
      </c>
      <c r="B861" s="39" t="s">
        <v>265</v>
      </c>
      <c r="C861" s="39" t="n">
        <v>1</v>
      </c>
      <c r="D861" s="40" t="str">
        <f aca="false">IFERROR(INDEX(المكونات!$B$2:$B$500,MATCH($B861,المكونات!$A$2:$A$500,0)),"")</f>
        <v>قطعة</v>
      </c>
      <c r="E861" s="41" t="n">
        <f aca="false">IFERROR(INDEX(المكونات!$C$2:$C$500,MATCH($B861,المكونات!$A$2:$A$500,0)),"")</f>
        <v>2.9685125</v>
      </c>
      <c r="F861" s="42" t="n">
        <f aca="false">IFERROR($C861*$E861,"")</f>
        <v>2.9685125</v>
      </c>
    </row>
    <row r="862" customFormat="false" ht="15" hidden="false" customHeight="true" outlineLevel="0" collapsed="false">
      <c r="A862" s="39" t="s">
        <v>366</v>
      </c>
      <c r="B862" s="39" t="s">
        <v>110</v>
      </c>
      <c r="C862" s="39" t="n">
        <v>1</v>
      </c>
      <c r="D862" s="40" t="str">
        <f aca="false">IFERROR(INDEX(المكونات!$B$2:$B$500,MATCH($B862,المكونات!$A$2:$A$500,0)),"")</f>
        <v>قطعة</v>
      </c>
      <c r="E862" s="41" t="n">
        <f aca="false">IFERROR(INDEX(المكونات!$C$2:$C$500,MATCH($B862,المكونات!$A$2:$A$500,0)),"")</f>
        <v>17.5</v>
      </c>
      <c r="F862" s="42" t="n">
        <f aca="false">IFERROR($C862*$E862,"")</f>
        <v>17.5</v>
      </c>
    </row>
    <row r="863" customFormat="false" ht="15" hidden="false" customHeight="true" outlineLevel="0" collapsed="false">
      <c r="A863" s="39" t="s">
        <v>366</v>
      </c>
      <c r="B863" s="39" t="s">
        <v>196</v>
      </c>
      <c r="C863" s="39" t="n">
        <v>0.03</v>
      </c>
      <c r="D863" s="40" t="str">
        <f aca="false">IFERROR(INDEX(المكونات!$B$2:$B$500,MATCH($B863,المكونات!$A$2:$A$500,0)),"")</f>
        <v>كجم</v>
      </c>
      <c r="E863" s="41" t="n">
        <f aca="false">IFERROR(INDEX(المكونات!$C$2:$C$500,MATCH($B863,المكونات!$A$2:$A$500,0)),"")</f>
        <v>21</v>
      </c>
      <c r="F863" s="42" t="n">
        <f aca="false">IFERROR($C863*$E863,"")</f>
        <v>0.63</v>
      </c>
    </row>
    <row r="864" customFormat="false" ht="15" hidden="false" customHeight="true" outlineLevel="0" collapsed="false">
      <c r="A864" s="39" t="s">
        <v>366</v>
      </c>
      <c r="B864" s="39" t="s">
        <v>219</v>
      </c>
      <c r="C864" s="39" t="n">
        <v>0.02</v>
      </c>
      <c r="D864" s="40" t="str">
        <f aca="false">IFERROR(INDEX(المكونات!$B$2:$B$500,MATCH($B864,المكونات!$A$2:$A$500,0)),"")</f>
        <v>كجم</v>
      </c>
      <c r="E864" s="41" t="n">
        <f aca="false">IFERROR(INDEX(المكونات!$C$2:$C$500,MATCH($B864,المكونات!$A$2:$A$500,0)),"")</f>
        <v>27</v>
      </c>
      <c r="F864" s="42" t="n">
        <f aca="false">IFERROR($C864*$E864,"")</f>
        <v>0.54</v>
      </c>
    </row>
    <row r="865" customFormat="false" ht="15" hidden="false" customHeight="true" outlineLevel="0" collapsed="false">
      <c r="A865" s="39" t="s">
        <v>366</v>
      </c>
      <c r="B865" s="39" t="s">
        <v>162</v>
      </c>
      <c r="C865" s="39" t="n">
        <v>0.02</v>
      </c>
      <c r="D865" s="40" t="str">
        <f aca="false">IFERROR(INDEX(المكونات!$B$2:$B$500,MATCH($B865,المكونات!$A$2:$A$500,0)),"")</f>
        <v>كجم</v>
      </c>
      <c r="E865" s="41" t="n">
        <f aca="false">IFERROR(INDEX(المكونات!$C$2:$C$500,MATCH($B865,المكونات!$A$2:$A$500,0)),"")</f>
        <v>95</v>
      </c>
      <c r="F865" s="42" t="n">
        <f aca="false">IFERROR($C865*$E865,"")</f>
        <v>1.9</v>
      </c>
    </row>
    <row r="866" customFormat="false" ht="15" hidden="false" customHeight="true" outlineLevel="0" collapsed="false">
      <c r="A866" s="39" t="s">
        <v>366</v>
      </c>
      <c r="B866" s="39" t="s">
        <v>232</v>
      </c>
      <c r="C866" s="39" t="n">
        <v>1</v>
      </c>
      <c r="D866" s="40" t="str">
        <f aca="false">IFERROR(INDEX(المكونات!$B$2:$B$500,MATCH($B866,المكونات!$A$2:$A$500,0)),"")</f>
        <v>قطعة</v>
      </c>
      <c r="E866" s="41" t="n">
        <f aca="false">IFERROR(INDEX(المكونات!$C$2:$C$500,MATCH($B866,المكونات!$A$2:$A$500,0)),"")</f>
        <v>2</v>
      </c>
      <c r="F866" s="42" t="n">
        <f aca="false">IFERROR($C866*$E866,"")</f>
        <v>2</v>
      </c>
    </row>
    <row r="867" customFormat="false" ht="15" hidden="false" customHeight="true" outlineLevel="0" collapsed="false">
      <c r="A867" s="39" t="s">
        <v>366</v>
      </c>
      <c r="B867" s="39" t="s">
        <v>169</v>
      </c>
      <c r="C867" s="39" t="n">
        <v>1</v>
      </c>
      <c r="D867" s="40" t="str">
        <f aca="false">IFERROR(INDEX(المكونات!$B$2:$B$500,MATCH($B867,المكونات!$A$2:$A$500,0)),"")</f>
        <v>قطعة (استخدام)</v>
      </c>
      <c r="E867" s="41" t="n">
        <f aca="false">IFERROR(INDEX(المكونات!$C$2:$C$500,MATCH($B867,المكونات!$A$2:$A$500,0)),"")</f>
        <v>2.5189</v>
      </c>
      <c r="F867" s="42" t="n">
        <f aca="false">IFERROR($C867*$E867,"")</f>
        <v>2.5189</v>
      </c>
    </row>
    <row r="868" customFormat="false" ht="15" hidden="false" customHeight="true" outlineLevel="0" collapsed="false">
      <c r="A868" s="39" t="s">
        <v>366</v>
      </c>
      <c r="B868" s="39" t="s">
        <v>92</v>
      </c>
      <c r="C868" s="39" t="n">
        <v>0.5</v>
      </c>
      <c r="D868" s="40" t="str">
        <f aca="false">IFERROR(INDEX(المكونات!$B$2:$B$500,MATCH($B868,المكونات!$A$2:$A$500,0)),"")</f>
        <v>قطعة</v>
      </c>
      <c r="E868" s="41" t="n">
        <f aca="false">IFERROR(INDEX(المكونات!$C$2:$C$500,MATCH($B868,المكونات!$A$2:$A$500,0)),"")</f>
        <v>33.7609</v>
      </c>
      <c r="F868" s="42" t="n">
        <f aca="false">IFERROR($C868*$E868,"")</f>
        <v>16.88045</v>
      </c>
    </row>
    <row r="869" customFormat="false" ht="15" hidden="false" customHeight="true" outlineLevel="0" collapsed="false">
      <c r="A869" s="39" t="s">
        <v>366</v>
      </c>
      <c r="B869" s="39" t="s">
        <v>96</v>
      </c>
      <c r="C869" s="39" t="n">
        <v>0.5</v>
      </c>
      <c r="D869" s="40" t="str">
        <f aca="false">IFERROR(INDEX(المكونات!$B$2:$B$500,MATCH($B869,المكونات!$A$2:$A$500,0)),"")</f>
        <v>قطعة</v>
      </c>
      <c r="E869" s="41" t="n">
        <f aca="false">IFERROR(INDEX(المكونات!$C$2:$C$500,MATCH($B869,المكونات!$A$2:$A$500,0)),"")</f>
        <v>30</v>
      </c>
      <c r="F869" s="42" t="n">
        <f aca="false">IFERROR($C869*$E869,"")</f>
        <v>15</v>
      </c>
    </row>
    <row r="870" customFormat="false" ht="15" hidden="false" customHeight="true" outlineLevel="0" collapsed="false">
      <c r="A870" s="39" t="s">
        <v>368</v>
      </c>
      <c r="B870" s="39" t="s">
        <v>265</v>
      </c>
      <c r="C870" s="39" t="n">
        <v>1</v>
      </c>
      <c r="D870" s="40" t="str">
        <f aca="false">IFERROR(INDEX(المكونات!$B$2:$B$500,MATCH($B870,المكونات!$A$2:$A$500,0)),"")</f>
        <v>قطعة</v>
      </c>
      <c r="E870" s="41" t="n">
        <f aca="false">IFERROR(INDEX(المكونات!$C$2:$C$500,MATCH($B870,المكونات!$A$2:$A$500,0)),"")</f>
        <v>2.9685125</v>
      </c>
      <c r="F870" s="42" t="n">
        <f aca="false">IFERROR($C870*$E870,"")</f>
        <v>2.9685125</v>
      </c>
    </row>
    <row r="871" customFormat="false" ht="15" hidden="false" customHeight="true" outlineLevel="0" collapsed="false">
      <c r="A871" s="39" t="s">
        <v>368</v>
      </c>
      <c r="B871" s="39" t="s">
        <v>110</v>
      </c>
      <c r="C871" s="39" t="n">
        <v>1</v>
      </c>
      <c r="D871" s="40" t="str">
        <f aca="false">IFERROR(INDEX(المكونات!$B$2:$B$500,MATCH($B871,المكونات!$A$2:$A$500,0)),"")</f>
        <v>قطعة</v>
      </c>
      <c r="E871" s="41" t="n">
        <f aca="false">IFERROR(INDEX(المكونات!$C$2:$C$500,MATCH($B871,المكونات!$A$2:$A$500,0)),"")</f>
        <v>17.5</v>
      </c>
      <c r="F871" s="42" t="n">
        <f aca="false">IFERROR($C871*$E871,"")</f>
        <v>17.5</v>
      </c>
    </row>
    <row r="872" customFormat="false" ht="15" hidden="false" customHeight="true" outlineLevel="0" collapsed="false">
      <c r="A872" s="39" t="s">
        <v>368</v>
      </c>
      <c r="B872" s="39" t="s">
        <v>196</v>
      </c>
      <c r="C872" s="39" t="n">
        <v>0.03</v>
      </c>
      <c r="D872" s="40" t="str">
        <f aca="false">IFERROR(INDEX(المكونات!$B$2:$B$500,MATCH($B872,المكونات!$A$2:$A$500,0)),"")</f>
        <v>كجم</v>
      </c>
      <c r="E872" s="41" t="n">
        <f aca="false">IFERROR(INDEX(المكونات!$C$2:$C$500,MATCH($B872,المكونات!$A$2:$A$500,0)),"")</f>
        <v>21</v>
      </c>
      <c r="F872" s="42" t="n">
        <f aca="false">IFERROR($C872*$E872,"")</f>
        <v>0.63</v>
      </c>
    </row>
    <row r="873" customFormat="false" ht="15" hidden="false" customHeight="true" outlineLevel="0" collapsed="false">
      <c r="A873" s="39" t="s">
        <v>368</v>
      </c>
      <c r="B873" s="39" t="s">
        <v>219</v>
      </c>
      <c r="C873" s="39" t="n">
        <v>0.02</v>
      </c>
      <c r="D873" s="40" t="str">
        <f aca="false">IFERROR(INDEX(المكونات!$B$2:$B$500,MATCH($B873,المكونات!$A$2:$A$500,0)),"")</f>
        <v>كجم</v>
      </c>
      <c r="E873" s="41" t="n">
        <f aca="false">IFERROR(INDEX(المكونات!$C$2:$C$500,MATCH($B873,المكونات!$A$2:$A$500,0)),"")</f>
        <v>27</v>
      </c>
      <c r="F873" s="42" t="n">
        <f aca="false">IFERROR($C873*$E873,"")</f>
        <v>0.54</v>
      </c>
    </row>
    <row r="874" customFormat="false" ht="15" hidden="false" customHeight="true" outlineLevel="0" collapsed="false">
      <c r="A874" s="39" t="s">
        <v>368</v>
      </c>
      <c r="B874" s="39" t="s">
        <v>162</v>
      </c>
      <c r="C874" s="39" t="n">
        <v>0.02</v>
      </c>
      <c r="D874" s="40" t="str">
        <f aca="false">IFERROR(INDEX(المكونات!$B$2:$B$500,MATCH($B874,المكونات!$A$2:$A$500,0)),"")</f>
        <v>كجم</v>
      </c>
      <c r="E874" s="41" t="n">
        <f aca="false">IFERROR(INDEX(المكونات!$C$2:$C$500,MATCH($B874,المكونات!$A$2:$A$500,0)),"")</f>
        <v>95</v>
      </c>
      <c r="F874" s="42" t="n">
        <f aca="false">IFERROR($C874*$E874,"")</f>
        <v>1.9</v>
      </c>
    </row>
    <row r="875" customFormat="false" ht="15" hidden="false" customHeight="true" outlineLevel="0" collapsed="false">
      <c r="A875" s="39" t="s">
        <v>368</v>
      </c>
      <c r="B875" s="39" t="s">
        <v>232</v>
      </c>
      <c r="C875" s="39" t="n">
        <v>1</v>
      </c>
      <c r="D875" s="40" t="str">
        <f aca="false">IFERROR(INDEX(المكونات!$B$2:$B$500,MATCH($B875,المكونات!$A$2:$A$500,0)),"")</f>
        <v>قطعة</v>
      </c>
      <c r="E875" s="41" t="n">
        <f aca="false">IFERROR(INDEX(المكونات!$C$2:$C$500,MATCH($B875,المكونات!$A$2:$A$500,0)),"")</f>
        <v>2</v>
      </c>
      <c r="F875" s="42" t="n">
        <f aca="false">IFERROR($C875*$E875,"")</f>
        <v>2</v>
      </c>
    </row>
    <row r="876" customFormat="false" ht="15" hidden="false" customHeight="true" outlineLevel="0" collapsed="false">
      <c r="A876" s="39" t="s">
        <v>368</v>
      </c>
      <c r="B876" s="39" t="s">
        <v>169</v>
      </c>
      <c r="C876" s="39" t="n">
        <v>1</v>
      </c>
      <c r="D876" s="40" t="str">
        <f aca="false">IFERROR(INDEX(المكونات!$B$2:$B$500,MATCH($B876,المكونات!$A$2:$A$500,0)),"")</f>
        <v>قطعة (استخدام)</v>
      </c>
      <c r="E876" s="41" t="n">
        <f aca="false">IFERROR(INDEX(المكونات!$C$2:$C$500,MATCH($B876,المكونات!$A$2:$A$500,0)),"")</f>
        <v>2.5189</v>
      </c>
      <c r="F876" s="42" t="n">
        <f aca="false">IFERROR($C876*$E876,"")</f>
        <v>2.5189</v>
      </c>
    </row>
    <row r="877" customFormat="false" ht="15" hidden="false" customHeight="true" outlineLevel="0" collapsed="false">
      <c r="A877" s="39" t="s">
        <v>368</v>
      </c>
      <c r="B877" s="39" t="s">
        <v>78</v>
      </c>
      <c r="C877" s="39" t="n">
        <v>0.5</v>
      </c>
      <c r="D877" s="40" t="str">
        <f aca="false">IFERROR(INDEX(المكونات!$B$2:$B$500,MATCH($B877,المكونات!$A$2:$A$500,0)),"")</f>
        <v>قطعة</v>
      </c>
      <c r="E877" s="41" t="n">
        <f aca="false">IFERROR(INDEX(المكونات!$C$2:$C$500,MATCH($B877,المكونات!$A$2:$A$500,0)),"")</f>
        <v>46.8889</v>
      </c>
      <c r="F877" s="42" t="n">
        <f aca="false">IFERROR($C877*$E877,"")</f>
        <v>23.44445</v>
      </c>
    </row>
    <row r="878" customFormat="false" ht="15" hidden="false" customHeight="true" outlineLevel="0" collapsed="false">
      <c r="A878" s="39" t="s">
        <v>379</v>
      </c>
      <c r="B878" s="39" t="s">
        <v>265</v>
      </c>
      <c r="C878" s="39" t="n">
        <v>1</v>
      </c>
      <c r="D878" s="40" t="str">
        <f aca="false">IFERROR(INDEX(المكونات!$B$2:$B$500,MATCH($B878,المكونات!$A$2:$A$500,0)),"")</f>
        <v>قطعة</v>
      </c>
      <c r="E878" s="41" t="n">
        <f aca="false">IFERROR(INDEX(المكونات!$C$2:$C$500,MATCH($B878,المكونات!$A$2:$A$500,0)),"")</f>
        <v>2.9685125</v>
      </c>
      <c r="F878" s="42" t="n">
        <f aca="false">IFERROR($C878*$E878,"")</f>
        <v>2.9685125</v>
      </c>
    </row>
    <row r="879" customFormat="false" ht="15" hidden="false" customHeight="true" outlineLevel="0" collapsed="false">
      <c r="A879" s="39" t="s">
        <v>379</v>
      </c>
      <c r="B879" s="39" t="s">
        <v>110</v>
      </c>
      <c r="C879" s="39" t="n">
        <v>1</v>
      </c>
      <c r="D879" s="40" t="str">
        <f aca="false">IFERROR(INDEX(المكونات!$B$2:$B$500,MATCH($B879,المكونات!$A$2:$A$500,0)),"")</f>
        <v>قطعة</v>
      </c>
      <c r="E879" s="41" t="n">
        <f aca="false">IFERROR(INDEX(المكونات!$C$2:$C$500,MATCH($B879,المكونات!$A$2:$A$500,0)),"")</f>
        <v>17.5</v>
      </c>
      <c r="F879" s="42" t="n">
        <f aca="false">IFERROR($C879*$E879,"")</f>
        <v>17.5</v>
      </c>
    </row>
    <row r="880" customFormat="false" ht="15" hidden="false" customHeight="true" outlineLevel="0" collapsed="false">
      <c r="A880" s="39" t="s">
        <v>379</v>
      </c>
      <c r="B880" s="39" t="s">
        <v>196</v>
      </c>
      <c r="C880" s="39" t="n">
        <v>0.03</v>
      </c>
      <c r="D880" s="40" t="str">
        <f aca="false">IFERROR(INDEX(المكونات!$B$2:$B$500,MATCH($B880,المكونات!$A$2:$A$500,0)),"")</f>
        <v>كجم</v>
      </c>
      <c r="E880" s="41" t="n">
        <f aca="false">IFERROR(INDEX(المكونات!$C$2:$C$500,MATCH($B880,المكونات!$A$2:$A$500,0)),"")</f>
        <v>21</v>
      </c>
      <c r="F880" s="42" t="n">
        <f aca="false">IFERROR($C880*$E880,"")</f>
        <v>0.63</v>
      </c>
    </row>
    <row r="881" customFormat="false" ht="15" hidden="false" customHeight="true" outlineLevel="0" collapsed="false">
      <c r="A881" s="39" t="s">
        <v>379</v>
      </c>
      <c r="B881" s="39" t="s">
        <v>219</v>
      </c>
      <c r="C881" s="39" t="n">
        <v>0.02</v>
      </c>
      <c r="D881" s="40" t="str">
        <f aca="false">IFERROR(INDEX(المكونات!$B$2:$B$500,MATCH($B881,المكونات!$A$2:$A$500,0)),"")</f>
        <v>كجم</v>
      </c>
      <c r="E881" s="41" t="n">
        <f aca="false">IFERROR(INDEX(المكونات!$C$2:$C$500,MATCH($B881,المكونات!$A$2:$A$500,0)),"")</f>
        <v>27</v>
      </c>
      <c r="F881" s="42" t="n">
        <f aca="false">IFERROR($C881*$E881,"")</f>
        <v>0.54</v>
      </c>
    </row>
    <row r="882" customFormat="false" ht="15" hidden="false" customHeight="true" outlineLevel="0" collapsed="false">
      <c r="A882" s="39" t="s">
        <v>379</v>
      </c>
      <c r="B882" s="39" t="s">
        <v>162</v>
      </c>
      <c r="C882" s="39" t="n">
        <v>0.02</v>
      </c>
      <c r="D882" s="40" t="str">
        <f aca="false">IFERROR(INDEX(المكونات!$B$2:$B$500,MATCH($B882,المكونات!$A$2:$A$500,0)),"")</f>
        <v>كجم</v>
      </c>
      <c r="E882" s="41" t="n">
        <f aca="false">IFERROR(INDEX(المكونات!$C$2:$C$500,MATCH($B882,المكونات!$A$2:$A$500,0)),"")</f>
        <v>95</v>
      </c>
      <c r="F882" s="42" t="n">
        <f aca="false">IFERROR($C882*$E882,"")</f>
        <v>1.9</v>
      </c>
    </row>
    <row r="883" customFormat="false" ht="15" hidden="false" customHeight="true" outlineLevel="0" collapsed="false">
      <c r="A883" s="39" t="s">
        <v>379</v>
      </c>
      <c r="B883" s="39" t="s">
        <v>232</v>
      </c>
      <c r="C883" s="39" t="n">
        <v>1</v>
      </c>
      <c r="D883" s="40" t="str">
        <f aca="false">IFERROR(INDEX(المكونات!$B$2:$B$500,MATCH($B883,المكونات!$A$2:$A$500,0)),"")</f>
        <v>قطعة</v>
      </c>
      <c r="E883" s="41" t="n">
        <f aca="false">IFERROR(INDEX(المكونات!$C$2:$C$500,MATCH($B883,المكونات!$A$2:$A$500,0)),"")</f>
        <v>2</v>
      </c>
      <c r="F883" s="42" t="n">
        <f aca="false">IFERROR($C883*$E883,"")</f>
        <v>2</v>
      </c>
    </row>
    <row r="884" customFormat="false" ht="15" hidden="false" customHeight="true" outlineLevel="0" collapsed="false">
      <c r="A884" s="39" t="s">
        <v>379</v>
      </c>
      <c r="B884" s="39" t="s">
        <v>169</v>
      </c>
      <c r="C884" s="39" t="n">
        <v>1</v>
      </c>
      <c r="D884" s="40" t="str">
        <f aca="false">IFERROR(INDEX(المكونات!$B$2:$B$500,MATCH($B884,المكونات!$A$2:$A$500,0)),"")</f>
        <v>قطعة (استخدام)</v>
      </c>
      <c r="E884" s="41" t="n">
        <f aca="false">IFERROR(INDEX(المكونات!$C$2:$C$500,MATCH($B884,المكونات!$A$2:$A$500,0)),"")</f>
        <v>2.5189</v>
      </c>
      <c r="F884" s="42" t="n">
        <f aca="false">IFERROR($C884*$E884,"")</f>
        <v>2.5189</v>
      </c>
    </row>
    <row r="885" customFormat="false" ht="15" hidden="false" customHeight="true" outlineLevel="0" collapsed="false">
      <c r="A885" s="39" t="s">
        <v>379</v>
      </c>
      <c r="B885" s="39" t="s">
        <v>88</v>
      </c>
      <c r="C885" s="39" t="n">
        <v>0.5</v>
      </c>
      <c r="D885" s="40" t="str">
        <f aca="false">IFERROR(INDEX(المكونات!$B$2:$B$500,MATCH($B885,المكونات!$A$2:$A$500,0)),"")</f>
        <v>قطعة</v>
      </c>
      <c r="E885" s="41" t="n">
        <f aca="false">IFERROR(INDEX(المكونات!$C$2:$C$500,MATCH($B885,المكونات!$A$2:$A$500,0)),"")</f>
        <v>45</v>
      </c>
      <c r="F885" s="42" t="n">
        <f aca="false">IFERROR($C885*$E885,"")</f>
        <v>22.5</v>
      </c>
    </row>
    <row r="886" customFormat="false" ht="15" hidden="false" customHeight="true" outlineLevel="0" collapsed="false">
      <c r="A886" s="39" t="s">
        <v>380</v>
      </c>
      <c r="B886" s="39" t="s">
        <v>265</v>
      </c>
      <c r="C886" s="39" t="n">
        <v>1</v>
      </c>
      <c r="D886" s="40" t="str">
        <f aca="false">IFERROR(INDEX(المكونات!$B$2:$B$500,MATCH($B886,المكونات!$A$2:$A$500,0)),"")</f>
        <v>قطعة</v>
      </c>
      <c r="E886" s="41" t="n">
        <f aca="false">IFERROR(INDEX(المكونات!$C$2:$C$500,MATCH($B886,المكونات!$A$2:$A$500,0)),"")</f>
        <v>2.9685125</v>
      </c>
      <c r="F886" s="42" t="n">
        <f aca="false">IFERROR($C886*$E886,"")</f>
        <v>2.9685125</v>
      </c>
    </row>
    <row r="887" customFormat="false" ht="15" hidden="false" customHeight="true" outlineLevel="0" collapsed="false">
      <c r="A887" s="39" t="s">
        <v>380</v>
      </c>
      <c r="B887" s="39" t="s">
        <v>110</v>
      </c>
      <c r="C887" s="39" t="n">
        <v>1</v>
      </c>
      <c r="D887" s="40" t="str">
        <f aca="false">IFERROR(INDEX(المكونات!$B$2:$B$500,MATCH($B887,المكونات!$A$2:$A$500,0)),"")</f>
        <v>قطعة</v>
      </c>
      <c r="E887" s="41" t="n">
        <f aca="false">IFERROR(INDEX(المكونات!$C$2:$C$500,MATCH($B887,المكونات!$A$2:$A$500,0)),"")</f>
        <v>17.5</v>
      </c>
      <c r="F887" s="42" t="n">
        <f aca="false">IFERROR($C887*$E887,"")</f>
        <v>17.5</v>
      </c>
    </row>
    <row r="888" customFormat="false" ht="15" hidden="false" customHeight="true" outlineLevel="0" collapsed="false">
      <c r="A888" s="39" t="s">
        <v>380</v>
      </c>
      <c r="B888" s="39" t="s">
        <v>196</v>
      </c>
      <c r="C888" s="39" t="n">
        <v>0.03</v>
      </c>
      <c r="D888" s="40" t="str">
        <f aca="false">IFERROR(INDEX(المكونات!$B$2:$B$500,MATCH($B888,المكونات!$A$2:$A$500,0)),"")</f>
        <v>كجم</v>
      </c>
      <c r="E888" s="41" t="n">
        <f aca="false">IFERROR(INDEX(المكونات!$C$2:$C$500,MATCH($B888,المكونات!$A$2:$A$500,0)),"")</f>
        <v>21</v>
      </c>
      <c r="F888" s="42" t="n">
        <f aca="false">IFERROR($C888*$E888,"")</f>
        <v>0.63</v>
      </c>
    </row>
    <row r="889" customFormat="false" ht="15" hidden="false" customHeight="true" outlineLevel="0" collapsed="false">
      <c r="A889" s="39" t="s">
        <v>380</v>
      </c>
      <c r="B889" s="39" t="s">
        <v>219</v>
      </c>
      <c r="C889" s="39" t="n">
        <v>0.02</v>
      </c>
      <c r="D889" s="40" t="str">
        <f aca="false">IFERROR(INDEX(المكونات!$B$2:$B$500,MATCH($B889,المكونات!$A$2:$A$500,0)),"")</f>
        <v>كجم</v>
      </c>
      <c r="E889" s="41" t="n">
        <f aca="false">IFERROR(INDEX(المكونات!$C$2:$C$500,MATCH($B889,المكونات!$A$2:$A$500,0)),"")</f>
        <v>27</v>
      </c>
      <c r="F889" s="42" t="n">
        <f aca="false">IFERROR($C889*$E889,"")</f>
        <v>0.54</v>
      </c>
    </row>
    <row r="890" customFormat="false" ht="15" hidden="false" customHeight="true" outlineLevel="0" collapsed="false">
      <c r="A890" s="39" t="s">
        <v>380</v>
      </c>
      <c r="B890" s="39" t="s">
        <v>162</v>
      </c>
      <c r="C890" s="39" t="n">
        <v>0.02</v>
      </c>
      <c r="D890" s="40" t="str">
        <f aca="false">IFERROR(INDEX(المكونات!$B$2:$B$500,MATCH($B890,المكونات!$A$2:$A$500,0)),"")</f>
        <v>كجم</v>
      </c>
      <c r="E890" s="41" t="n">
        <f aca="false">IFERROR(INDEX(المكونات!$C$2:$C$500,MATCH($B890,المكونات!$A$2:$A$500,0)),"")</f>
        <v>95</v>
      </c>
      <c r="F890" s="42" t="n">
        <f aca="false">IFERROR($C890*$E890,"")</f>
        <v>1.9</v>
      </c>
    </row>
    <row r="891" customFormat="false" ht="15" hidden="false" customHeight="true" outlineLevel="0" collapsed="false">
      <c r="A891" s="39" t="s">
        <v>380</v>
      </c>
      <c r="B891" s="39" t="s">
        <v>232</v>
      </c>
      <c r="C891" s="39" t="n">
        <v>1</v>
      </c>
      <c r="D891" s="40" t="str">
        <f aca="false">IFERROR(INDEX(المكونات!$B$2:$B$500,MATCH($B891,المكونات!$A$2:$A$500,0)),"")</f>
        <v>قطعة</v>
      </c>
      <c r="E891" s="41" t="n">
        <f aca="false">IFERROR(INDEX(المكونات!$C$2:$C$500,MATCH($B891,المكونات!$A$2:$A$500,0)),"")</f>
        <v>2</v>
      </c>
      <c r="F891" s="42" t="n">
        <f aca="false">IFERROR($C891*$E891,"")</f>
        <v>2</v>
      </c>
    </row>
    <row r="892" customFormat="false" ht="15" hidden="false" customHeight="true" outlineLevel="0" collapsed="false">
      <c r="A892" s="39" t="s">
        <v>380</v>
      </c>
      <c r="B892" s="39" t="s">
        <v>169</v>
      </c>
      <c r="C892" s="39" t="n">
        <v>1</v>
      </c>
      <c r="D892" s="40" t="str">
        <f aca="false">IFERROR(INDEX(المكونات!$B$2:$B$500,MATCH($B892,المكونات!$A$2:$A$500,0)),"")</f>
        <v>قطعة (استخدام)</v>
      </c>
      <c r="E892" s="41" t="n">
        <f aca="false">IFERROR(INDEX(المكونات!$C$2:$C$500,MATCH($B892,المكونات!$A$2:$A$500,0)),"")</f>
        <v>2.5189</v>
      </c>
      <c r="F892" s="42" t="n">
        <f aca="false">IFERROR($C892*$E892,"")</f>
        <v>2.5189</v>
      </c>
    </row>
    <row r="893" customFormat="false" ht="15" hidden="false" customHeight="true" outlineLevel="0" collapsed="false">
      <c r="A893" s="39" t="s">
        <v>380</v>
      </c>
      <c r="B893" s="39" t="s">
        <v>92</v>
      </c>
      <c r="C893" s="39" t="n">
        <v>1</v>
      </c>
      <c r="D893" s="40" t="str">
        <f aca="false">IFERROR(INDEX(المكونات!$B$2:$B$500,MATCH($B893,المكونات!$A$2:$A$500,0)),"")</f>
        <v>قطعة</v>
      </c>
      <c r="E893" s="41" t="n">
        <f aca="false">IFERROR(INDEX(المكونات!$C$2:$C$500,MATCH($B893,المكونات!$A$2:$A$500,0)),"")</f>
        <v>33.7609</v>
      </c>
      <c r="F893" s="42" t="n">
        <f aca="false">IFERROR($C893*$E893,"")</f>
        <v>33.7609</v>
      </c>
    </row>
    <row r="894" customFormat="false" ht="15" hidden="false" customHeight="true" outlineLevel="0" collapsed="false">
      <c r="A894" s="39" t="s">
        <v>380</v>
      </c>
      <c r="B894" s="39" t="s">
        <v>188</v>
      </c>
      <c r="C894" s="39" t="n">
        <v>0.1</v>
      </c>
      <c r="D894" s="40" t="str">
        <f aca="false">IFERROR(INDEX(المكونات!$B$2:$B$500,MATCH($B894,المكونات!$A$2:$A$500,0)),"")</f>
        <v>كجم</v>
      </c>
      <c r="E894" s="41" t="n">
        <f aca="false">IFERROR(INDEX(المكونات!$C$2:$C$500,MATCH($B894,المكونات!$A$2:$A$500,0)),"")</f>
        <v>70</v>
      </c>
      <c r="F894" s="42" t="n">
        <f aca="false">IFERROR($C894*$E894,"")</f>
        <v>7</v>
      </c>
    </row>
    <row r="895" customFormat="false" ht="15" hidden="false" customHeight="true" outlineLevel="0" collapsed="false">
      <c r="A895" s="39" t="s">
        <v>361</v>
      </c>
      <c r="B895" s="39" t="s">
        <v>265</v>
      </c>
      <c r="C895" s="39" t="n">
        <v>1</v>
      </c>
      <c r="D895" s="40" t="str">
        <f aca="false">IFERROR(INDEX(المكونات!$B$2:$B$500,MATCH($B895,المكونات!$A$2:$A$500,0)),"")</f>
        <v>قطعة</v>
      </c>
      <c r="E895" s="41" t="n">
        <f aca="false">IFERROR(INDEX(المكونات!$C$2:$C$500,MATCH($B895,المكونات!$A$2:$A$500,0)),"")</f>
        <v>2.9685125</v>
      </c>
      <c r="F895" s="42" t="n">
        <f aca="false">IFERROR($C895*$E895,"")</f>
        <v>2.9685125</v>
      </c>
    </row>
    <row r="896" customFormat="false" ht="15" hidden="false" customHeight="true" outlineLevel="0" collapsed="false">
      <c r="A896" s="39" t="s">
        <v>361</v>
      </c>
      <c r="B896" s="39" t="s">
        <v>232</v>
      </c>
      <c r="C896" s="39" t="n">
        <v>1</v>
      </c>
      <c r="D896" s="40" t="str">
        <f aca="false">IFERROR(INDEX(المكونات!$B$2:$B$500,MATCH($B896,المكونات!$A$2:$A$500,0)),"")</f>
        <v>قطعة</v>
      </c>
      <c r="E896" s="41" t="n">
        <f aca="false">IFERROR(INDEX(المكونات!$C$2:$C$500,MATCH($B896,المكونات!$A$2:$A$500,0)),"")</f>
        <v>2</v>
      </c>
      <c r="F896" s="42" t="n">
        <f aca="false">IFERROR($C896*$E896,"")</f>
        <v>2</v>
      </c>
    </row>
    <row r="897" customFormat="false" ht="15" hidden="false" customHeight="true" outlineLevel="0" collapsed="false">
      <c r="A897" s="39" t="s">
        <v>136</v>
      </c>
      <c r="B897" s="39" t="s">
        <v>136</v>
      </c>
      <c r="C897" s="39" t="n">
        <v>1</v>
      </c>
      <c r="D897" s="40" t="str">
        <f aca="false">IFERROR(INDEX(المكونات!$B$2:$B$500,MATCH($B897,المكونات!$A$2:$A$500,0)),"")</f>
        <v>قطعة</v>
      </c>
      <c r="E897" s="41" t="n">
        <f aca="false">IFERROR(INDEX(المكونات!$C$2:$C$500,MATCH($B897,المكونات!$A$2:$A$500,0)),"")</f>
        <v>15.5556</v>
      </c>
      <c r="F897" s="42" t="n">
        <f aca="false">IFERROR($C897*$E897,"")</f>
        <v>15.5556</v>
      </c>
    </row>
    <row r="898" customFormat="false" ht="15" hidden="false" customHeight="true" outlineLevel="0" collapsed="false">
      <c r="A898" s="39" t="s">
        <v>138</v>
      </c>
      <c r="B898" s="39" t="s">
        <v>138</v>
      </c>
      <c r="C898" s="39" t="n">
        <v>1</v>
      </c>
      <c r="D898" s="40" t="str">
        <f aca="false">IFERROR(INDEX(المكونات!$B$2:$B$500,MATCH($B898,المكونات!$A$2:$A$500,0)),"")</f>
        <v>لتر</v>
      </c>
      <c r="E898" s="41" t="n">
        <f aca="false">IFERROR(INDEX(المكونات!$C$2:$C$500,MATCH($B898,المكونات!$A$2:$A$500,0)),"")</f>
        <v>30</v>
      </c>
      <c r="F898" s="42" t="n">
        <f aca="false">IFERROR($C898*$E898,"")</f>
        <v>30</v>
      </c>
    </row>
    <row r="899" customFormat="false" ht="15" hidden="false" customHeight="true" outlineLevel="0" collapsed="false">
      <c r="A899" s="39" t="s">
        <v>400</v>
      </c>
      <c r="B899" s="39" t="s">
        <v>80</v>
      </c>
      <c r="C899" s="39" t="n">
        <v>1.5</v>
      </c>
      <c r="D899" s="40" t="str">
        <f aca="false">IFERROR(INDEX(المكونات!$B$2:$B$500,MATCH($B899,المكونات!$A$2:$A$500,0)),"")</f>
        <v>قطعة</v>
      </c>
      <c r="E899" s="41" t="n">
        <f aca="false">IFERROR(INDEX(المكونات!$C$2:$C$500,MATCH($B899,المكونات!$A$2:$A$500,0)),"")</f>
        <v>5.65</v>
      </c>
      <c r="F899" s="42" t="n">
        <f aca="false">IFERROR($C899*$E899,"")</f>
        <v>8.475</v>
      </c>
    </row>
    <row r="900" customFormat="false" ht="15" hidden="false" customHeight="true" outlineLevel="0" collapsed="false">
      <c r="A900" s="39" t="s">
        <v>400</v>
      </c>
      <c r="B900" s="39" t="s">
        <v>209</v>
      </c>
      <c r="C900" s="39" t="n">
        <v>1</v>
      </c>
      <c r="D900" s="40" t="str">
        <f aca="false">IFERROR(INDEX(المكونات!$B$2:$B$500,MATCH($B900,المكونات!$A$2:$A$500,0)),"")</f>
        <v>قطعة</v>
      </c>
      <c r="E900" s="41" t="n">
        <f aca="false">IFERROR(INDEX(المكونات!$C$2:$C$500,MATCH($B900,المكونات!$A$2:$A$500,0)),"")</f>
        <v>1.7</v>
      </c>
      <c r="F900" s="42" t="n">
        <f aca="false">IFERROR($C900*$E900,"")</f>
        <v>1.7</v>
      </c>
    </row>
    <row r="901" customFormat="false" ht="15" hidden="false" customHeight="true" outlineLevel="0" collapsed="false">
      <c r="A901" s="39" t="s">
        <v>400</v>
      </c>
      <c r="B901" s="39" t="s">
        <v>225</v>
      </c>
      <c r="C901" s="39" t="n">
        <v>1</v>
      </c>
      <c r="D901" s="40" t="str">
        <f aca="false">IFERROR(INDEX(المكونات!$B$2:$B$500,MATCH($B901,المكونات!$A$2:$A$500,0)),"")</f>
        <v>قطعة</v>
      </c>
      <c r="E901" s="41" t="n">
        <f aca="false">IFERROR(INDEX(المكونات!$C$2:$C$500,MATCH($B901,المكونات!$A$2:$A$500,0)),"")</f>
        <v>0.3</v>
      </c>
      <c r="F901" s="42" t="n">
        <f aca="false">IFERROR($C901*$E901,"")</f>
        <v>0.3</v>
      </c>
    </row>
    <row r="902" customFormat="false" ht="15" hidden="false" customHeight="true" outlineLevel="0" collapsed="false">
      <c r="A902" s="39" t="s">
        <v>386</v>
      </c>
      <c r="B902" s="39" t="s">
        <v>80</v>
      </c>
      <c r="C902" s="39" t="n">
        <v>3</v>
      </c>
      <c r="D902" s="40" t="str">
        <f aca="false">IFERROR(INDEX(المكونات!$B$2:$B$500,MATCH($B902,المكونات!$A$2:$A$500,0)),"")</f>
        <v>قطعة</v>
      </c>
      <c r="E902" s="41" t="n">
        <f aca="false">IFERROR(INDEX(المكونات!$C$2:$C$500,MATCH($B902,المكونات!$A$2:$A$500,0)),"")</f>
        <v>5.65</v>
      </c>
      <c r="F902" s="42" t="n">
        <f aca="false">IFERROR($C902*$E902,"")</f>
        <v>16.95</v>
      </c>
    </row>
    <row r="903" customFormat="false" ht="15" hidden="false" customHeight="true" outlineLevel="0" collapsed="false">
      <c r="A903" s="39" t="s">
        <v>386</v>
      </c>
      <c r="B903" s="39" t="s">
        <v>211</v>
      </c>
      <c r="C903" s="39" t="n">
        <v>1</v>
      </c>
      <c r="D903" s="40" t="str">
        <f aca="false">IFERROR(INDEX(المكونات!$B$2:$B$500,MATCH($B903,المكونات!$A$2:$A$500,0)),"")</f>
        <v>قطعة</v>
      </c>
      <c r="E903" s="41" t="n">
        <f aca="false">IFERROR(INDEX(المكونات!$C$2:$C$500,MATCH($B903,المكونات!$A$2:$A$500,0)),"")</f>
        <v>2</v>
      </c>
      <c r="F903" s="42" t="n">
        <f aca="false">IFERROR($C903*$E903,"")</f>
        <v>2</v>
      </c>
    </row>
    <row r="904" customFormat="false" ht="15" hidden="false" customHeight="true" outlineLevel="0" collapsed="false">
      <c r="A904" s="39" t="s">
        <v>386</v>
      </c>
      <c r="B904" s="39" t="s">
        <v>225</v>
      </c>
      <c r="C904" s="39" t="n">
        <v>2</v>
      </c>
      <c r="D904" s="40" t="str">
        <f aca="false">IFERROR(INDEX(المكونات!$B$2:$B$500,MATCH($B904,المكونات!$A$2:$A$500,0)),"")</f>
        <v>قطعة</v>
      </c>
      <c r="E904" s="41" t="n">
        <f aca="false">IFERROR(INDEX(المكونات!$C$2:$C$500,MATCH($B904,المكونات!$A$2:$A$500,0)),"")</f>
        <v>0.3</v>
      </c>
      <c r="F904" s="42" t="n">
        <f aca="false">IFERROR($C904*$E904,"")</f>
        <v>0.6</v>
      </c>
    </row>
    <row r="905" customFormat="false" ht="15" hidden="false" customHeight="true" outlineLevel="0" collapsed="false">
      <c r="A905" s="39" t="s">
        <v>374</v>
      </c>
      <c r="B905" s="39" t="s">
        <v>80</v>
      </c>
      <c r="C905" s="39" t="n">
        <v>1.5</v>
      </c>
      <c r="D905" s="40" t="str">
        <f aca="false">IFERROR(INDEX(المكونات!$B$2:$B$500,MATCH($B905,المكونات!$A$2:$A$500,0)),"")</f>
        <v>قطعة</v>
      </c>
      <c r="E905" s="41" t="n">
        <f aca="false">IFERROR(INDEX(المكونات!$C$2:$C$500,MATCH($B905,المكونات!$A$2:$A$500,0)),"")</f>
        <v>5.65</v>
      </c>
      <c r="F905" s="42" t="n">
        <f aca="false">IFERROR($C905*$E905,"")</f>
        <v>8.475</v>
      </c>
    </row>
    <row r="906" customFormat="false" ht="15" hidden="false" customHeight="true" outlineLevel="0" collapsed="false">
      <c r="A906" s="39" t="s">
        <v>374</v>
      </c>
      <c r="B906" s="39" t="s">
        <v>209</v>
      </c>
      <c r="C906" s="39" t="n">
        <v>1</v>
      </c>
      <c r="D906" s="40" t="str">
        <f aca="false">IFERROR(INDEX(المكونات!$B$2:$B$500,MATCH($B906,المكونات!$A$2:$A$500,0)),"")</f>
        <v>قطعة</v>
      </c>
      <c r="E906" s="41" t="n">
        <f aca="false">IFERROR(INDEX(المكونات!$C$2:$C$500,MATCH($B906,المكونات!$A$2:$A$500,0)),"")</f>
        <v>1.7</v>
      </c>
      <c r="F906" s="42" t="n">
        <f aca="false">IFERROR($C906*$E906,"")</f>
        <v>1.7</v>
      </c>
    </row>
    <row r="907" customFormat="false" ht="15" hidden="false" customHeight="true" outlineLevel="0" collapsed="false">
      <c r="A907" s="39" t="s">
        <v>374</v>
      </c>
      <c r="B907" s="39" t="s">
        <v>225</v>
      </c>
      <c r="C907" s="39" t="n">
        <v>1</v>
      </c>
      <c r="D907" s="40" t="str">
        <f aca="false">IFERROR(INDEX(المكونات!$B$2:$B$500,MATCH($B907,المكونات!$A$2:$A$500,0)),"")</f>
        <v>قطعة</v>
      </c>
      <c r="E907" s="41" t="n">
        <f aca="false">IFERROR(INDEX(المكونات!$C$2:$C$500,MATCH($B907,المكونات!$A$2:$A$500,0)),"")</f>
        <v>0.3</v>
      </c>
      <c r="F907" s="42" t="n">
        <f aca="false">IFERROR($C907*$E907,"")</f>
        <v>0.3</v>
      </c>
    </row>
    <row r="908" customFormat="false" ht="15" hidden="false" customHeight="true" outlineLevel="0" collapsed="false">
      <c r="A908" s="39" t="s">
        <v>374</v>
      </c>
      <c r="B908" s="39" t="s">
        <v>194</v>
      </c>
      <c r="C908" s="39" t="n">
        <v>0.05</v>
      </c>
      <c r="D908" s="40" t="str">
        <f aca="false">IFERROR(INDEX(المكونات!$B$2:$B$500,MATCH($B908,المكونات!$A$2:$A$500,0)),"")</f>
        <v>كجم</v>
      </c>
      <c r="E908" s="41" t="n">
        <f aca="false">IFERROR(INDEX(المكونات!$C$2:$C$500,MATCH($B908,المكونات!$A$2:$A$500,0)),"")</f>
        <v>140</v>
      </c>
      <c r="F908" s="42" t="n">
        <f aca="false">IFERROR($C908*$E908,"")</f>
        <v>7</v>
      </c>
    </row>
    <row r="909" customFormat="false" ht="15" hidden="false" customHeight="true" outlineLevel="0" collapsed="false">
      <c r="A909" s="39" t="s">
        <v>370</v>
      </c>
      <c r="B909" s="39" t="s">
        <v>80</v>
      </c>
      <c r="C909" s="39" t="n">
        <v>3</v>
      </c>
      <c r="D909" s="40" t="str">
        <f aca="false">IFERROR(INDEX(المكونات!$B$2:$B$500,MATCH($B909,المكونات!$A$2:$A$500,0)),"")</f>
        <v>قطعة</v>
      </c>
      <c r="E909" s="41" t="n">
        <f aca="false">IFERROR(INDEX(المكونات!$C$2:$C$500,MATCH($B909,المكونات!$A$2:$A$500,0)),"")</f>
        <v>5.65</v>
      </c>
      <c r="F909" s="42" t="n">
        <f aca="false">IFERROR($C909*$E909,"")</f>
        <v>16.95</v>
      </c>
    </row>
    <row r="910" customFormat="false" ht="15" hidden="false" customHeight="true" outlineLevel="0" collapsed="false">
      <c r="A910" s="39" t="s">
        <v>370</v>
      </c>
      <c r="B910" s="39" t="s">
        <v>211</v>
      </c>
      <c r="C910" s="39" t="n">
        <v>1</v>
      </c>
      <c r="D910" s="40" t="str">
        <f aca="false">IFERROR(INDEX(المكونات!$B$2:$B$500,MATCH($B910,المكونات!$A$2:$A$500,0)),"")</f>
        <v>قطعة</v>
      </c>
      <c r="E910" s="41" t="n">
        <f aca="false">IFERROR(INDEX(المكونات!$C$2:$C$500,MATCH($B910,المكونات!$A$2:$A$500,0)),"")</f>
        <v>2</v>
      </c>
      <c r="F910" s="42" t="n">
        <f aca="false">IFERROR($C910*$E910,"")</f>
        <v>2</v>
      </c>
    </row>
    <row r="911" customFormat="false" ht="15" hidden="false" customHeight="true" outlineLevel="0" collapsed="false">
      <c r="A911" s="39" t="s">
        <v>370</v>
      </c>
      <c r="B911" s="39" t="s">
        <v>225</v>
      </c>
      <c r="C911" s="39" t="n">
        <v>2</v>
      </c>
      <c r="D911" s="40" t="str">
        <f aca="false">IFERROR(INDEX(المكونات!$B$2:$B$500,MATCH($B911,المكونات!$A$2:$A$500,0)),"")</f>
        <v>قطعة</v>
      </c>
      <c r="E911" s="41" t="n">
        <f aca="false">IFERROR(INDEX(المكونات!$C$2:$C$500,MATCH($B911,المكونات!$A$2:$A$500,0)),"")</f>
        <v>0.3</v>
      </c>
      <c r="F911" s="42" t="n">
        <f aca="false">IFERROR($C911*$E911,"")</f>
        <v>0.6</v>
      </c>
    </row>
    <row r="912" customFormat="false" ht="15" hidden="false" customHeight="true" outlineLevel="0" collapsed="false">
      <c r="A912" s="39" t="s">
        <v>370</v>
      </c>
      <c r="B912" s="39" t="s">
        <v>194</v>
      </c>
      <c r="C912" s="39" t="n">
        <v>0.1</v>
      </c>
      <c r="D912" s="40" t="str">
        <f aca="false">IFERROR(INDEX(المكونات!$B$2:$B$500,MATCH($B912,المكونات!$A$2:$A$500,0)),"")</f>
        <v>كجم</v>
      </c>
      <c r="E912" s="41" t="n">
        <f aca="false">IFERROR(INDEX(المكونات!$C$2:$C$500,MATCH($B912,المكونات!$A$2:$A$500,0)),"")</f>
        <v>140</v>
      </c>
      <c r="F912" s="42" t="n">
        <f aca="false">IFERROR($C912*$E912,"")</f>
        <v>14</v>
      </c>
    </row>
    <row r="913" customFormat="false" ht="15" hidden="false" customHeight="true" outlineLevel="0" collapsed="false">
      <c r="A913" s="39" t="s">
        <v>390</v>
      </c>
      <c r="B913" s="39" t="s">
        <v>200</v>
      </c>
      <c r="C913" s="39" t="n">
        <v>4</v>
      </c>
      <c r="D913" s="40" t="str">
        <f aca="false">IFERROR(INDEX(المكونات!$B$2:$B$500,MATCH($B913,المكونات!$A$2:$A$500,0)),"")</f>
        <v>قطعة</v>
      </c>
      <c r="E913" s="41" t="n">
        <f aca="false">IFERROR(INDEX(المكونات!$C$2:$C$500,MATCH($B913,المكونات!$A$2:$A$500,0)),"")</f>
        <v>4</v>
      </c>
      <c r="F913" s="42" t="n">
        <f aca="false">IFERROR($C913*$E913,"")</f>
        <v>16</v>
      </c>
    </row>
    <row r="914" customFormat="false" ht="15" hidden="false" customHeight="true" outlineLevel="0" collapsed="false">
      <c r="A914" s="39" t="s">
        <v>390</v>
      </c>
      <c r="B914" s="39" t="s">
        <v>167</v>
      </c>
      <c r="C914" s="39" t="n">
        <v>0.03</v>
      </c>
      <c r="D914" s="40" t="str">
        <f aca="false">IFERROR(INDEX(المكونات!$B$2:$B$500,MATCH($B914,المكونات!$A$2:$A$500,0)),"")</f>
        <v>كجم</v>
      </c>
      <c r="E914" s="41" t="n">
        <f aca="false">IFERROR(INDEX(المكونات!$C$2:$C$500,MATCH($B914,المكونات!$A$2:$A$500,0)),"")</f>
        <v>380</v>
      </c>
      <c r="F914" s="42" t="n">
        <f aca="false">IFERROR($C914*$E914,"")</f>
        <v>11.4</v>
      </c>
    </row>
    <row r="915" customFormat="false" ht="15" hidden="false" customHeight="true" outlineLevel="0" collapsed="false">
      <c r="A915" s="39" t="s">
        <v>390</v>
      </c>
      <c r="B915" s="39" t="s">
        <v>154</v>
      </c>
      <c r="C915" s="39" t="n">
        <v>0.05</v>
      </c>
      <c r="D915" s="40" t="str">
        <f aca="false">IFERROR(INDEX(المكونات!$B$2:$B$500,MATCH($B915,المكونات!$A$2:$A$500,0)),"")</f>
        <v>كجم</v>
      </c>
      <c r="E915" s="41" t="n">
        <f aca="false">IFERROR(INDEX(المكونات!$C$2:$C$500,MATCH($B915,المكونات!$A$2:$A$500,0)),"")</f>
        <v>120</v>
      </c>
      <c r="F915" s="42" t="n">
        <f aca="false">IFERROR($C915*$E915,"")</f>
        <v>6</v>
      </c>
    </row>
    <row r="916" customFormat="false" ht="26.25" hidden="false" customHeight="true" outlineLevel="0" collapsed="false">
      <c r="A916" s="39" t="s">
        <v>390</v>
      </c>
      <c r="B916" s="39" t="s">
        <v>126</v>
      </c>
      <c r="C916" s="39" t="n">
        <v>1</v>
      </c>
      <c r="D916" s="40" t="str">
        <f aca="false">IFERROR(INDEX(المكونات!$B$2:$B$500,MATCH($B916,المكونات!$A$2:$A$500,0)),"")</f>
        <v>قطعة (لفة استخدام)</v>
      </c>
      <c r="E916" s="41" t="n">
        <f aca="false">IFERROR(INDEX(المكونات!$C$2:$C$500,MATCH($B916,المكونات!$A$2:$A$500,0)),"")</f>
        <v>3.566</v>
      </c>
      <c r="F916" s="42" t="n">
        <f aca="false">IFERROR($C916*$E916,"")</f>
        <v>3.566</v>
      </c>
    </row>
    <row r="917" customFormat="false" ht="15" hidden="false" customHeight="true" outlineLevel="0" collapsed="false">
      <c r="A917" s="39" t="s">
        <v>390</v>
      </c>
      <c r="B917" s="39" t="s">
        <v>213</v>
      </c>
      <c r="C917" s="39" t="n">
        <v>1</v>
      </c>
      <c r="D917" s="40" t="str">
        <f aca="false">IFERROR(INDEX(المكونات!$B$2:$B$500,MATCH($B917,المكونات!$A$2:$A$500,0)),"")</f>
        <v>قطعة</v>
      </c>
      <c r="E917" s="41" t="n">
        <f aca="false">IFERROR(INDEX(المكونات!$C$2:$C$500,MATCH($B917,المكونات!$A$2:$A$500,0)),"")</f>
        <v>3.1</v>
      </c>
      <c r="F917" s="42" t="n">
        <f aca="false">IFERROR($C917*$E917,"")</f>
        <v>3.1</v>
      </c>
    </row>
    <row r="918" customFormat="false" ht="15" hidden="false" customHeight="true" outlineLevel="0" collapsed="false">
      <c r="A918" s="39" t="s">
        <v>390</v>
      </c>
      <c r="B918" s="39" t="s">
        <v>178</v>
      </c>
      <c r="C918" s="39" t="n">
        <v>1</v>
      </c>
      <c r="D918" s="40" t="str">
        <f aca="false">IFERROR(INDEX(المكونات!$B$2:$B$500,MATCH($B918,المكونات!$A$2:$A$500,0)),"")</f>
        <v>قطعة</v>
      </c>
      <c r="E918" s="41" t="n">
        <f aca="false">IFERROR(INDEX(المكونات!$C$2:$C$500,MATCH($B918,المكونات!$A$2:$A$500,0)),"")</f>
        <v>0.3</v>
      </c>
      <c r="F918" s="42" t="n">
        <f aca="false">IFERROR($C918*$E918,"")</f>
        <v>0.3</v>
      </c>
    </row>
    <row r="919" customFormat="false" ht="15" hidden="false" customHeight="true" outlineLevel="0" collapsed="false">
      <c r="A919" s="39" t="s">
        <v>390</v>
      </c>
      <c r="B919" s="39" t="s">
        <v>70</v>
      </c>
      <c r="C919" s="39" t="n">
        <v>1</v>
      </c>
      <c r="D919" s="40" t="str">
        <f aca="false">IFERROR(INDEX(المكونات!$B$2:$B$500,MATCH($B919,المكونات!$A$2:$A$500,0)),"")</f>
        <v>قطعة (كيس)</v>
      </c>
      <c r="E919" s="41" t="n">
        <f aca="false">IFERROR(INDEX(المكونات!$C$2:$C$500,MATCH($B919,المكونات!$A$2:$A$500,0)),"")</f>
        <v>1.4</v>
      </c>
      <c r="F919" s="42" t="n">
        <f aca="false">IFERROR($C919*$E919,"")</f>
        <v>1.4</v>
      </c>
    </row>
    <row r="920" customFormat="false" ht="15" hidden="false" customHeight="true" outlineLevel="0" collapsed="false">
      <c r="A920" s="39" t="s">
        <v>398</v>
      </c>
      <c r="B920" s="39" t="s">
        <v>200</v>
      </c>
      <c r="C920" s="39" t="n">
        <v>6</v>
      </c>
      <c r="D920" s="40" t="str">
        <f aca="false">IFERROR(INDEX(المكونات!$B$2:$B$500,MATCH($B920,المكونات!$A$2:$A$500,0)),"")</f>
        <v>قطعة</v>
      </c>
      <c r="E920" s="41" t="n">
        <f aca="false">IFERROR(INDEX(المكونات!$C$2:$C$500,MATCH($B920,المكونات!$A$2:$A$500,0)),"")</f>
        <v>4</v>
      </c>
      <c r="F920" s="42" t="n">
        <f aca="false">IFERROR($C920*$E920,"")</f>
        <v>24</v>
      </c>
    </row>
    <row r="921" customFormat="false" ht="15" hidden="false" customHeight="true" outlineLevel="0" collapsed="false">
      <c r="A921" s="39" t="s">
        <v>398</v>
      </c>
      <c r="B921" s="39" t="s">
        <v>167</v>
      </c>
      <c r="C921" s="39" t="n">
        <v>0.05</v>
      </c>
      <c r="D921" s="40" t="str">
        <f aca="false">IFERROR(INDEX(المكونات!$B$2:$B$500,MATCH($B921,المكونات!$A$2:$A$500,0)),"")</f>
        <v>كجم</v>
      </c>
      <c r="E921" s="41" t="n">
        <f aca="false">IFERROR(INDEX(المكونات!$C$2:$C$500,MATCH($B921,المكونات!$A$2:$A$500,0)),"")</f>
        <v>380</v>
      </c>
      <c r="F921" s="42" t="n">
        <f aca="false">IFERROR($C921*$E921,"")</f>
        <v>19</v>
      </c>
    </row>
    <row r="922" customFormat="false" ht="15" hidden="false" customHeight="true" outlineLevel="0" collapsed="false">
      <c r="A922" s="39" t="s">
        <v>398</v>
      </c>
      <c r="B922" s="39" t="s">
        <v>154</v>
      </c>
      <c r="C922" s="39" t="n">
        <v>0.1</v>
      </c>
      <c r="D922" s="40" t="str">
        <f aca="false">IFERROR(INDEX(المكونات!$B$2:$B$500,MATCH($B922,المكونات!$A$2:$A$500,0)),"")</f>
        <v>كجم</v>
      </c>
      <c r="E922" s="41" t="n">
        <f aca="false">IFERROR(INDEX(المكونات!$C$2:$C$500,MATCH($B922,المكونات!$A$2:$A$500,0)),"")</f>
        <v>120</v>
      </c>
      <c r="F922" s="42" t="n">
        <f aca="false">IFERROR($C922*$E922,"")</f>
        <v>12</v>
      </c>
    </row>
    <row r="923" customFormat="false" ht="26.25" hidden="false" customHeight="true" outlineLevel="0" collapsed="false">
      <c r="A923" s="39" t="s">
        <v>398</v>
      </c>
      <c r="B923" s="39" t="s">
        <v>126</v>
      </c>
      <c r="C923" s="39" t="n">
        <v>1</v>
      </c>
      <c r="D923" s="40" t="str">
        <f aca="false">IFERROR(INDEX(المكونات!$B$2:$B$500,MATCH($B923,المكونات!$A$2:$A$500,0)),"")</f>
        <v>قطعة (لفة استخدام)</v>
      </c>
      <c r="E923" s="41" t="n">
        <f aca="false">IFERROR(INDEX(المكونات!$C$2:$C$500,MATCH($B923,المكونات!$A$2:$A$500,0)),"")</f>
        <v>3.566</v>
      </c>
      <c r="F923" s="42" t="n">
        <f aca="false">IFERROR($C923*$E923,"")</f>
        <v>3.566</v>
      </c>
    </row>
    <row r="924" customFormat="false" ht="15" hidden="false" customHeight="true" outlineLevel="0" collapsed="false">
      <c r="A924" s="39" t="s">
        <v>398</v>
      </c>
      <c r="B924" s="39" t="s">
        <v>213</v>
      </c>
      <c r="C924" s="39" t="n">
        <v>1</v>
      </c>
      <c r="D924" s="40" t="str">
        <f aca="false">IFERROR(INDEX(المكونات!$B$2:$B$500,MATCH($B924,المكونات!$A$2:$A$500,0)),"")</f>
        <v>قطعة</v>
      </c>
      <c r="E924" s="41" t="n">
        <f aca="false">IFERROR(INDEX(المكونات!$C$2:$C$500,MATCH($B924,المكونات!$A$2:$A$500,0)),"")</f>
        <v>3.1</v>
      </c>
      <c r="F924" s="42" t="n">
        <f aca="false">IFERROR($C924*$E924,"")</f>
        <v>3.1</v>
      </c>
    </row>
    <row r="925" customFormat="false" ht="15" hidden="false" customHeight="true" outlineLevel="0" collapsed="false">
      <c r="A925" s="39" t="s">
        <v>398</v>
      </c>
      <c r="B925" s="39" t="s">
        <v>178</v>
      </c>
      <c r="C925" s="39" t="n">
        <v>1</v>
      </c>
      <c r="D925" s="40" t="str">
        <f aca="false">IFERROR(INDEX(المكونات!$B$2:$B$500,MATCH($B925,المكونات!$A$2:$A$500,0)),"")</f>
        <v>قطعة</v>
      </c>
      <c r="E925" s="41" t="n">
        <f aca="false">IFERROR(INDEX(المكونات!$C$2:$C$500,MATCH($B925,المكونات!$A$2:$A$500,0)),"")</f>
        <v>0.3</v>
      </c>
      <c r="F925" s="42" t="n">
        <f aca="false">IFERROR($C925*$E925,"")</f>
        <v>0.3</v>
      </c>
    </row>
    <row r="926" customFormat="false" ht="15" hidden="false" customHeight="true" outlineLevel="0" collapsed="false">
      <c r="A926" s="39" t="s">
        <v>398</v>
      </c>
      <c r="B926" s="39" t="s">
        <v>70</v>
      </c>
      <c r="C926" s="39" t="n">
        <v>1</v>
      </c>
      <c r="D926" s="40" t="str">
        <f aca="false">IFERROR(INDEX(المكونات!$B$2:$B$500,MATCH($B926,المكونات!$A$2:$A$500,0)),"")</f>
        <v>قطعة (كيس)</v>
      </c>
      <c r="E926" s="41" t="n">
        <f aca="false">IFERROR(INDEX(المكونات!$C$2:$C$500,MATCH($B926,المكونات!$A$2:$A$500,0)),"")</f>
        <v>1.4</v>
      </c>
      <c r="F926" s="42" t="n">
        <f aca="false">IFERROR($C926*$E926,"")</f>
        <v>1.4</v>
      </c>
    </row>
    <row r="927" customFormat="false" ht="15" hidden="false" customHeight="true" outlineLevel="0" collapsed="false">
      <c r="A927" s="39" t="s">
        <v>404</v>
      </c>
      <c r="B927" s="39" t="s">
        <v>200</v>
      </c>
      <c r="C927" s="39" t="n">
        <v>9</v>
      </c>
      <c r="D927" s="40" t="str">
        <f aca="false">IFERROR(INDEX(المكونات!$B$2:$B$500,MATCH($B927,المكونات!$A$2:$A$500,0)),"")</f>
        <v>قطعة</v>
      </c>
      <c r="E927" s="41" t="n">
        <f aca="false">IFERROR(INDEX(المكونات!$C$2:$C$500,MATCH($B927,المكونات!$A$2:$A$500,0)),"")</f>
        <v>4</v>
      </c>
      <c r="F927" s="42" t="n">
        <f aca="false">IFERROR($C927*$E927,"")</f>
        <v>36</v>
      </c>
    </row>
    <row r="928" customFormat="false" ht="15" hidden="false" customHeight="true" outlineLevel="0" collapsed="false">
      <c r="A928" s="39" t="s">
        <v>404</v>
      </c>
      <c r="B928" s="39" t="s">
        <v>167</v>
      </c>
      <c r="C928" s="39" t="n">
        <v>0.07</v>
      </c>
      <c r="D928" s="40" t="str">
        <f aca="false">IFERROR(INDEX(المكونات!$B$2:$B$500,MATCH($B928,المكونات!$A$2:$A$500,0)),"")</f>
        <v>كجم</v>
      </c>
      <c r="E928" s="41" t="n">
        <f aca="false">IFERROR(INDEX(المكونات!$C$2:$C$500,MATCH($B928,المكونات!$A$2:$A$500,0)),"")</f>
        <v>380</v>
      </c>
      <c r="F928" s="42" t="n">
        <f aca="false">IFERROR($C928*$E928,"")</f>
        <v>26.6</v>
      </c>
    </row>
    <row r="929" customFormat="false" ht="15" hidden="false" customHeight="true" outlineLevel="0" collapsed="false">
      <c r="A929" s="39" t="s">
        <v>404</v>
      </c>
      <c r="B929" s="39" t="s">
        <v>154</v>
      </c>
      <c r="C929" s="39" t="n">
        <v>0.15</v>
      </c>
      <c r="D929" s="40" t="str">
        <f aca="false">IFERROR(INDEX(المكونات!$B$2:$B$500,MATCH($B929,المكونات!$A$2:$A$500,0)),"")</f>
        <v>كجم</v>
      </c>
      <c r="E929" s="41" t="n">
        <f aca="false">IFERROR(INDEX(المكونات!$C$2:$C$500,MATCH($B929,المكونات!$A$2:$A$500,0)),"")</f>
        <v>120</v>
      </c>
      <c r="F929" s="42" t="n">
        <f aca="false">IFERROR($C929*$E929,"")</f>
        <v>18</v>
      </c>
    </row>
    <row r="930" customFormat="false" ht="26.25" hidden="false" customHeight="true" outlineLevel="0" collapsed="false">
      <c r="A930" s="39" t="s">
        <v>404</v>
      </c>
      <c r="B930" s="39" t="s">
        <v>126</v>
      </c>
      <c r="C930" s="39" t="n">
        <v>1</v>
      </c>
      <c r="D930" s="40" t="str">
        <f aca="false">IFERROR(INDEX(المكونات!$B$2:$B$500,MATCH($B930,المكونات!$A$2:$A$500,0)),"")</f>
        <v>قطعة (لفة استخدام)</v>
      </c>
      <c r="E930" s="41" t="n">
        <f aca="false">IFERROR(INDEX(المكونات!$C$2:$C$500,MATCH($B930,المكونات!$A$2:$A$500,0)),"")</f>
        <v>3.566</v>
      </c>
      <c r="F930" s="42" t="n">
        <f aca="false">IFERROR($C930*$E930,"")</f>
        <v>3.566</v>
      </c>
    </row>
    <row r="931" customFormat="false" ht="15" hidden="false" customHeight="true" outlineLevel="0" collapsed="false">
      <c r="A931" s="39" t="s">
        <v>404</v>
      </c>
      <c r="B931" s="39" t="s">
        <v>213</v>
      </c>
      <c r="C931" s="39" t="n">
        <v>1</v>
      </c>
      <c r="D931" s="40" t="str">
        <f aca="false">IFERROR(INDEX(المكونات!$B$2:$B$500,MATCH($B931,المكونات!$A$2:$A$500,0)),"")</f>
        <v>قطعة</v>
      </c>
      <c r="E931" s="41" t="n">
        <f aca="false">IFERROR(INDEX(المكونات!$C$2:$C$500,MATCH($B931,المكونات!$A$2:$A$500,0)),"")</f>
        <v>3.1</v>
      </c>
      <c r="F931" s="42" t="n">
        <f aca="false">IFERROR($C931*$E931,"")</f>
        <v>3.1</v>
      </c>
    </row>
    <row r="932" customFormat="false" ht="15" hidden="false" customHeight="true" outlineLevel="0" collapsed="false">
      <c r="A932" s="39" t="s">
        <v>404</v>
      </c>
      <c r="B932" s="39" t="s">
        <v>178</v>
      </c>
      <c r="C932" s="39" t="n">
        <v>1</v>
      </c>
      <c r="D932" s="40" t="str">
        <f aca="false">IFERROR(INDEX(المكونات!$B$2:$B$500,MATCH($B932,المكونات!$A$2:$A$500,0)),"")</f>
        <v>قطعة</v>
      </c>
      <c r="E932" s="41" t="n">
        <f aca="false">IFERROR(INDEX(المكونات!$C$2:$C$500,MATCH($B932,المكونات!$A$2:$A$500,0)),"")</f>
        <v>0.3</v>
      </c>
      <c r="F932" s="42" t="n">
        <f aca="false">IFERROR($C932*$E932,"")</f>
        <v>0.3</v>
      </c>
    </row>
    <row r="933" customFormat="false" ht="15" hidden="false" customHeight="true" outlineLevel="0" collapsed="false">
      <c r="A933" s="39" t="s">
        <v>404</v>
      </c>
      <c r="B933" s="39" t="s">
        <v>70</v>
      </c>
      <c r="C933" s="39" t="n">
        <v>1</v>
      </c>
      <c r="D933" s="40" t="str">
        <f aca="false">IFERROR(INDEX(المكونات!$B$2:$B$500,MATCH($B933,المكونات!$A$2:$A$500,0)),"")</f>
        <v>قطعة (كيس)</v>
      </c>
      <c r="E933" s="41" t="n">
        <f aca="false">IFERROR(INDEX(المكونات!$C$2:$C$500,MATCH($B933,المكونات!$A$2:$A$500,0)),"")</f>
        <v>1.4</v>
      </c>
      <c r="F933" s="42" t="n">
        <f aca="false">IFERROR($C933*$E933,"")</f>
        <v>1.4</v>
      </c>
    </row>
    <row r="934" customFormat="false" ht="15" hidden="false" customHeight="true" outlineLevel="0" collapsed="false">
      <c r="A934" s="39" t="s">
        <v>401</v>
      </c>
      <c r="B934" s="39" t="s">
        <v>198</v>
      </c>
      <c r="C934" s="39" t="n">
        <v>0.22</v>
      </c>
      <c r="D934" s="40" t="str">
        <f aca="false">IFERROR(INDEX(المكونات!$B$2:$B$500,MATCH($B934,المكونات!$A$2:$A$500,0)),"")</f>
        <v>كجم</v>
      </c>
      <c r="E934" s="41" t="n">
        <f aca="false">IFERROR(INDEX(المكونات!$C$2:$C$500,MATCH($B934,المكونات!$A$2:$A$500,0)),"")</f>
        <v>22</v>
      </c>
      <c r="F934" s="42" t="n">
        <f aca="false">IFERROR($C934*$E934,"")</f>
        <v>4.84</v>
      </c>
    </row>
    <row r="935" customFormat="false" ht="15" hidden="false" customHeight="true" outlineLevel="0" collapsed="false">
      <c r="A935" s="39" t="s">
        <v>401</v>
      </c>
      <c r="B935" s="39" t="s">
        <v>186</v>
      </c>
      <c r="C935" s="39" t="n">
        <v>0.04</v>
      </c>
      <c r="D935" s="40" t="str">
        <f aca="false">IFERROR(INDEX(المكونات!$B$2:$B$500,MATCH($B935,المكونات!$A$2:$A$500,0)),"")</f>
        <v>كجم</v>
      </c>
      <c r="E935" s="41" t="n">
        <f aca="false">IFERROR(INDEX(المكونات!$C$2:$C$500,MATCH($B935,المكونات!$A$2:$A$500,0)),"")</f>
        <v>32</v>
      </c>
      <c r="F935" s="42" t="n">
        <f aca="false">IFERROR($C935*$E935,"")</f>
        <v>1.28</v>
      </c>
    </row>
    <row r="936" customFormat="false" ht="15" hidden="false" customHeight="true" outlineLevel="0" collapsed="false">
      <c r="A936" s="39" t="s">
        <v>401</v>
      </c>
      <c r="B936" s="39" t="s">
        <v>196</v>
      </c>
      <c r="C936" s="39" t="n">
        <v>0.03</v>
      </c>
      <c r="D936" s="40" t="str">
        <f aca="false">IFERROR(INDEX(المكونات!$B$2:$B$500,MATCH($B936,المكونات!$A$2:$A$500,0)),"")</f>
        <v>كجم</v>
      </c>
      <c r="E936" s="41" t="n">
        <f aca="false">IFERROR(INDEX(المكونات!$C$2:$C$500,MATCH($B936,المكونات!$A$2:$A$500,0)),"")</f>
        <v>21</v>
      </c>
      <c r="F936" s="42" t="n">
        <f aca="false">IFERROR($C936*$E936,"")</f>
        <v>0.63</v>
      </c>
    </row>
    <row r="937" customFormat="false" ht="15" hidden="false" customHeight="true" outlineLevel="0" collapsed="false">
      <c r="A937" s="39" t="s">
        <v>401</v>
      </c>
      <c r="B937" s="39" t="s">
        <v>219</v>
      </c>
      <c r="C937" s="39" t="n">
        <v>0.02</v>
      </c>
      <c r="D937" s="40" t="str">
        <f aca="false">IFERROR(INDEX(المكونات!$B$2:$B$500,MATCH($B937,المكونات!$A$2:$A$500,0)),"")</f>
        <v>كجم</v>
      </c>
      <c r="E937" s="41" t="n">
        <f aca="false">IFERROR(INDEX(المكونات!$C$2:$C$500,MATCH($B937,المكونات!$A$2:$A$500,0)),"")</f>
        <v>27</v>
      </c>
      <c r="F937" s="42" t="n">
        <f aca="false">IFERROR($C937*$E937,"")</f>
        <v>0.54</v>
      </c>
    </row>
    <row r="938" customFormat="false" ht="15" hidden="false" customHeight="true" outlineLevel="0" collapsed="false">
      <c r="A938" s="39" t="s">
        <v>401</v>
      </c>
      <c r="B938" s="39" t="s">
        <v>162</v>
      </c>
      <c r="C938" s="39" t="n">
        <v>0.02</v>
      </c>
      <c r="D938" s="40" t="str">
        <f aca="false">IFERROR(INDEX(المكونات!$B$2:$B$500,MATCH($B938,المكونات!$A$2:$A$500,0)),"")</f>
        <v>كجم</v>
      </c>
      <c r="E938" s="41" t="n">
        <f aca="false">IFERROR(INDEX(المكونات!$C$2:$C$500,MATCH($B938,المكونات!$A$2:$A$500,0)),"")</f>
        <v>95</v>
      </c>
      <c r="F938" s="42" t="n">
        <f aca="false">IFERROR($C938*$E938,"")</f>
        <v>1.9</v>
      </c>
    </row>
    <row r="939" customFormat="false" ht="15" hidden="false" customHeight="true" outlineLevel="0" collapsed="false">
      <c r="A939" s="39" t="s">
        <v>401</v>
      </c>
      <c r="B939" s="39" t="s">
        <v>110</v>
      </c>
      <c r="C939" s="39" t="n">
        <v>1</v>
      </c>
      <c r="D939" s="40" t="str">
        <f aca="false">IFERROR(INDEX(المكونات!$B$2:$B$500,MATCH($B939,المكونات!$A$2:$A$500,0)),"")</f>
        <v>قطعة</v>
      </c>
      <c r="E939" s="41" t="n">
        <f aca="false">IFERROR(INDEX(المكونات!$C$2:$C$500,MATCH($B939,المكونات!$A$2:$A$500,0)),"")</f>
        <v>17.5</v>
      </c>
      <c r="F939" s="42" t="n">
        <f aca="false">IFERROR($C939*$E939,"")</f>
        <v>17.5</v>
      </c>
    </row>
    <row r="940" customFormat="false" ht="15" hidden="false" customHeight="true" outlineLevel="0" collapsed="false">
      <c r="A940" s="39" t="s">
        <v>401</v>
      </c>
      <c r="B940" s="39" t="s">
        <v>206</v>
      </c>
      <c r="C940" s="39" t="n">
        <v>1</v>
      </c>
      <c r="D940" s="40" t="str">
        <f aca="false">IFERROR(INDEX(المكونات!$B$2:$B$500,MATCH($B940,المكونات!$A$2:$A$500,0)),"")</f>
        <v>قطعة</v>
      </c>
      <c r="E940" s="41" t="n">
        <f aca="false">IFERROR(INDEX(المكونات!$C$2:$C$500,MATCH($B940,المكونات!$A$2:$A$500,0)),"")</f>
        <v>4.5</v>
      </c>
      <c r="F940" s="42" t="n">
        <f aca="false">IFERROR($C940*$E940,"")</f>
        <v>4.5</v>
      </c>
    </row>
    <row r="941" customFormat="false" ht="15" hidden="false" customHeight="true" outlineLevel="0" collapsed="false">
      <c r="A941" s="39" t="s">
        <v>401</v>
      </c>
      <c r="B941" s="39" t="s">
        <v>225</v>
      </c>
      <c r="C941" s="39" t="n">
        <v>2</v>
      </c>
      <c r="D941" s="40" t="str">
        <f aca="false">IFERROR(INDEX(المكونات!$B$2:$B$500,MATCH($B941,المكونات!$A$2:$A$500,0)),"")</f>
        <v>قطعة</v>
      </c>
      <c r="E941" s="41" t="n">
        <f aca="false">IFERROR(INDEX(المكونات!$C$2:$C$500,MATCH($B941,المكونات!$A$2:$A$500,0)),"")</f>
        <v>0.3</v>
      </c>
      <c r="F941" s="42" t="n">
        <f aca="false">IFERROR($C941*$E941,"")</f>
        <v>0.6</v>
      </c>
    </row>
    <row r="942" customFormat="false" ht="15" hidden="false" customHeight="true" outlineLevel="0" collapsed="false">
      <c r="A942" s="39" t="s">
        <v>401</v>
      </c>
      <c r="B942" s="39" t="s">
        <v>254</v>
      </c>
      <c r="C942" s="39" t="n">
        <v>1</v>
      </c>
      <c r="D942" s="40" t="str">
        <f aca="false">IFERROR(INDEX(المكونات!$B$2:$B$500,MATCH($B942,المكونات!$A$2:$A$500,0)),"")</f>
        <v>قطعة (ورقة)</v>
      </c>
      <c r="E942" s="41" t="n">
        <f aca="false">IFERROR(INDEX(المكونات!$C$2:$C$500,MATCH($B942,المكونات!$A$2:$A$500,0)),"")</f>
        <v>0.3665</v>
      </c>
      <c r="F942" s="42" t="n">
        <f aca="false">IFERROR($C942*$E942,"")</f>
        <v>0.3665</v>
      </c>
    </row>
    <row r="943" customFormat="false" ht="15" hidden="false" customHeight="true" outlineLevel="0" collapsed="false">
      <c r="A943" s="39" t="s">
        <v>401</v>
      </c>
      <c r="B943" s="39" t="s">
        <v>67</v>
      </c>
      <c r="C943" s="39" t="n">
        <v>1</v>
      </c>
      <c r="D943" s="40" t="str">
        <f aca="false">IFERROR(INDEX(المكونات!$B$2:$B$500,MATCH($B943,المكونات!$A$2:$A$500,0)),"")</f>
        <v>قطعة (كيس)</v>
      </c>
      <c r="E943" s="41" t="n">
        <f aca="false">IFERROR(INDEX(المكونات!$C$2:$C$500,MATCH($B943,المكونات!$A$2:$A$500,0)),"")</f>
        <v>1.4</v>
      </c>
      <c r="F943" s="42" t="n">
        <f aca="false">IFERROR($C943*$E943,"")</f>
        <v>1.4</v>
      </c>
    </row>
    <row r="944" customFormat="false" ht="15" hidden="false" customHeight="true" outlineLevel="0" collapsed="false">
      <c r="A944" s="39" t="s">
        <v>401</v>
      </c>
      <c r="B944" s="39" t="s">
        <v>228</v>
      </c>
      <c r="C944" s="39" t="n">
        <v>1</v>
      </c>
      <c r="D944" s="40" t="str">
        <f aca="false">IFERROR(INDEX(المكونات!$B$2:$B$500,MATCH($B944,المكونات!$A$2:$A$500,0)),"")</f>
        <v>قطعة</v>
      </c>
      <c r="E944" s="41" t="n">
        <f aca="false">IFERROR(INDEX(المكونات!$C$2:$C$500,MATCH($B944,المكونات!$A$2:$A$500,0)),"")</f>
        <v>0.5</v>
      </c>
      <c r="F944" s="42" t="n">
        <f aca="false">IFERROR($C944*$E944,"")</f>
        <v>0.5</v>
      </c>
    </row>
    <row r="945" customFormat="false" ht="15" hidden="false" customHeight="true" outlineLevel="0" collapsed="false">
      <c r="A945" s="39" t="s">
        <v>401</v>
      </c>
      <c r="B945" s="39" t="s">
        <v>145</v>
      </c>
      <c r="C945" s="39" t="n">
        <v>2</v>
      </c>
      <c r="D945" s="40" t="str">
        <f aca="false">IFERROR(INDEX(المكونات!$B$2:$B$500,MATCH($B945,المكونات!$A$2:$A$500,0)),"")</f>
        <v>قطعة (جلفز)</v>
      </c>
      <c r="E945" s="41" t="n">
        <f aca="false">IFERROR(INDEX(المكونات!$C$2:$C$500,MATCH($B945,المكونات!$A$2:$A$500,0)),"")</f>
        <v>0.18</v>
      </c>
      <c r="F945" s="42" t="n">
        <f aca="false">IFERROR($C945*$E945,"")</f>
        <v>0.36</v>
      </c>
    </row>
    <row r="946" customFormat="false" ht="15" hidden="false" customHeight="true" outlineLevel="0" collapsed="false">
      <c r="A946" s="39" t="s">
        <v>401</v>
      </c>
      <c r="B946" s="39" t="s">
        <v>257</v>
      </c>
      <c r="C946" s="39" t="n">
        <v>1</v>
      </c>
      <c r="D946" s="40" t="str">
        <f aca="false">IFERROR(INDEX(المكونات!$B$2:$B$500,MATCH($B946,المكونات!$A$2:$A$500,0)),"")</f>
        <v>قطعة (كيس)</v>
      </c>
      <c r="E946" s="41" t="n">
        <f aca="false">IFERROR(INDEX(المكونات!$C$2:$C$500,MATCH($B946,المكونات!$A$2:$A$500,0)),"")</f>
        <v>0.9995</v>
      </c>
      <c r="F946" s="42" t="n">
        <f aca="false">IFERROR($C946*$E946,"")</f>
        <v>0.9995</v>
      </c>
    </row>
    <row r="947" customFormat="false" ht="15" hidden="false" customHeight="true" outlineLevel="0" collapsed="false">
      <c r="A947" s="39" t="s">
        <v>427</v>
      </c>
      <c r="B947" s="39" t="s">
        <v>198</v>
      </c>
      <c r="C947" s="39" t="n">
        <v>0.3</v>
      </c>
      <c r="D947" s="40" t="str">
        <f aca="false">IFERROR(INDEX(المكونات!$B$2:$B$500,MATCH($B947,المكونات!$A$2:$A$500,0)),"")</f>
        <v>كجم</v>
      </c>
      <c r="E947" s="41" t="n">
        <f aca="false">IFERROR(INDEX(المكونات!$C$2:$C$500,MATCH($B947,المكونات!$A$2:$A$500,0)),"")</f>
        <v>22</v>
      </c>
      <c r="F947" s="42" t="n">
        <f aca="false">IFERROR($C947*$E947,"")</f>
        <v>6.6</v>
      </c>
    </row>
    <row r="948" customFormat="false" ht="15" hidden="false" customHeight="true" outlineLevel="0" collapsed="false">
      <c r="A948" s="39" t="s">
        <v>427</v>
      </c>
      <c r="B948" s="39" t="s">
        <v>186</v>
      </c>
      <c r="C948" s="39" t="n">
        <v>0.06</v>
      </c>
      <c r="D948" s="40" t="str">
        <f aca="false">IFERROR(INDEX(المكونات!$B$2:$B$500,MATCH($B948,المكونات!$A$2:$A$500,0)),"")</f>
        <v>كجم</v>
      </c>
      <c r="E948" s="41" t="n">
        <f aca="false">IFERROR(INDEX(المكونات!$C$2:$C$500,MATCH($B948,المكونات!$A$2:$A$500,0)),"")</f>
        <v>32</v>
      </c>
      <c r="F948" s="42" t="n">
        <f aca="false">IFERROR($C948*$E948,"")</f>
        <v>1.92</v>
      </c>
    </row>
    <row r="949" customFormat="false" ht="15" hidden="false" customHeight="true" outlineLevel="0" collapsed="false">
      <c r="A949" s="39" t="s">
        <v>427</v>
      </c>
      <c r="B949" s="39" t="s">
        <v>196</v>
      </c>
      <c r="C949" s="39" t="n">
        <v>0.045</v>
      </c>
      <c r="D949" s="40" t="str">
        <f aca="false">IFERROR(INDEX(المكونات!$B$2:$B$500,MATCH($B949,المكونات!$A$2:$A$500,0)),"")</f>
        <v>كجم</v>
      </c>
      <c r="E949" s="41" t="n">
        <f aca="false">IFERROR(INDEX(المكونات!$C$2:$C$500,MATCH($B949,المكونات!$A$2:$A$500,0)),"")</f>
        <v>21</v>
      </c>
      <c r="F949" s="42" t="n">
        <f aca="false">IFERROR($C949*$E949,"")</f>
        <v>0.945</v>
      </c>
    </row>
    <row r="950" customFormat="false" ht="15" hidden="false" customHeight="true" outlineLevel="0" collapsed="false">
      <c r="A950" s="39" t="s">
        <v>427</v>
      </c>
      <c r="B950" s="39" t="s">
        <v>219</v>
      </c>
      <c r="C950" s="39" t="n">
        <v>0.03</v>
      </c>
      <c r="D950" s="40" t="str">
        <f aca="false">IFERROR(INDEX(المكونات!$B$2:$B$500,MATCH($B950,المكونات!$A$2:$A$500,0)),"")</f>
        <v>كجم</v>
      </c>
      <c r="E950" s="41" t="n">
        <f aca="false">IFERROR(INDEX(المكونات!$C$2:$C$500,MATCH($B950,المكونات!$A$2:$A$500,0)),"")</f>
        <v>27</v>
      </c>
      <c r="F950" s="42" t="n">
        <f aca="false">IFERROR($C950*$E950,"")</f>
        <v>0.81</v>
      </c>
    </row>
    <row r="951" customFormat="false" ht="15" hidden="false" customHeight="true" outlineLevel="0" collapsed="false">
      <c r="A951" s="39" t="s">
        <v>427</v>
      </c>
      <c r="B951" s="39" t="s">
        <v>162</v>
      </c>
      <c r="C951" s="39" t="n">
        <v>0.03</v>
      </c>
      <c r="D951" s="40" t="str">
        <f aca="false">IFERROR(INDEX(المكونات!$B$2:$B$500,MATCH($B951,المكونات!$A$2:$A$500,0)),"")</f>
        <v>كجم</v>
      </c>
      <c r="E951" s="41" t="n">
        <f aca="false">IFERROR(INDEX(المكونات!$C$2:$C$500,MATCH($B951,المكونات!$A$2:$A$500,0)),"")</f>
        <v>95</v>
      </c>
      <c r="F951" s="42" t="n">
        <f aca="false">IFERROR($C951*$E951,"")</f>
        <v>2.85</v>
      </c>
    </row>
    <row r="952" customFormat="false" ht="15" hidden="false" customHeight="true" outlineLevel="0" collapsed="false">
      <c r="A952" s="39" t="s">
        <v>427</v>
      </c>
      <c r="B952" s="39" t="s">
        <v>112</v>
      </c>
      <c r="C952" s="39" t="n">
        <v>1</v>
      </c>
      <c r="D952" s="40" t="str">
        <f aca="false">IFERROR(INDEX(المكونات!$B$2:$B$500,MATCH($B952,المكونات!$A$2:$A$500,0)),"")</f>
        <v>قطعة</v>
      </c>
      <c r="E952" s="41" t="n">
        <f aca="false">IFERROR(INDEX(المكونات!$C$2:$C$500,MATCH($B952,المكونات!$A$2:$A$500,0)),"")</f>
        <v>25</v>
      </c>
      <c r="F952" s="42" t="n">
        <f aca="false">IFERROR($C952*$E952,"")</f>
        <v>25</v>
      </c>
    </row>
    <row r="953" customFormat="false" ht="15" hidden="false" customHeight="true" outlineLevel="0" collapsed="false">
      <c r="A953" s="39" t="s">
        <v>427</v>
      </c>
      <c r="B953" s="39" t="s">
        <v>204</v>
      </c>
      <c r="C953" s="39" t="n">
        <v>1</v>
      </c>
      <c r="D953" s="40" t="str">
        <f aca="false">IFERROR(INDEX(المكونات!$B$2:$B$500,MATCH($B953,المكونات!$A$2:$A$500,0)),"")</f>
        <v>قطعة</v>
      </c>
      <c r="E953" s="41" t="n">
        <f aca="false">IFERROR(INDEX(المكونات!$C$2:$C$500,MATCH($B953,المكونات!$A$2:$A$500,0)),"")</f>
        <v>5.5</v>
      </c>
      <c r="F953" s="42" t="n">
        <f aca="false">IFERROR($C953*$E953,"")</f>
        <v>5.5</v>
      </c>
    </row>
    <row r="954" customFormat="false" ht="15" hidden="false" customHeight="true" outlineLevel="0" collapsed="false">
      <c r="A954" s="39" t="s">
        <v>427</v>
      </c>
      <c r="B954" s="39" t="s">
        <v>225</v>
      </c>
      <c r="C954" s="39" t="n">
        <v>3</v>
      </c>
      <c r="D954" s="40" t="str">
        <f aca="false">IFERROR(INDEX(المكونات!$B$2:$B$500,MATCH($B954,المكونات!$A$2:$A$500,0)),"")</f>
        <v>قطعة</v>
      </c>
      <c r="E954" s="41" t="n">
        <f aca="false">IFERROR(INDEX(المكونات!$C$2:$C$500,MATCH($B954,المكونات!$A$2:$A$500,0)),"")</f>
        <v>0.3</v>
      </c>
      <c r="F954" s="42" t="n">
        <f aca="false">IFERROR($C954*$E954,"")</f>
        <v>0.9</v>
      </c>
    </row>
    <row r="955" customFormat="false" ht="15" hidden="false" customHeight="true" outlineLevel="0" collapsed="false">
      <c r="A955" s="39" t="s">
        <v>427</v>
      </c>
      <c r="B955" s="39" t="s">
        <v>254</v>
      </c>
      <c r="C955" s="39" t="n">
        <v>1</v>
      </c>
      <c r="D955" s="40" t="str">
        <f aca="false">IFERROR(INDEX(المكونات!$B$2:$B$500,MATCH($B955,المكونات!$A$2:$A$500,0)),"")</f>
        <v>قطعة (ورقة)</v>
      </c>
      <c r="E955" s="41" t="n">
        <f aca="false">IFERROR(INDEX(المكونات!$C$2:$C$500,MATCH($B955,المكونات!$A$2:$A$500,0)),"")</f>
        <v>0.3665</v>
      </c>
      <c r="F955" s="42" t="n">
        <f aca="false">IFERROR($C955*$E955,"")</f>
        <v>0.3665</v>
      </c>
    </row>
    <row r="956" customFormat="false" ht="15" hidden="false" customHeight="true" outlineLevel="0" collapsed="false">
      <c r="A956" s="39" t="s">
        <v>427</v>
      </c>
      <c r="B956" s="39" t="s">
        <v>67</v>
      </c>
      <c r="C956" s="39" t="n">
        <v>1</v>
      </c>
      <c r="D956" s="40" t="str">
        <f aca="false">IFERROR(INDEX(المكونات!$B$2:$B$500,MATCH($B956,المكونات!$A$2:$A$500,0)),"")</f>
        <v>قطعة (كيس)</v>
      </c>
      <c r="E956" s="41" t="n">
        <f aca="false">IFERROR(INDEX(المكونات!$C$2:$C$500,MATCH($B956,المكونات!$A$2:$A$500,0)),"")</f>
        <v>1.4</v>
      </c>
      <c r="F956" s="42" t="n">
        <f aca="false">IFERROR($C956*$E956,"")</f>
        <v>1.4</v>
      </c>
    </row>
    <row r="957" customFormat="false" ht="15" hidden="false" customHeight="true" outlineLevel="0" collapsed="false">
      <c r="A957" s="39" t="s">
        <v>427</v>
      </c>
      <c r="B957" s="39" t="s">
        <v>228</v>
      </c>
      <c r="C957" s="39" t="n">
        <v>1</v>
      </c>
      <c r="D957" s="40" t="str">
        <f aca="false">IFERROR(INDEX(المكونات!$B$2:$B$500,MATCH($B957,المكونات!$A$2:$A$500,0)),"")</f>
        <v>قطعة</v>
      </c>
      <c r="E957" s="41" t="n">
        <f aca="false">IFERROR(INDEX(المكونات!$C$2:$C$500,MATCH($B957,المكونات!$A$2:$A$500,0)),"")</f>
        <v>0.5</v>
      </c>
      <c r="F957" s="42" t="n">
        <f aca="false">IFERROR($C957*$E957,"")</f>
        <v>0.5</v>
      </c>
    </row>
    <row r="958" customFormat="false" ht="15" hidden="false" customHeight="true" outlineLevel="0" collapsed="false">
      <c r="A958" s="39" t="s">
        <v>427</v>
      </c>
      <c r="B958" s="39" t="s">
        <v>145</v>
      </c>
      <c r="C958" s="39" t="n">
        <v>2</v>
      </c>
      <c r="D958" s="40" t="str">
        <f aca="false">IFERROR(INDEX(المكونات!$B$2:$B$500,MATCH($B958,المكونات!$A$2:$A$500,0)),"")</f>
        <v>قطعة (جلفز)</v>
      </c>
      <c r="E958" s="41" t="n">
        <f aca="false">IFERROR(INDEX(المكونات!$C$2:$C$500,MATCH($B958,المكونات!$A$2:$A$500,0)),"")</f>
        <v>0.18</v>
      </c>
      <c r="F958" s="42" t="n">
        <f aca="false">IFERROR($C958*$E958,"")</f>
        <v>0.36</v>
      </c>
    </row>
    <row r="959" customFormat="false" ht="15" hidden="false" customHeight="true" outlineLevel="0" collapsed="false">
      <c r="A959" s="39" t="s">
        <v>427</v>
      </c>
      <c r="B959" s="39" t="s">
        <v>257</v>
      </c>
      <c r="C959" s="39" t="n">
        <v>1</v>
      </c>
      <c r="D959" s="40" t="str">
        <f aca="false">IFERROR(INDEX(المكونات!$B$2:$B$500,MATCH($B959,المكونات!$A$2:$A$500,0)),"")</f>
        <v>قطعة (كيس)</v>
      </c>
      <c r="E959" s="41" t="n">
        <f aca="false">IFERROR(INDEX(المكونات!$C$2:$C$500,MATCH($B959,المكونات!$A$2:$A$500,0)),"")</f>
        <v>0.9995</v>
      </c>
      <c r="F959" s="42" t="n">
        <f aca="false">IFERROR($C959*$E959,"")</f>
        <v>0.9995</v>
      </c>
    </row>
    <row r="960" customFormat="false" ht="15" hidden="false" customHeight="true" outlineLevel="0" collapsed="false">
      <c r="A960" s="39" t="s">
        <v>325</v>
      </c>
      <c r="B960" s="39" t="s">
        <v>198</v>
      </c>
      <c r="C960" s="39" t="n">
        <v>0.22</v>
      </c>
      <c r="D960" s="40" t="str">
        <f aca="false">IFERROR(INDEX(المكونات!$B$2:$B$500,MATCH($B960,المكونات!$A$2:$A$500,0)),"")</f>
        <v>كجم</v>
      </c>
      <c r="E960" s="41" t="n">
        <f aca="false">IFERROR(INDEX(المكونات!$C$2:$C$500,MATCH($B960,المكونات!$A$2:$A$500,0)),"")</f>
        <v>22</v>
      </c>
      <c r="F960" s="42" t="n">
        <f aca="false">IFERROR($C960*$E960,"")</f>
        <v>4.84</v>
      </c>
    </row>
    <row r="961" customFormat="false" ht="15" hidden="false" customHeight="true" outlineLevel="0" collapsed="false">
      <c r="A961" s="39" t="s">
        <v>325</v>
      </c>
      <c r="B961" s="39" t="s">
        <v>186</v>
      </c>
      <c r="C961" s="39" t="n">
        <v>0.04</v>
      </c>
      <c r="D961" s="40" t="str">
        <f aca="false">IFERROR(INDEX(المكونات!$B$2:$B$500,MATCH($B961,المكونات!$A$2:$A$500,0)),"")</f>
        <v>كجم</v>
      </c>
      <c r="E961" s="41" t="n">
        <f aca="false">IFERROR(INDEX(المكونات!$C$2:$C$500,MATCH($B961,المكونات!$A$2:$A$500,0)),"")</f>
        <v>32</v>
      </c>
      <c r="F961" s="42" t="n">
        <f aca="false">IFERROR($C961*$E961,"")</f>
        <v>1.28</v>
      </c>
    </row>
    <row r="962" customFormat="false" ht="15" hidden="false" customHeight="true" outlineLevel="0" collapsed="false">
      <c r="A962" s="39" t="s">
        <v>325</v>
      </c>
      <c r="B962" s="39" t="s">
        <v>196</v>
      </c>
      <c r="C962" s="39" t="n">
        <v>0.03</v>
      </c>
      <c r="D962" s="40" t="str">
        <f aca="false">IFERROR(INDEX(المكونات!$B$2:$B$500,MATCH($B962,المكونات!$A$2:$A$500,0)),"")</f>
        <v>كجم</v>
      </c>
      <c r="E962" s="41" t="n">
        <f aca="false">IFERROR(INDEX(المكونات!$C$2:$C$500,MATCH($B962,المكونات!$A$2:$A$500,0)),"")</f>
        <v>21</v>
      </c>
      <c r="F962" s="42" t="n">
        <f aca="false">IFERROR($C962*$E962,"")</f>
        <v>0.63</v>
      </c>
    </row>
    <row r="963" customFormat="false" ht="15" hidden="false" customHeight="true" outlineLevel="0" collapsed="false">
      <c r="A963" s="39" t="s">
        <v>325</v>
      </c>
      <c r="B963" s="39" t="s">
        <v>219</v>
      </c>
      <c r="C963" s="39" t="n">
        <v>0.02</v>
      </c>
      <c r="D963" s="40" t="str">
        <f aca="false">IFERROR(INDEX(المكونات!$B$2:$B$500,MATCH($B963,المكونات!$A$2:$A$500,0)),"")</f>
        <v>كجم</v>
      </c>
      <c r="E963" s="41" t="n">
        <f aca="false">IFERROR(INDEX(المكونات!$C$2:$C$500,MATCH($B963,المكونات!$A$2:$A$500,0)),"")</f>
        <v>27</v>
      </c>
      <c r="F963" s="42" t="n">
        <f aca="false">IFERROR($C963*$E963,"")</f>
        <v>0.54</v>
      </c>
    </row>
    <row r="964" customFormat="false" ht="15" hidden="false" customHeight="true" outlineLevel="0" collapsed="false">
      <c r="A964" s="39" t="s">
        <v>325</v>
      </c>
      <c r="B964" s="39" t="s">
        <v>162</v>
      </c>
      <c r="C964" s="39" t="n">
        <v>0.02</v>
      </c>
      <c r="D964" s="40" t="str">
        <f aca="false">IFERROR(INDEX(المكونات!$B$2:$B$500,MATCH($B964,المكونات!$A$2:$A$500,0)),"")</f>
        <v>كجم</v>
      </c>
      <c r="E964" s="41" t="n">
        <f aca="false">IFERROR(INDEX(المكونات!$C$2:$C$500,MATCH($B964,المكونات!$A$2:$A$500,0)),"")</f>
        <v>95</v>
      </c>
      <c r="F964" s="42" t="n">
        <f aca="false">IFERROR($C964*$E964,"")</f>
        <v>1.9</v>
      </c>
    </row>
    <row r="965" customFormat="false" ht="15" hidden="false" customHeight="true" outlineLevel="0" collapsed="false">
      <c r="A965" s="39" t="s">
        <v>325</v>
      </c>
      <c r="B965" s="39" t="s">
        <v>110</v>
      </c>
      <c r="C965" s="39" t="n">
        <v>1</v>
      </c>
      <c r="D965" s="40" t="str">
        <f aca="false">IFERROR(INDEX(المكونات!$B$2:$B$500,MATCH($B965,المكونات!$A$2:$A$500,0)),"")</f>
        <v>قطعة</v>
      </c>
      <c r="E965" s="41" t="n">
        <f aca="false">IFERROR(INDEX(المكونات!$C$2:$C$500,MATCH($B965,المكونات!$A$2:$A$500,0)),"")</f>
        <v>17.5</v>
      </c>
      <c r="F965" s="42" t="n">
        <f aca="false">IFERROR($C965*$E965,"")</f>
        <v>17.5</v>
      </c>
    </row>
    <row r="966" customFormat="false" ht="15" hidden="false" customHeight="true" outlineLevel="0" collapsed="false">
      <c r="A966" s="39" t="s">
        <v>325</v>
      </c>
      <c r="B966" s="39" t="s">
        <v>206</v>
      </c>
      <c r="C966" s="39" t="n">
        <v>1</v>
      </c>
      <c r="D966" s="40" t="str">
        <f aca="false">IFERROR(INDEX(المكونات!$B$2:$B$500,MATCH($B966,المكونات!$A$2:$A$500,0)),"")</f>
        <v>قطعة</v>
      </c>
      <c r="E966" s="41" t="n">
        <f aca="false">IFERROR(INDEX(المكونات!$C$2:$C$500,MATCH($B966,المكونات!$A$2:$A$500,0)),"")</f>
        <v>4.5</v>
      </c>
      <c r="F966" s="42" t="n">
        <f aca="false">IFERROR($C966*$E966,"")</f>
        <v>4.5</v>
      </c>
    </row>
    <row r="967" customFormat="false" ht="15" hidden="false" customHeight="true" outlineLevel="0" collapsed="false">
      <c r="A967" s="39" t="s">
        <v>325</v>
      </c>
      <c r="B967" s="39" t="s">
        <v>225</v>
      </c>
      <c r="C967" s="39" t="n">
        <v>2</v>
      </c>
      <c r="D967" s="40" t="str">
        <f aca="false">IFERROR(INDEX(المكونات!$B$2:$B$500,MATCH($B967,المكونات!$A$2:$A$500,0)),"")</f>
        <v>قطعة</v>
      </c>
      <c r="E967" s="41" t="n">
        <f aca="false">IFERROR(INDEX(المكونات!$C$2:$C$500,MATCH($B967,المكونات!$A$2:$A$500,0)),"")</f>
        <v>0.3</v>
      </c>
      <c r="F967" s="42" t="n">
        <f aca="false">IFERROR($C967*$E967,"")</f>
        <v>0.6</v>
      </c>
    </row>
    <row r="968" customFormat="false" ht="15" hidden="false" customHeight="true" outlineLevel="0" collapsed="false">
      <c r="A968" s="39" t="s">
        <v>325</v>
      </c>
      <c r="B968" s="39" t="s">
        <v>254</v>
      </c>
      <c r="C968" s="39" t="n">
        <v>1</v>
      </c>
      <c r="D968" s="40" t="str">
        <f aca="false">IFERROR(INDEX(المكونات!$B$2:$B$500,MATCH($B968,المكونات!$A$2:$A$500,0)),"")</f>
        <v>قطعة (ورقة)</v>
      </c>
      <c r="E968" s="41" t="n">
        <f aca="false">IFERROR(INDEX(المكونات!$C$2:$C$500,MATCH($B968,المكونات!$A$2:$A$500,0)),"")</f>
        <v>0.3665</v>
      </c>
      <c r="F968" s="42" t="n">
        <f aca="false">IFERROR($C968*$E968,"")</f>
        <v>0.3665</v>
      </c>
    </row>
    <row r="969" customFormat="false" ht="15" hidden="false" customHeight="true" outlineLevel="0" collapsed="false">
      <c r="A969" s="39" t="s">
        <v>325</v>
      </c>
      <c r="B969" s="39" t="s">
        <v>67</v>
      </c>
      <c r="C969" s="39" t="n">
        <v>1</v>
      </c>
      <c r="D969" s="40" t="str">
        <f aca="false">IFERROR(INDEX(المكونات!$B$2:$B$500,MATCH($B969,المكونات!$A$2:$A$500,0)),"")</f>
        <v>قطعة (كيس)</v>
      </c>
      <c r="E969" s="41" t="n">
        <f aca="false">IFERROR(INDEX(المكونات!$C$2:$C$500,MATCH($B969,المكونات!$A$2:$A$500,0)),"")</f>
        <v>1.4</v>
      </c>
      <c r="F969" s="42" t="n">
        <f aca="false">IFERROR($C969*$E969,"")</f>
        <v>1.4</v>
      </c>
    </row>
    <row r="970" customFormat="false" ht="15" hidden="false" customHeight="true" outlineLevel="0" collapsed="false">
      <c r="A970" s="39" t="s">
        <v>325</v>
      </c>
      <c r="B970" s="39" t="s">
        <v>228</v>
      </c>
      <c r="C970" s="39" t="n">
        <v>1</v>
      </c>
      <c r="D970" s="40" t="str">
        <f aca="false">IFERROR(INDEX(المكونات!$B$2:$B$500,MATCH($B970,المكونات!$A$2:$A$500,0)),"")</f>
        <v>قطعة</v>
      </c>
      <c r="E970" s="41" t="n">
        <f aca="false">IFERROR(INDEX(المكونات!$C$2:$C$500,MATCH($B970,المكونات!$A$2:$A$500,0)),"")</f>
        <v>0.5</v>
      </c>
      <c r="F970" s="42" t="n">
        <f aca="false">IFERROR($C970*$E970,"")</f>
        <v>0.5</v>
      </c>
    </row>
    <row r="971" customFormat="false" ht="15" hidden="false" customHeight="true" outlineLevel="0" collapsed="false">
      <c r="A971" s="39" t="s">
        <v>325</v>
      </c>
      <c r="B971" s="39" t="s">
        <v>145</v>
      </c>
      <c r="C971" s="39" t="n">
        <v>2</v>
      </c>
      <c r="D971" s="40" t="str">
        <f aca="false">IFERROR(INDEX(المكونات!$B$2:$B$500,MATCH($B971,المكونات!$A$2:$A$500,0)),"")</f>
        <v>قطعة (جلفز)</v>
      </c>
      <c r="E971" s="41" t="n">
        <f aca="false">IFERROR(INDEX(المكونات!$C$2:$C$500,MATCH($B971,المكونات!$A$2:$A$500,0)),"")</f>
        <v>0.18</v>
      </c>
      <c r="F971" s="42" t="n">
        <f aca="false">IFERROR($C971*$E971,"")</f>
        <v>0.36</v>
      </c>
    </row>
    <row r="972" customFormat="false" ht="15" hidden="false" customHeight="true" outlineLevel="0" collapsed="false">
      <c r="A972" s="39" t="s">
        <v>325</v>
      </c>
      <c r="B972" s="39" t="s">
        <v>257</v>
      </c>
      <c r="C972" s="39" t="n">
        <v>1</v>
      </c>
      <c r="D972" s="40" t="str">
        <f aca="false">IFERROR(INDEX(المكونات!$B$2:$B$500,MATCH($B972,المكونات!$A$2:$A$500,0)),"")</f>
        <v>قطعة (كيس)</v>
      </c>
      <c r="E972" s="41" t="n">
        <f aca="false">IFERROR(INDEX(المكونات!$C$2:$C$500,MATCH($B972,المكونات!$A$2:$A$500,0)),"")</f>
        <v>0.9995</v>
      </c>
      <c r="F972" s="42" t="n">
        <f aca="false">IFERROR($C972*$E972,"")</f>
        <v>0.9995</v>
      </c>
    </row>
    <row r="973" customFormat="false" ht="15" hidden="false" customHeight="true" outlineLevel="0" collapsed="false">
      <c r="A973" s="39" t="s">
        <v>325</v>
      </c>
      <c r="B973" s="39" t="s">
        <v>242</v>
      </c>
      <c r="C973" s="39" t="n">
        <v>0.1</v>
      </c>
      <c r="D973" s="40" t="str">
        <f aca="false">IFERROR(INDEX(المكونات!$B$2:$B$500,MATCH($B973,المكونات!$A$2:$A$500,0)),"")</f>
        <v>كجم</v>
      </c>
      <c r="E973" s="41" t="n">
        <f aca="false">IFERROR(INDEX(المكونات!$C$2:$C$500,MATCH($B973,المكونات!$A$2:$A$500,0)),"")</f>
        <v>151.2027</v>
      </c>
      <c r="F973" s="42" t="n">
        <f aca="false">IFERROR($C973*$E973,"")</f>
        <v>15.12027</v>
      </c>
    </row>
    <row r="974" customFormat="false" ht="15" hidden="false" customHeight="true" outlineLevel="0" collapsed="false">
      <c r="A974" s="39" t="s">
        <v>320</v>
      </c>
      <c r="B974" s="39" t="s">
        <v>198</v>
      </c>
      <c r="C974" s="39" t="n">
        <v>0.3</v>
      </c>
      <c r="D974" s="40" t="str">
        <f aca="false">IFERROR(INDEX(المكونات!$B$2:$B$500,MATCH($B974,المكونات!$A$2:$A$500,0)),"")</f>
        <v>كجم</v>
      </c>
      <c r="E974" s="41" t="n">
        <f aca="false">IFERROR(INDEX(المكونات!$C$2:$C$500,MATCH($B974,المكونات!$A$2:$A$500,0)),"")</f>
        <v>22</v>
      </c>
      <c r="F974" s="42" t="n">
        <f aca="false">IFERROR($C974*$E974,"")</f>
        <v>6.6</v>
      </c>
    </row>
    <row r="975" customFormat="false" ht="15" hidden="false" customHeight="true" outlineLevel="0" collapsed="false">
      <c r="A975" s="39" t="s">
        <v>320</v>
      </c>
      <c r="B975" s="39" t="s">
        <v>186</v>
      </c>
      <c r="C975" s="39" t="n">
        <v>0.06</v>
      </c>
      <c r="D975" s="40" t="str">
        <f aca="false">IFERROR(INDEX(المكونات!$B$2:$B$500,MATCH($B975,المكونات!$A$2:$A$500,0)),"")</f>
        <v>كجم</v>
      </c>
      <c r="E975" s="41" t="n">
        <f aca="false">IFERROR(INDEX(المكونات!$C$2:$C$500,MATCH($B975,المكونات!$A$2:$A$500,0)),"")</f>
        <v>32</v>
      </c>
      <c r="F975" s="42" t="n">
        <f aca="false">IFERROR($C975*$E975,"")</f>
        <v>1.92</v>
      </c>
    </row>
    <row r="976" customFormat="false" ht="15" hidden="false" customHeight="true" outlineLevel="0" collapsed="false">
      <c r="A976" s="39" t="s">
        <v>320</v>
      </c>
      <c r="B976" s="39" t="s">
        <v>196</v>
      </c>
      <c r="C976" s="39" t="n">
        <v>0.045</v>
      </c>
      <c r="D976" s="40" t="str">
        <f aca="false">IFERROR(INDEX(المكونات!$B$2:$B$500,MATCH($B976,المكونات!$A$2:$A$500,0)),"")</f>
        <v>كجم</v>
      </c>
      <c r="E976" s="41" t="n">
        <f aca="false">IFERROR(INDEX(المكونات!$C$2:$C$500,MATCH($B976,المكونات!$A$2:$A$500,0)),"")</f>
        <v>21</v>
      </c>
      <c r="F976" s="42" t="n">
        <f aca="false">IFERROR($C976*$E976,"")</f>
        <v>0.945</v>
      </c>
    </row>
    <row r="977" customFormat="false" ht="15" hidden="false" customHeight="true" outlineLevel="0" collapsed="false">
      <c r="A977" s="39" t="s">
        <v>320</v>
      </c>
      <c r="B977" s="39" t="s">
        <v>219</v>
      </c>
      <c r="C977" s="39" t="n">
        <v>0.03</v>
      </c>
      <c r="D977" s="40" t="str">
        <f aca="false">IFERROR(INDEX(المكونات!$B$2:$B$500,MATCH($B977,المكونات!$A$2:$A$500,0)),"")</f>
        <v>كجم</v>
      </c>
      <c r="E977" s="41" t="n">
        <f aca="false">IFERROR(INDEX(المكونات!$C$2:$C$500,MATCH($B977,المكونات!$A$2:$A$500,0)),"")</f>
        <v>27</v>
      </c>
      <c r="F977" s="42" t="n">
        <f aca="false">IFERROR($C977*$E977,"")</f>
        <v>0.81</v>
      </c>
    </row>
    <row r="978" customFormat="false" ht="15" hidden="false" customHeight="true" outlineLevel="0" collapsed="false">
      <c r="A978" s="39" t="s">
        <v>320</v>
      </c>
      <c r="B978" s="39" t="s">
        <v>162</v>
      </c>
      <c r="C978" s="39" t="n">
        <v>0.03</v>
      </c>
      <c r="D978" s="40" t="str">
        <f aca="false">IFERROR(INDEX(المكونات!$B$2:$B$500,MATCH($B978,المكونات!$A$2:$A$500,0)),"")</f>
        <v>كجم</v>
      </c>
      <c r="E978" s="41" t="n">
        <f aca="false">IFERROR(INDEX(المكونات!$C$2:$C$500,MATCH($B978,المكونات!$A$2:$A$500,0)),"")</f>
        <v>95</v>
      </c>
      <c r="F978" s="42" t="n">
        <f aca="false">IFERROR($C978*$E978,"")</f>
        <v>2.85</v>
      </c>
    </row>
    <row r="979" customFormat="false" ht="15" hidden="false" customHeight="true" outlineLevel="0" collapsed="false">
      <c r="A979" s="39" t="s">
        <v>320</v>
      </c>
      <c r="B979" s="39" t="s">
        <v>112</v>
      </c>
      <c r="C979" s="39" t="n">
        <v>1</v>
      </c>
      <c r="D979" s="40" t="str">
        <f aca="false">IFERROR(INDEX(المكونات!$B$2:$B$500,MATCH($B979,المكونات!$A$2:$A$500,0)),"")</f>
        <v>قطعة</v>
      </c>
      <c r="E979" s="41" t="n">
        <f aca="false">IFERROR(INDEX(المكونات!$C$2:$C$500,MATCH($B979,المكونات!$A$2:$A$500,0)),"")</f>
        <v>25</v>
      </c>
      <c r="F979" s="42" t="n">
        <f aca="false">IFERROR($C979*$E979,"")</f>
        <v>25</v>
      </c>
    </row>
    <row r="980" customFormat="false" ht="15" hidden="false" customHeight="true" outlineLevel="0" collapsed="false">
      <c r="A980" s="39" t="s">
        <v>320</v>
      </c>
      <c r="B980" s="39" t="s">
        <v>204</v>
      </c>
      <c r="C980" s="39" t="n">
        <v>1</v>
      </c>
      <c r="D980" s="40" t="str">
        <f aca="false">IFERROR(INDEX(المكونات!$B$2:$B$500,MATCH($B980,المكونات!$A$2:$A$500,0)),"")</f>
        <v>قطعة</v>
      </c>
      <c r="E980" s="41" t="n">
        <f aca="false">IFERROR(INDEX(المكونات!$C$2:$C$500,MATCH($B980,المكونات!$A$2:$A$500,0)),"")</f>
        <v>5.5</v>
      </c>
      <c r="F980" s="42" t="n">
        <f aca="false">IFERROR($C980*$E980,"")</f>
        <v>5.5</v>
      </c>
    </row>
    <row r="981" customFormat="false" ht="15" hidden="false" customHeight="true" outlineLevel="0" collapsed="false">
      <c r="A981" s="39" t="s">
        <v>320</v>
      </c>
      <c r="B981" s="39" t="s">
        <v>225</v>
      </c>
      <c r="C981" s="39" t="n">
        <v>3</v>
      </c>
      <c r="D981" s="40" t="str">
        <f aca="false">IFERROR(INDEX(المكونات!$B$2:$B$500,MATCH($B981,المكونات!$A$2:$A$500,0)),"")</f>
        <v>قطعة</v>
      </c>
      <c r="E981" s="41" t="n">
        <f aca="false">IFERROR(INDEX(المكونات!$C$2:$C$500,MATCH($B981,المكونات!$A$2:$A$500,0)),"")</f>
        <v>0.3</v>
      </c>
      <c r="F981" s="42" t="n">
        <f aca="false">IFERROR($C981*$E981,"")</f>
        <v>0.9</v>
      </c>
    </row>
    <row r="982" customFormat="false" ht="15" hidden="false" customHeight="true" outlineLevel="0" collapsed="false">
      <c r="A982" s="39" t="s">
        <v>320</v>
      </c>
      <c r="B982" s="39" t="s">
        <v>254</v>
      </c>
      <c r="C982" s="39" t="n">
        <v>1</v>
      </c>
      <c r="D982" s="40" t="str">
        <f aca="false">IFERROR(INDEX(المكونات!$B$2:$B$500,MATCH($B982,المكونات!$A$2:$A$500,0)),"")</f>
        <v>قطعة (ورقة)</v>
      </c>
      <c r="E982" s="41" t="n">
        <f aca="false">IFERROR(INDEX(المكونات!$C$2:$C$500,MATCH($B982,المكونات!$A$2:$A$500,0)),"")</f>
        <v>0.3665</v>
      </c>
      <c r="F982" s="42" t="n">
        <f aca="false">IFERROR($C982*$E982,"")</f>
        <v>0.3665</v>
      </c>
    </row>
    <row r="983" customFormat="false" ht="15" hidden="false" customHeight="true" outlineLevel="0" collapsed="false">
      <c r="A983" s="39" t="s">
        <v>320</v>
      </c>
      <c r="B983" s="39" t="s">
        <v>67</v>
      </c>
      <c r="C983" s="39" t="n">
        <v>1</v>
      </c>
      <c r="D983" s="40" t="str">
        <f aca="false">IFERROR(INDEX(المكونات!$B$2:$B$500,MATCH($B983,المكونات!$A$2:$A$500,0)),"")</f>
        <v>قطعة (كيس)</v>
      </c>
      <c r="E983" s="41" t="n">
        <f aca="false">IFERROR(INDEX(المكونات!$C$2:$C$500,MATCH($B983,المكونات!$A$2:$A$500,0)),"")</f>
        <v>1.4</v>
      </c>
      <c r="F983" s="42" t="n">
        <f aca="false">IFERROR($C983*$E983,"")</f>
        <v>1.4</v>
      </c>
    </row>
    <row r="984" customFormat="false" ht="15" hidden="false" customHeight="true" outlineLevel="0" collapsed="false">
      <c r="A984" s="39" t="s">
        <v>320</v>
      </c>
      <c r="B984" s="39" t="s">
        <v>228</v>
      </c>
      <c r="C984" s="39" t="n">
        <v>1</v>
      </c>
      <c r="D984" s="40" t="str">
        <f aca="false">IFERROR(INDEX(المكونات!$B$2:$B$500,MATCH($B984,المكونات!$A$2:$A$500,0)),"")</f>
        <v>قطعة</v>
      </c>
      <c r="E984" s="41" t="n">
        <f aca="false">IFERROR(INDEX(المكونات!$C$2:$C$500,MATCH($B984,المكونات!$A$2:$A$500,0)),"")</f>
        <v>0.5</v>
      </c>
      <c r="F984" s="42" t="n">
        <f aca="false">IFERROR($C984*$E984,"")</f>
        <v>0.5</v>
      </c>
    </row>
    <row r="985" customFormat="false" ht="15" hidden="false" customHeight="true" outlineLevel="0" collapsed="false">
      <c r="A985" s="39" t="s">
        <v>320</v>
      </c>
      <c r="B985" s="39" t="s">
        <v>145</v>
      </c>
      <c r="C985" s="39" t="n">
        <v>2</v>
      </c>
      <c r="D985" s="40" t="str">
        <f aca="false">IFERROR(INDEX(المكونات!$B$2:$B$500,MATCH($B985,المكونات!$A$2:$A$500,0)),"")</f>
        <v>قطعة (جلفز)</v>
      </c>
      <c r="E985" s="41" t="n">
        <f aca="false">IFERROR(INDEX(المكونات!$C$2:$C$500,MATCH($B985,المكونات!$A$2:$A$500,0)),"")</f>
        <v>0.18</v>
      </c>
      <c r="F985" s="42" t="n">
        <f aca="false">IFERROR($C985*$E985,"")</f>
        <v>0.36</v>
      </c>
    </row>
    <row r="986" customFormat="false" ht="15" hidden="false" customHeight="true" outlineLevel="0" collapsed="false">
      <c r="A986" s="39" t="s">
        <v>320</v>
      </c>
      <c r="B986" s="39" t="s">
        <v>257</v>
      </c>
      <c r="C986" s="39" t="n">
        <v>1</v>
      </c>
      <c r="D986" s="40" t="str">
        <f aca="false">IFERROR(INDEX(المكونات!$B$2:$B$500,MATCH($B986,المكونات!$A$2:$A$500,0)),"")</f>
        <v>قطعة (كيس)</v>
      </c>
      <c r="E986" s="41" t="n">
        <f aca="false">IFERROR(INDEX(المكونات!$C$2:$C$500,MATCH($B986,المكونات!$A$2:$A$500,0)),"")</f>
        <v>0.9995</v>
      </c>
      <c r="F986" s="42" t="n">
        <f aca="false">IFERROR($C986*$E986,"")</f>
        <v>0.9995</v>
      </c>
    </row>
    <row r="987" customFormat="false" ht="15" hidden="false" customHeight="true" outlineLevel="0" collapsed="false">
      <c r="A987" s="39" t="s">
        <v>320</v>
      </c>
      <c r="B987" s="39" t="s">
        <v>242</v>
      </c>
      <c r="C987" s="39" t="n">
        <v>0.15</v>
      </c>
      <c r="D987" s="40" t="str">
        <f aca="false">IFERROR(INDEX(المكونات!$B$2:$B$500,MATCH($B987,المكونات!$A$2:$A$500,0)),"")</f>
        <v>كجم</v>
      </c>
      <c r="E987" s="41" t="n">
        <f aca="false">IFERROR(INDEX(المكونات!$C$2:$C$500,MATCH($B987,المكونات!$A$2:$A$500,0)),"")</f>
        <v>151.2027</v>
      </c>
      <c r="F987" s="42" t="n">
        <f aca="false">IFERROR($C987*$E987,"")</f>
        <v>22.680405</v>
      </c>
    </row>
    <row r="988" customFormat="false" ht="15" hidden="false" customHeight="true" outlineLevel="0" collapsed="false">
      <c r="A988" s="39" t="s">
        <v>417</v>
      </c>
      <c r="B988" s="39" t="s">
        <v>198</v>
      </c>
      <c r="C988" s="39" t="n">
        <v>0.22</v>
      </c>
      <c r="D988" s="40" t="str">
        <f aca="false">IFERROR(INDEX(المكونات!$B$2:$B$500,MATCH($B988,المكونات!$A$2:$A$500,0)),"")</f>
        <v>كجم</v>
      </c>
      <c r="E988" s="41" t="n">
        <f aca="false">IFERROR(INDEX(المكونات!$C$2:$C$500,MATCH($B988,المكونات!$A$2:$A$500,0)),"")</f>
        <v>22</v>
      </c>
      <c r="F988" s="42" t="n">
        <f aca="false">IFERROR($C988*$E988,"")</f>
        <v>4.84</v>
      </c>
    </row>
    <row r="989" customFormat="false" ht="15" hidden="false" customHeight="true" outlineLevel="0" collapsed="false">
      <c r="A989" s="39" t="s">
        <v>417</v>
      </c>
      <c r="B989" s="39" t="s">
        <v>186</v>
      </c>
      <c r="C989" s="39" t="n">
        <v>0.04</v>
      </c>
      <c r="D989" s="40" t="str">
        <f aca="false">IFERROR(INDEX(المكونات!$B$2:$B$500,MATCH($B989,المكونات!$A$2:$A$500,0)),"")</f>
        <v>كجم</v>
      </c>
      <c r="E989" s="41" t="n">
        <f aca="false">IFERROR(INDEX(المكونات!$C$2:$C$500,MATCH($B989,المكونات!$A$2:$A$500,0)),"")</f>
        <v>32</v>
      </c>
      <c r="F989" s="42" t="n">
        <f aca="false">IFERROR($C989*$E989,"")</f>
        <v>1.28</v>
      </c>
    </row>
    <row r="990" customFormat="false" ht="15" hidden="false" customHeight="true" outlineLevel="0" collapsed="false">
      <c r="A990" s="39" t="s">
        <v>417</v>
      </c>
      <c r="B990" s="39" t="s">
        <v>196</v>
      </c>
      <c r="C990" s="39" t="n">
        <v>0.03</v>
      </c>
      <c r="D990" s="40" t="str">
        <f aca="false">IFERROR(INDEX(المكونات!$B$2:$B$500,MATCH($B990,المكونات!$A$2:$A$500,0)),"")</f>
        <v>كجم</v>
      </c>
      <c r="E990" s="41" t="n">
        <f aca="false">IFERROR(INDEX(المكونات!$C$2:$C$500,MATCH($B990,المكونات!$A$2:$A$500,0)),"")</f>
        <v>21</v>
      </c>
      <c r="F990" s="42" t="n">
        <f aca="false">IFERROR($C990*$E990,"")</f>
        <v>0.63</v>
      </c>
    </row>
    <row r="991" customFormat="false" ht="15" hidden="false" customHeight="true" outlineLevel="0" collapsed="false">
      <c r="A991" s="39" t="s">
        <v>417</v>
      </c>
      <c r="B991" s="39" t="s">
        <v>219</v>
      </c>
      <c r="C991" s="39" t="n">
        <v>0.02</v>
      </c>
      <c r="D991" s="40" t="str">
        <f aca="false">IFERROR(INDEX(المكونات!$B$2:$B$500,MATCH($B991,المكونات!$A$2:$A$500,0)),"")</f>
        <v>كجم</v>
      </c>
      <c r="E991" s="41" t="n">
        <f aca="false">IFERROR(INDEX(المكونات!$C$2:$C$500,MATCH($B991,المكونات!$A$2:$A$500,0)),"")</f>
        <v>27</v>
      </c>
      <c r="F991" s="42" t="n">
        <f aca="false">IFERROR($C991*$E991,"")</f>
        <v>0.54</v>
      </c>
    </row>
    <row r="992" customFormat="false" ht="15" hidden="false" customHeight="true" outlineLevel="0" collapsed="false">
      <c r="A992" s="39" t="s">
        <v>417</v>
      </c>
      <c r="B992" s="39" t="s">
        <v>162</v>
      </c>
      <c r="C992" s="39" t="n">
        <v>0.02</v>
      </c>
      <c r="D992" s="40" t="str">
        <f aca="false">IFERROR(INDEX(المكونات!$B$2:$B$500,MATCH($B992,المكونات!$A$2:$A$500,0)),"")</f>
        <v>كجم</v>
      </c>
      <c r="E992" s="41" t="n">
        <f aca="false">IFERROR(INDEX(المكونات!$C$2:$C$500,MATCH($B992,المكونات!$A$2:$A$500,0)),"")</f>
        <v>95</v>
      </c>
      <c r="F992" s="42" t="n">
        <f aca="false">IFERROR($C992*$E992,"")</f>
        <v>1.9</v>
      </c>
    </row>
    <row r="993" customFormat="false" ht="15" hidden="false" customHeight="true" outlineLevel="0" collapsed="false">
      <c r="A993" s="39" t="s">
        <v>417</v>
      </c>
      <c r="B993" s="39" t="s">
        <v>110</v>
      </c>
      <c r="C993" s="39" t="n">
        <v>1</v>
      </c>
      <c r="D993" s="40" t="str">
        <f aca="false">IFERROR(INDEX(المكونات!$B$2:$B$500,MATCH($B993,المكونات!$A$2:$A$500,0)),"")</f>
        <v>قطعة</v>
      </c>
      <c r="E993" s="41" t="n">
        <f aca="false">IFERROR(INDEX(المكونات!$C$2:$C$500,MATCH($B993,المكونات!$A$2:$A$500,0)),"")</f>
        <v>17.5</v>
      </c>
      <c r="F993" s="42" t="n">
        <f aca="false">IFERROR($C993*$E993,"")</f>
        <v>17.5</v>
      </c>
    </row>
    <row r="994" customFormat="false" ht="15" hidden="false" customHeight="true" outlineLevel="0" collapsed="false">
      <c r="A994" s="39" t="s">
        <v>417</v>
      </c>
      <c r="B994" s="39" t="s">
        <v>206</v>
      </c>
      <c r="C994" s="39" t="n">
        <v>1</v>
      </c>
      <c r="D994" s="40" t="str">
        <f aca="false">IFERROR(INDEX(المكونات!$B$2:$B$500,MATCH($B994,المكونات!$A$2:$A$500,0)),"")</f>
        <v>قطعة</v>
      </c>
      <c r="E994" s="41" t="n">
        <f aca="false">IFERROR(INDEX(المكونات!$C$2:$C$500,MATCH($B994,المكونات!$A$2:$A$500,0)),"")</f>
        <v>4.5</v>
      </c>
      <c r="F994" s="42" t="n">
        <f aca="false">IFERROR($C994*$E994,"")</f>
        <v>4.5</v>
      </c>
    </row>
    <row r="995" customFormat="false" ht="15" hidden="false" customHeight="true" outlineLevel="0" collapsed="false">
      <c r="A995" s="39" t="s">
        <v>417</v>
      </c>
      <c r="B995" s="39" t="s">
        <v>225</v>
      </c>
      <c r="C995" s="39" t="n">
        <v>2</v>
      </c>
      <c r="D995" s="40" t="str">
        <f aca="false">IFERROR(INDEX(المكونات!$B$2:$B$500,MATCH($B995,المكونات!$A$2:$A$500,0)),"")</f>
        <v>قطعة</v>
      </c>
      <c r="E995" s="41" t="n">
        <f aca="false">IFERROR(INDEX(المكونات!$C$2:$C$500,MATCH($B995,المكونات!$A$2:$A$500,0)),"")</f>
        <v>0.3</v>
      </c>
      <c r="F995" s="42" t="n">
        <f aca="false">IFERROR($C995*$E995,"")</f>
        <v>0.6</v>
      </c>
    </row>
    <row r="996" customFormat="false" ht="15" hidden="false" customHeight="true" outlineLevel="0" collapsed="false">
      <c r="A996" s="39" t="s">
        <v>417</v>
      </c>
      <c r="B996" s="39" t="s">
        <v>254</v>
      </c>
      <c r="C996" s="39" t="n">
        <v>1</v>
      </c>
      <c r="D996" s="40" t="str">
        <f aca="false">IFERROR(INDEX(المكونات!$B$2:$B$500,MATCH($B996,المكونات!$A$2:$A$500,0)),"")</f>
        <v>قطعة (ورقة)</v>
      </c>
      <c r="E996" s="41" t="n">
        <f aca="false">IFERROR(INDEX(المكونات!$C$2:$C$500,MATCH($B996,المكونات!$A$2:$A$500,0)),"")</f>
        <v>0.3665</v>
      </c>
      <c r="F996" s="42" t="n">
        <f aca="false">IFERROR($C996*$E996,"")</f>
        <v>0.3665</v>
      </c>
    </row>
    <row r="997" customFormat="false" ht="15" hidden="false" customHeight="true" outlineLevel="0" collapsed="false">
      <c r="A997" s="39" t="s">
        <v>417</v>
      </c>
      <c r="B997" s="39" t="s">
        <v>67</v>
      </c>
      <c r="C997" s="39" t="n">
        <v>1</v>
      </c>
      <c r="D997" s="40" t="str">
        <f aca="false">IFERROR(INDEX(المكونات!$B$2:$B$500,MATCH($B997,المكونات!$A$2:$A$500,0)),"")</f>
        <v>قطعة (كيس)</v>
      </c>
      <c r="E997" s="41" t="n">
        <f aca="false">IFERROR(INDEX(المكونات!$C$2:$C$500,MATCH($B997,المكونات!$A$2:$A$500,0)),"")</f>
        <v>1.4</v>
      </c>
      <c r="F997" s="42" t="n">
        <f aca="false">IFERROR($C997*$E997,"")</f>
        <v>1.4</v>
      </c>
    </row>
    <row r="998" customFormat="false" ht="15" hidden="false" customHeight="true" outlineLevel="0" collapsed="false">
      <c r="A998" s="39" t="s">
        <v>417</v>
      </c>
      <c r="B998" s="39" t="s">
        <v>228</v>
      </c>
      <c r="C998" s="39" t="n">
        <v>1</v>
      </c>
      <c r="D998" s="40" t="str">
        <f aca="false">IFERROR(INDEX(المكونات!$B$2:$B$500,MATCH($B998,المكونات!$A$2:$A$500,0)),"")</f>
        <v>قطعة</v>
      </c>
      <c r="E998" s="41" t="n">
        <f aca="false">IFERROR(INDEX(المكونات!$C$2:$C$500,MATCH($B998,المكونات!$A$2:$A$500,0)),"")</f>
        <v>0.5</v>
      </c>
      <c r="F998" s="42" t="n">
        <f aca="false">IFERROR($C998*$E998,"")</f>
        <v>0.5</v>
      </c>
    </row>
    <row r="999" customFormat="false" ht="15" hidden="false" customHeight="true" outlineLevel="0" collapsed="false">
      <c r="A999" s="39" t="s">
        <v>417</v>
      </c>
      <c r="B999" s="39" t="s">
        <v>145</v>
      </c>
      <c r="C999" s="39" t="n">
        <v>2</v>
      </c>
      <c r="D999" s="40" t="str">
        <f aca="false">IFERROR(INDEX(المكونات!$B$2:$B$500,MATCH($B999,المكونات!$A$2:$A$500,0)),"")</f>
        <v>قطعة (جلفز)</v>
      </c>
      <c r="E999" s="41" t="n">
        <f aca="false">IFERROR(INDEX(المكونات!$C$2:$C$500,MATCH($B999,المكونات!$A$2:$A$500,0)),"")</f>
        <v>0.18</v>
      </c>
      <c r="F999" s="42" t="n">
        <f aca="false">IFERROR($C999*$E999,"")</f>
        <v>0.36</v>
      </c>
    </row>
    <row r="1000" customFormat="false" ht="15" hidden="false" customHeight="true" outlineLevel="0" collapsed="false">
      <c r="A1000" s="39" t="s">
        <v>417</v>
      </c>
      <c r="B1000" s="39" t="s">
        <v>257</v>
      </c>
      <c r="C1000" s="39" t="n">
        <v>1</v>
      </c>
      <c r="D1000" s="40" t="str">
        <f aca="false">IFERROR(INDEX(المكونات!$B$2:$B$500,MATCH($B1000,المكونات!$A$2:$A$500,0)),"")</f>
        <v>قطعة (كيس)</v>
      </c>
      <c r="E1000" s="41" t="n">
        <f aca="false">IFERROR(INDEX(المكونات!$C$2:$C$500,MATCH($B1000,المكونات!$A$2:$A$500,0)),"")</f>
        <v>0.9995</v>
      </c>
      <c r="F1000" s="42" t="n">
        <f aca="false">IFERROR($C1000*$E1000,"")</f>
        <v>0.9995</v>
      </c>
    </row>
    <row r="1001" customFormat="false" ht="15" hidden="false" customHeight="true" outlineLevel="0" collapsed="false">
      <c r="A1001" s="39" t="s">
        <v>417</v>
      </c>
      <c r="B1001" s="39" t="s">
        <v>271</v>
      </c>
      <c r="C1001" s="39" t="n">
        <v>0.12</v>
      </c>
      <c r="D1001" s="40" t="str">
        <f aca="false">IFERROR(INDEX(المكونات!$B$2:$B$500,MATCH($B1001,المكونات!$A$2:$A$500,0)),"")</f>
        <v>كجم</v>
      </c>
      <c r="E1001" s="41" t="n">
        <f aca="false">IFERROR(INDEX(المكونات!$C$2:$C$500,MATCH($B1001,المكونات!$A$2:$A$500,0)),"")</f>
        <v>220.02</v>
      </c>
      <c r="F1001" s="42" t="n">
        <f aca="false">IFERROR($C1001*$E1001,"")</f>
        <v>26.4024</v>
      </c>
    </row>
    <row r="1002" customFormat="false" ht="15" hidden="false" customHeight="true" outlineLevel="0" collapsed="false">
      <c r="A1002" s="39" t="s">
        <v>441</v>
      </c>
      <c r="B1002" s="39" t="s">
        <v>198</v>
      </c>
      <c r="C1002" s="39" t="n">
        <v>0.3</v>
      </c>
      <c r="D1002" s="40" t="str">
        <f aca="false">IFERROR(INDEX(المكونات!$B$2:$B$500,MATCH($B1002,المكونات!$A$2:$A$500,0)),"")</f>
        <v>كجم</v>
      </c>
      <c r="E1002" s="41" t="n">
        <f aca="false">IFERROR(INDEX(المكونات!$C$2:$C$500,MATCH($B1002,المكونات!$A$2:$A$500,0)),"")</f>
        <v>22</v>
      </c>
      <c r="F1002" s="42" t="n">
        <f aca="false">IFERROR($C1002*$E1002,"")</f>
        <v>6.6</v>
      </c>
    </row>
    <row r="1003" customFormat="false" ht="15" hidden="false" customHeight="true" outlineLevel="0" collapsed="false">
      <c r="A1003" s="39" t="s">
        <v>441</v>
      </c>
      <c r="B1003" s="39" t="s">
        <v>186</v>
      </c>
      <c r="C1003" s="39" t="n">
        <v>0.06</v>
      </c>
      <c r="D1003" s="40" t="str">
        <f aca="false">IFERROR(INDEX(المكونات!$B$2:$B$500,MATCH($B1003,المكونات!$A$2:$A$500,0)),"")</f>
        <v>كجم</v>
      </c>
      <c r="E1003" s="41" t="n">
        <f aca="false">IFERROR(INDEX(المكونات!$C$2:$C$500,MATCH($B1003,المكونات!$A$2:$A$500,0)),"")</f>
        <v>32</v>
      </c>
      <c r="F1003" s="42" t="n">
        <f aca="false">IFERROR($C1003*$E1003,"")</f>
        <v>1.92</v>
      </c>
    </row>
    <row r="1004" customFormat="false" ht="15" hidden="false" customHeight="true" outlineLevel="0" collapsed="false">
      <c r="A1004" s="39" t="s">
        <v>441</v>
      </c>
      <c r="B1004" s="39" t="s">
        <v>196</v>
      </c>
      <c r="C1004" s="39" t="n">
        <v>0.045</v>
      </c>
      <c r="D1004" s="40" t="str">
        <f aca="false">IFERROR(INDEX(المكونات!$B$2:$B$500,MATCH($B1004,المكونات!$A$2:$A$500,0)),"")</f>
        <v>كجم</v>
      </c>
      <c r="E1004" s="41" t="n">
        <f aca="false">IFERROR(INDEX(المكونات!$C$2:$C$500,MATCH($B1004,المكونات!$A$2:$A$500,0)),"")</f>
        <v>21</v>
      </c>
      <c r="F1004" s="42" t="n">
        <f aca="false">IFERROR($C1004*$E1004,"")</f>
        <v>0.945</v>
      </c>
    </row>
    <row r="1005" customFormat="false" ht="15" hidden="false" customHeight="true" outlineLevel="0" collapsed="false">
      <c r="A1005" s="39" t="s">
        <v>441</v>
      </c>
      <c r="B1005" s="39" t="s">
        <v>219</v>
      </c>
      <c r="C1005" s="39" t="n">
        <v>0.03</v>
      </c>
      <c r="D1005" s="40" t="str">
        <f aca="false">IFERROR(INDEX(المكونات!$B$2:$B$500,MATCH($B1005,المكونات!$A$2:$A$500,0)),"")</f>
        <v>كجم</v>
      </c>
      <c r="E1005" s="41" t="n">
        <f aca="false">IFERROR(INDEX(المكونات!$C$2:$C$500,MATCH($B1005,المكونات!$A$2:$A$500,0)),"")</f>
        <v>27</v>
      </c>
      <c r="F1005" s="42" t="n">
        <f aca="false">IFERROR($C1005*$E1005,"")</f>
        <v>0.81</v>
      </c>
    </row>
    <row r="1006" customFormat="false" ht="15" hidden="false" customHeight="true" outlineLevel="0" collapsed="false">
      <c r="A1006" s="39" t="s">
        <v>441</v>
      </c>
      <c r="B1006" s="39" t="s">
        <v>162</v>
      </c>
      <c r="C1006" s="39" t="n">
        <v>0.03</v>
      </c>
      <c r="D1006" s="40" t="str">
        <f aca="false">IFERROR(INDEX(المكونات!$B$2:$B$500,MATCH($B1006,المكونات!$A$2:$A$500,0)),"")</f>
        <v>كجم</v>
      </c>
      <c r="E1006" s="41" t="n">
        <f aca="false">IFERROR(INDEX(المكونات!$C$2:$C$500,MATCH($B1006,المكونات!$A$2:$A$500,0)),"")</f>
        <v>95</v>
      </c>
      <c r="F1006" s="42" t="n">
        <f aca="false">IFERROR($C1006*$E1006,"")</f>
        <v>2.85</v>
      </c>
    </row>
    <row r="1007" customFormat="false" ht="15" hidden="false" customHeight="true" outlineLevel="0" collapsed="false">
      <c r="A1007" s="39" t="s">
        <v>441</v>
      </c>
      <c r="B1007" s="39" t="s">
        <v>112</v>
      </c>
      <c r="C1007" s="39" t="n">
        <v>1</v>
      </c>
      <c r="D1007" s="40" t="str">
        <f aca="false">IFERROR(INDEX(المكونات!$B$2:$B$500,MATCH($B1007,المكونات!$A$2:$A$500,0)),"")</f>
        <v>قطعة</v>
      </c>
      <c r="E1007" s="41" t="n">
        <f aca="false">IFERROR(INDEX(المكونات!$C$2:$C$500,MATCH($B1007,المكونات!$A$2:$A$500,0)),"")</f>
        <v>25</v>
      </c>
      <c r="F1007" s="42" t="n">
        <f aca="false">IFERROR($C1007*$E1007,"")</f>
        <v>25</v>
      </c>
    </row>
    <row r="1008" customFormat="false" ht="15" hidden="false" customHeight="true" outlineLevel="0" collapsed="false">
      <c r="A1008" s="39" t="s">
        <v>441</v>
      </c>
      <c r="B1008" s="39" t="s">
        <v>204</v>
      </c>
      <c r="C1008" s="39" t="n">
        <v>1</v>
      </c>
      <c r="D1008" s="40" t="str">
        <f aca="false">IFERROR(INDEX(المكونات!$B$2:$B$500,MATCH($B1008,المكونات!$A$2:$A$500,0)),"")</f>
        <v>قطعة</v>
      </c>
      <c r="E1008" s="41" t="n">
        <f aca="false">IFERROR(INDEX(المكونات!$C$2:$C$500,MATCH($B1008,المكونات!$A$2:$A$500,0)),"")</f>
        <v>5.5</v>
      </c>
      <c r="F1008" s="42" t="n">
        <f aca="false">IFERROR($C1008*$E1008,"")</f>
        <v>5.5</v>
      </c>
    </row>
    <row r="1009" customFormat="false" ht="15" hidden="false" customHeight="true" outlineLevel="0" collapsed="false">
      <c r="A1009" s="39" t="s">
        <v>441</v>
      </c>
      <c r="B1009" s="39" t="s">
        <v>225</v>
      </c>
      <c r="C1009" s="39" t="n">
        <v>3</v>
      </c>
      <c r="D1009" s="40" t="str">
        <f aca="false">IFERROR(INDEX(المكونات!$B$2:$B$500,MATCH($B1009,المكونات!$A$2:$A$500,0)),"")</f>
        <v>قطعة</v>
      </c>
      <c r="E1009" s="41" t="n">
        <f aca="false">IFERROR(INDEX(المكونات!$C$2:$C$500,MATCH($B1009,المكونات!$A$2:$A$500,0)),"")</f>
        <v>0.3</v>
      </c>
      <c r="F1009" s="42" t="n">
        <f aca="false">IFERROR($C1009*$E1009,"")</f>
        <v>0.9</v>
      </c>
    </row>
    <row r="1010" customFormat="false" ht="15" hidden="false" customHeight="true" outlineLevel="0" collapsed="false">
      <c r="A1010" s="39" t="s">
        <v>441</v>
      </c>
      <c r="B1010" s="39" t="s">
        <v>254</v>
      </c>
      <c r="C1010" s="39" t="n">
        <v>1</v>
      </c>
      <c r="D1010" s="40" t="str">
        <f aca="false">IFERROR(INDEX(المكونات!$B$2:$B$500,MATCH($B1010,المكونات!$A$2:$A$500,0)),"")</f>
        <v>قطعة (ورقة)</v>
      </c>
      <c r="E1010" s="41" t="n">
        <f aca="false">IFERROR(INDEX(المكونات!$C$2:$C$500,MATCH($B1010,المكونات!$A$2:$A$500,0)),"")</f>
        <v>0.3665</v>
      </c>
      <c r="F1010" s="42" t="n">
        <f aca="false">IFERROR($C1010*$E1010,"")</f>
        <v>0.3665</v>
      </c>
    </row>
    <row r="1011" customFormat="false" ht="15" hidden="false" customHeight="true" outlineLevel="0" collapsed="false">
      <c r="A1011" s="39" t="s">
        <v>441</v>
      </c>
      <c r="B1011" s="39" t="s">
        <v>67</v>
      </c>
      <c r="C1011" s="39" t="n">
        <v>1</v>
      </c>
      <c r="D1011" s="40" t="str">
        <f aca="false">IFERROR(INDEX(المكونات!$B$2:$B$500,MATCH($B1011,المكونات!$A$2:$A$500,0)),"")</f>
        <v>قطعة (كيس)</v>
      </c>
      <c r="E1011" s="41" t="n">
        <f aca="false">IFERROR(INDEX(المكونات!$C$2:$C$500,MATCH($B1011,المكونات!$A$2:$A$500,0)),"")</f>
        <v>1.4</v>
      </c>
      <c r="F1011" s="42" t="n">
        <f aca="false">IFERROR($C1011*$E1011,"")</f>
        <v>1.4</v>
      </c>
    </row>
    <row r="1012" customFormat="false" ht="15" hidden="false" customHeight="true" outlineLevel="0" collapsed="false">
      <c r="A1012" s="39" t="s">
        <v>441</v>
      </c>
      <c r="B1012" s="39" t="s">
        <v>228</v>
      </c>
      <c r="C1012" s="39" t="n">
        <v>1</v>
      </c>
      <c r="D1012" s="40" t="str">
        <f aca="false">IFERROR(INDEX(المكونات!$B$2:$B$500,MATCH($B1012,المكونات!$A$2:$A$500,0)),"")</f>
        <v>قطعة</v>
      </c>
      <c r="E1012" s="41" t="n">
        <f aca="false">IFERROR(INDEX(المكونات!$C$2:$C$500,MATCH($B1012,المكونات!$A$2:$A$500,0)),"")</f>
        <v>0.5</v>
      </c>
      <c r="F1012" s="42" t="n">
        <f aca="false">IFERROR($C1012*$E1012,"")</f>
        <v>0.5</v>
      </c>
    </row>
    <row r="1013" customFormat="false" ht="15" hidden="false" customHeight="true" outlineLevel="0" collapsed="false">
      <c r="A1013" s="39" t="s">
        <v>441</v>
      </c>
      <c r="B1013" s="39" t="s">
        <v>145</v>
      </c>
      <c r="C1013" s="39" t="n">
        <v>2</v>
      </c>
      <c r="D1013" s="40" t="str">
        <f aca="false">IFERROR(INDEX(المكونات!$B$2:$B$500,MATCH($B1013,المكونات!$A$2:$A$500,0)),"")</f>
        <v>قطعة (جلفز)</v>
      </c>
      <c r="E1013" s="41" t="n">
        <f aca="false">IFERROR(INDEX(المكونات!$C$2:$C$500,MATCH($B1013,المكونات!$A$2:$A$500,0)),"")</f>
        <v>0.18</v>
      </c>
      <c r="F1013" s="42" t="n">
        <f aca="false">IFERROR($C1013*$E1013,"")</f>
        <v>0.36</v>
      </c>
    </row>
    <row r="1014" customFormat="false" ht="15" hidden="false" customHeight="true" outlineLevel="0" collapsed="false">
      <c r="A1014" s="39" t="s">
        <v>441</v>
      </c>
      <c r="B1014" s="39" t="s">
        <v>257</v>
      </c>
      <c r="C1014" s="39" t="n">
        <v>1</v>
      </c>
      <c r="D1014" s="40" t="str">
        <f aca="false">IFERROR(INDEX(المكونات!$B$2:$B$500,MATCH($B1014,المكونات!$A$2:$A$500,0)),"")</f>
        <v>قطعة (كيس)</v>
      </c>
      <c r="E1014" s="41" t="n">
        <f aca="false">IFERROR(INDEX(المكونات!$C$2:$C$500,MATCH($B1014,المكونات!$A$2:$A$500,0)),"")</f>
        <v>0.9995</v>
      </c>
      <c r="F1014" s="42" t="n">
        <f aca="false">IFERROR($C1014*$E1014,"")</f>
        <v>0.9995</v>
      </c>
    </row>
    <row r="1015" customFormat="false" ht="15" hidden="false" customHeight="true" outlineLevel="0" collapsed="false">
      <c r="A1015" s="39" t="s">
        <v>441</v>
      </c>
      <c r="B1015" s="39" t="s">
        <v>271</v>
      </c>
      <c r="C1015" s="39" t="n">
        <v>0.18</v>
      </c>
      <c r="D1015" s="40" t="str">
        <f aca="false">IFERROR(INDEX(المكونات!$B$2:$B$500,MATCH($B1015,المكونات!$A$2:$A$500,0)),"")</f>
        <v>كجم</v>
      </c>
      <c r="E1015" s="41" t="n">
        <f aca="false">IFERROR(INDEX(المكونات!$C$2:$C$500,MATCH($B1015,المكونات!$A$2:$A$500,0)),"")</f>
        <v>220.02</v>
      </c>
      <c r="F1015" s="42" t="n">
        <f aca="false">IFERROR($C1015*$E1015,"")</f>
        <v>39.6036</v>
      </c>
    </row>
    <row r="1016" customFormat="false" ht="15" hidden="false" customHeight="true" outlineLevel="0" collapsed="false">
      <c r="A1016" s="39" t="s">
        <v>432</v>
      </c>
      <c r="B1016" s="39" t="s">
        <v>198</v>
      </c>
      <c r="C1016" s="39" t="n">
        <v>0.22</v>
      </c>
      <c r="D1016" s="40" t="str">
        <f aca="false">IFERROR(INDEX(المكونات!$B$2:$B$500,MATCH($B1016,المكونات!$A$2:$A$500,0)),"")</f>
        <v>كجم</v>
      </c>
      <c r="E1016" s="41" t="n">
        <f aca="false">IFERROR(INDEX(المكونات!$C$2:$C$500,MATCH($B1016,المكونات!$A$2:$A$500,0)),"")</f>
        <v>22</v>
      </c>
      <c r="F1016" s="42" t="n">
        <f aca="false">IFERROR($C1016*$E1016,"")</f>
        <v>4.84</v>
      </c>
    </row>
    <row r="1017" customFormat="false" ht="15" hidden="false" customHeight="true" outlineLevel="0" collapsed="false">
      <c r="A1017" s="39" t="s">
        <v>432</v>
      </c>
      <c r="B1017" s="39" t="s">
        <v>186</v>
      </c>
      <c r="C1017" s="39" t="n">
        <v>0.04</v>
      </c>
      <c r="D1017" s="40" t="str">
        <f aca="false">IFERROR(INDEX(المكونات!$B$2:$B$500,MATCH($B1017,المكونات!$A$2:$A$500,0)),"")</f>
        <v>كجم</v>
      </c>
      <c r="E1017" s="41" t="n">
        <f aca="false">IFERROR(INDEX(المكونات!$C$2:$C$500,MATCH($B1017,المكونات!$A$2:$A$500,0)),"")</f>
        <v>32</v>
      </c>
      <c r="F1017" s="42" t="n">
        <f aca="false">IFERROR($C1017*$E1017,"")</f>
        <v>1.28</v>
      </c>
    </row>
    <row r="1018" customFormat="false" ht="15" hidden="false" customHeight="true" outlineLevel="0" collapsed="false">
      <c r="A1018" s="39" t="s">
        <v>432</v>
      </c>
      <c r="B1018" s="39" t="s">
        <v>196</v>
      </c>
      <c r="C1018" s="39" t="n">
        <v>0.03</v>
      </c>
      <c r="D1018" s="40" t="str">
        <f aca="false">IFERROR(INDEX(المكونات!$B$2:$B$500,MATCH($B1018,المكونات!$A$2:$A$500,0)),"")</f>
        <v>كجم</v>
      </c>
      <c r="E1018" s="41" t="n">
        <f aca="false">IFERROR(INDEX(المكونات!$C$2:$C$500,MATCH($B1018,المكونات!$A$2:$A$500,0)),"")</f>
        <v>21</v>
      </c>
      <c r="F1018" s="42" t="n">
        <f aca="false">IFERROR($C1018*$E1018,"")</f>
        <v>0.63</v>
      </c>
    </row>
    <row r="1019" customFormat="false" ht="15" hidden="false" customHeight="true" outlineLevel="0" collapsed="false">
      <c r="A1019" s="39" t="s">
        <v>432</v>
      </c>
      <c r="B1019" s="39" t="s">
        <v>219</v>
      </c>
      <c r="C1019" s="39" t="n">
        <v>0.02</v>
      </c>
      <c r="D1019" s="40" t="str">
        <f aca="false">IFERROR(INDEX(المكونات!$B$2:$B$500,MATCH($B1019,المكونات!$A$2:$A$500,0)),"")</f>
        <v>كجم</v>
      </c>
      <c r="E1019" s="41" t="n">
        <f aca="false">IFERROR(INDEX(المكونات!$C$2:$C$500,MATCH($B1019,المكونات!$A$2:$A$500,0)),"")</f>
        <v>27</v>
      </c>
      <c r="F1019" s="42" t="n">
        <f aca="false">IFERROR($C1019*$E1019,"")</f>
        <v>0.54</v>
      </c>
    </row>
    <row r="1020" customFormat="false" ht="15" hidden="false" customHeight="true" outlineLevel="0" collapsed="false">
      <c r="A1020" s="39" t="s">
        <v>432</v>
      </c>
      <c r="B1020" s="39" t="s">
        <v>162</v>
      </c>
      <c r="C1020" s="39" t="n">
        <v>0.02</v>
      </c>
      <c r="D1020" s="40" t="str">
        <f aca="false">IFERROR(INDEX(المكونات!$B$2:$B$500,MATCH($B1020,المكونات!$A$2:$A$500,0)),"")</f>
        <v>كجم</v>
      </c>
      <c r="E1020" s="41" t="n">
        <f aca="false">IFERROR(INDEX(المكونات!$C$2:$C$500,MATCH($B1020,المكونات!$A$2:$A$500,0)),"")</f>
        <v>95</v>
      </c>
      <c r="F1020" s="42" t="n">
        <f aca="false">IFERROR($C1020*$E1020,"")</f>
        <v>1.9</v>
      </c>
    </row>
    <row r="1021" customFormat="false" ht="15" hidden="false" customHeight="true" outlineLevel="0" collapsed="false">
      <c r="A1021" s="39" t="s">
        <v>432</v>
      </c>
      <c r="B1021" s="39" t="s">
        <v>110</v>
      </c>
      <c r="C1021" s="39" t="n">
        <v>1</v>
      </c>
      <c r="D1021" s="40" t="str">
        <f aca="false">IFERROR(INDEX(المكونات!$B$2:$B$500,MATCH($B1021,المكونات!$A$2:$A$500,0)),"")</f>
        <v>قطعة</v>
      </c>
      <c r="E1021" s="41" t="n">
        <f aca="false">IFERROR(INDEX(المكونات!$C$2:$C$500,MATCH($B1021,المكونات!$A$2:$A$500,0)),"")</f>
        <v>17.5</v>
      </c>
      <c r="F1021" s="42" t="n">
        <f aca="false">IFERROR($C1021*$E1021,"")</f>
        <v>17.5</v>
      </c>
    </row>
    <row r="1022" customFormat="false" ht="15" hidden="false" customHeight="true" outlineLevel="0" collapsed="false">
      <c r="A1022" s="39" t="s">
        <v>432</v>
      </c>
      <c r="B1022" s="39" t="s">
        <v>206</v>
      </c>
      <c r="C1022" s="39" t="n">
        <v>1</v>
      </c>
      <c r="D1022" s="40" t="str">
        <f aca="false">IFERROR(INDEX(المكونات!$B$2:$B$500,MATCH($B1022,المكونات!$A$2:$A$500,0)),"")</f>
        <v>قطعة</v>
      </c>
      <c r="E1022" s="41" t="n">
        <f aca="false">IFERROR(INDEX(المكونات!$C$2:$C$500,MATCH($B1022,المكونات!$A$2:$A$500,0)),"")</f>
        <v>4.5</v>
      </c>
      <c r="F1022" s="42" t="n">
        <f aca="false">IFERROR($C1022*$E1022,"")</f>
        <v>4.5</v>
      </c>
    </row>
    <row r="1023" customFormat="false" ht="15" hidden="false" customHeight="true" outlineLevel="0" collapsed="false">
      <c r="A1023" s="39" t="s">
        <v>432</v>
      </c>
      <c r="B1023" s="39" t="s">
        <v>225</v>
      </c>
      <c r="C1023" s="39" t="n">
        <v>2</v>
      </c>
      <c r="D1023" s="40" t="str">
        <f aca="false">IFERROR(INDEX(المكونات!$B$2:$B$500,MATCH($B1023,المكونات!$A$2:$A$500,0)),"")</f>
        <v>قطعة</v>
      </c>
      <c r="E1023" s="41" t="n">
        <f aca="false">IFERROR(INDEX(المكونات!$C$2:$C$500,MATCH($B1023,المكونات!$A$2:$A$500,0)),"")</f>
        <v>0.3</v>
      </c>
      <c r="F1023" s="42" t="n">
        <f aca="false">IFERROR($C1023*$E1023,"")</f>
        <v>0.6</v>
      </c>
    </row>
    <row r="1024" customFormat="false" ht="15" hidden="false" customHeight="true" outlineLevel="0" collapsed="false">
      <c r="A1024" s="39" t="s">
        <v>432</v>
      </c>
      <c r="B1024" s="39" t="s">
        <v>254</v>
      </c>
      <c r="C1024" s="39" t="n">
        <v>1</v>
      </c>
      <c r="D1024" s="40" t="str">
        <f aca="false">IFERROR(INDEX(المكونات!$B$2:$B$500,MATCH($B1024,المكونات!$A$2:$A$500,0)),"")</f>
        <v>قطعة (ورقة)</v>
      </c>
      <c r="E1024" s="41" t="n">
        <f aca="false">IFERROR(INDEX(المكونات!$C$2:$C$500,MATCH($B1024,المكونات!$A$2:$A$500,0)),"")</f>
        <v>0.3665</v>
      </c>
      <c r="F1024" s="42" t="n">
        <f aca="false">IFERROR($C1024*$E1024,"")</f>
        <v>0.3665</v>
      </c>
    </row>
    <row r="1025" customFormat="false" ht="15" hidden="false" customHeight="true" outlineLevel="0" collapsed="false">
      <c r="A1025" s="39" t="s">
        <v>432</v>
      </c>
      <c r="B1025" s="39" t="s">
        <v>67</v>
      </c>
      <c r="C1025" s="39" t="n">
        <v>1</v>
      </c>
      <c r="D1025" s="40" t="str">
        <f aca="false">IFERROR(INDEX(المكونات!$B$2:$B$500,MATCH($B1025,المكونات!$A$2:$A$500,0)),"")</f>
        <v>قطعة (كيس)</v>
      </c>
      <c r="E1025" s="41" t="n">
        <f aca="false">IFERROR(INDEX(المكونات!$C$2:$C$500,MATCH($B1025,المكونات!$A$2:$A$500,0)),"")</f>
        <v>1.4</v>
      </c>
      <c r="F1025" s="42" t="n">
        <f aca="false">IFERROR($C1025*$E1025,"")</f>
        <v>1.4</v>
      </c>
    </row>
    <row r="1026" customFormat="false" ht="15" hidden="false" customHeight="true" outlineLevel="0" collapsed="false">
      <c r="A1026" s="39" t="s">
        <v>432</v>
      </c>
      <c r="B1026" s="39" t="s">
        <v>228</v>
      </c>
      <c r="C1026" s="39" t="n">
        <v>1</v>
      </c>
      <c r="D1026" s="40" t="str">
        <f aca="false">IFERROR(INDEX(المكونات!$B$2:$B$500,MATCH($B1026,المكونات!$A$2:$A$500,0)),"")</f>
        <v>قطعة</v>
      </c>
      <c r="E1026" s="41" t="n">
        <f aca="false">IFERROR(INDEX(المكونات!$C$2:$C$500,MATCH($B1026,المكونات!$A$2:$A$500,0)),"")</f>
        <v>0.5</v>
      </c>
      <c r="F1026" s="42" t="n">
        <f aca="false">IFERROR($C1026*$E1026,"")</f>
        <v>0.5</v>
      </c>
    </row>
    <row r="1027" customFormat="false" ht="15" hidden="false" customHeight="true" outlineLevel="0" collapsed="false">
      <c r="A1027" s="39" t="s">
        <v>432</v>
      </c>
      <c r="B1027" s="39" t="s">
        <v>145</v>
      </c>
      <c r="C1027" s="39" t="n">
        <v>2</v>
      </c>
      <c r="D1027" s="40" t="str">
        <f aca="false">IFERROR(INDEX(المكونات!$B$2:$B$500,MATCH($B1027,المكونات!$A$2:$A$500,0)),"")</f>
        <v>قطعة (جلفز)</v>
      </c>
      <c r="E1027" s="41" t="n">
        <f aca="false">IFERROR(INDEX(المكونات!$C$2:$C$500,MATCH($B1027,المكونات!$A$2:$A$500,0)),"")</f>
        <v>0.18</v>
      </c>
      <c r="F1027" s="42" t="n">
        <f aca="false">IFERROR($C1027*$E1027,"")</f>
        <v>0.36</v>
      </c>
    </row>
    <row r="1028" customFormat="false" ht="15" hidden="false" customHeight="true" outlineLevel="0" collapsed="false">
      <c r="A1028" s="39" t="s">
        <v>432</v>
      </c>
      <c r="B1028" s="39" t="s">
        <v>257</v>
      </c>
      <c r="C1028" s="39" t="n">
        <v>1</v>
      </c>
      <c r="D1028" s="40" t="str">
        <f aca="false">IFERROR(INDEX(المكونات!$B$2:$B$500,MATCH($B1028,المكونات!$A$2:$A$500,0)),"")</f>
        <v>قطعة (كيس)</v>
      </c>
      <c r="E1028" s="41" t="n">
        <f aca="false">IFERROR(INDEX(المكونات!$C$2:$C$500,MATCH($B1028,المكونات!$A$2:$A$500,0)),"")</f>
        <v>0.9995</v>
      </c>
      <c r="F1028" s="42" t="n">
        <f aca="false">IFERROR($C1028*$E1028,"")</f>
        <v>0.9995</v>
      </c>
    </row>
    <row r="1029" customFormat="false" ht="15" hidden="false" customHeight="true" outlineLevel="0" collapsed="false">
      <c r="A1029" s="39" t="s">
        <v>432</v>
      </c>
      <c r="B1029" s="39" t="s">
        <v>273</v>
      </c>
      <c r="C1029" s="39" t="n">
        <v>0.14</v>
      </c>
      <c r="D1029" s="40" t="str">
        <f aca="false">IFERROR(INDEX(المكونات!$B$2:$B$500,MATCH($B1029,المكونات!$A$2:$A$500,0)),"")</f>
        <v>كجم</v>
      </c>
      <c r="E1029" s="41" t="n">
        <f aca="false">IFERROR(INDEX(المكونات!$C$2:$C$500,MATCH($B1029,المكونات!$A$2:$A$500,0)),"")</f>
        <v>219.23</v>
      </c>
      <c r="F1029" s="42" t="n">
        <f aca="false">IFERROR($C1029*$E1029,"")</f>
        <v>30.6922</v>
      </c>
    </row>
    <row r="1030" customFormat="false" ht="15" hidden="false" customHeight="true" outlineLevel="0" collapsed="false">
      <c r="A1030" s="39" t="s">
        <v>454</v>
      </c>
      <c r="B1030" s="39" t="s">
        <v>198</v>
      </c>
      <c r="C1030" s="39" t="n">
        <v>0.3</v>
      </c>
      <c r="D1030" s="40" t="str">
        <f aca="false">IFERROR(INDEX(المكونات!$B$2:$B$500,MATCH($B1030,المكونات!$A$2:$A$500,0)),"")</f>
        <v>كجم</v>
      </c>
      <c r="E1030" s="41" t="n">
        <f aca="false">IFERROR(INDEX(المكونات!$C$2:$C$500,MATCH($B1030,المكونات!$A$2:$A$500,0)),"")</f>
        <v>22</v>
      </c>
      <c r="F1030" s="42" t="n">
        <f aca="false">IFERROR($C1030*$E1030,"")</f>
        <v>6.6</v>
      </c>
    </row>
    <row r="1031" customFormat="false" ht="15" hidden="false" customHeight="true" outlineLevel="0" collapsed="false">
      <c r="A1031" s="39" t="s">
        <v>454</v>
      </c>
      <c r="B1031" s="39" t="s">
        <v>186</v>
      </c>
      <c r="C1031" s="39" t="n">
        <v>0.06</v>
      </c>
      <c r="D1031" s="40" t="str">
        <f aca="false">IFERROR(INDEX(المكونات!$B$2:$B$500,MATCH($B1031,المكونات!$A$2:$A$500,0)),"")</f>
        <v>كجم</v>
      </c>
      <c r="E1031" s="41" t="n">
        <f aca="false">IFERROR(INDEX(المكونات!$C$2:$C$500,MATCH($B1031,المكونات!$A$2:$A$500,0)),"")</f>
        <v>32</v>
      </c>
      <c r="F1031" s="42" t="n">
        <f aca="false">IFERROR($C1031*$E1031,"")</f>
        <v>1.92</v>
      </c>
    </row>
    <row r="1032" customFormat="false" ht="15" hidden="false" customHeight="true" outlineLevel="0" collapsed="false">
      <c r="A1032" s="39" t="s">
        <v>454</v>
      </c>
      <c r="B1032" s="39" t="s">
        <v>196</v>
      </c>
      <c r="C1032" s="39" t="n">
        <v>0.045</v>
      </c>
      <c r="D1032" s="40" t="str">
        <f aca="false">IFERROR(INDEX(المكونات!$B$2:$B$500,MATCH($B1032,المكونات!$A$2:$A$500,0)),"")</f>
        <v>كجم</v>
      </c>
      <c r="E1032" s="41" t="n">
        <f aca="false">IFERROR(INDEX(المكونات!$C$2:$C$500,MATCH($B1032,المكونات!$A$2:$A$500,0)),"")</f>
        <v>21</v>
      </c>
      <c r="F1032" s="42" t="n">
        <f aca="false">IFERROR($C1032*$E1032,"")</f>
        <v>0.945</v>
      </c>
    </row>
    <row r="1033" customFormat="false" ht="15" hidden="false" customHeight="true" outlineLevel="0" collapsed="false">
      <c r="A1033" s="39" t="s">
        <v>454</v>
      </c>
      <c r="B1033" s="39" t="s">
        <v>219</v>
      </c>
      <c r="C1033" s="39" t="n">
        <v>0.03</v>
      </c>
      <c r="D1033" s="40" t="str">
        <f aca="false">IFERROR(INDEX(المكونات!$B$2:$B$500,MATCH($B1033,المكونات!$A$2:$A$500,0)),"")</f>
        <v>كجم</v>
      </c>
      <c r="E1033" s="41" t="n">
        <f aca="false">IFERROR(INDEX(المكونات!$C$2:$C$500,MATCH($B1033,المكونات!$A$2:$A$500,0)),"")</f>
        <v>27</v>
      </c>
      <c r="F1033" s="42" t="n">
        <f aca="false">IFERROR($C1033*$E1033,"")</f>
        <v>0.81</v>
      </c>
    </row>
    <row r="1034" customFormat="false" ht="15" hidden="false" customHeight="true" outlineLevel="0" collapsed="false">
      <c r="A1034" s="39" t="s">
        <v>454</v>
      </c>
      <c r="B1034" s="39" t="s">
        <v>162</v>
      </c>
      <c r="C1034" s="39" t="n">
        <v>0.03</v>
      </c>
      <c r="D1034" s="40" t="str">
        <f aca="false">IFERROR(INDEX(المكونات!$B$2:$B$500,MATCH($B1034,المكونات!$A$2:$A$500,0)),"")</f>
        <v>كجم</v>
      </c>
      <c r="E1034" s="41" t="n">
        <f aca="false">IFERROR(INDEX(المكونات!$C$2:$C$500,MATCH($B1034,المكونات!$A$2:$A$500,0)),"")</f>
        <v>95</v>
      </c>
      <c r="F1034" s="42" t="n">
        <f aca="false">IFERROR($C1034*$E1034,"")</f>
        <v>2.85</v>
      </c>
    </row>
    <row r="1035" customFormat="false" ht="15" hidden="false" customHeight="true" outlineLevel="0" collapsed="false">
      <c r="A1035" s="39" t="s">
        <v>454</v>
      </c>
      <c r="B1035" s="39" t="s">
        <v>112</v>
      </c>
      <c r="C1035" s="39" t="n">
        <v>1</v>
      </c>
      <c r="D1035" s="40" t="str">
        <f aca="false">IFERROR(INDEX(المكونات!$B$2:$B$500,MATCH($B1035,المكونات!$A$2:$A$500,0)),"")</f>
        <v>قطعة</v>
      </c>
      <c r="E1035" s="41" t="n">
        <f aca="false">IFERROR(INDEX(المكونات!$C$2:$C$500,MATCH($B1035,المكونات!$A$2:$A$500,0)),"")</f>
        <v>25</v>
      </c>
      <c r="F1035" s="42" t="n">
        <f aca="false">IFERROR($C1035*$E1035,"")</f>
        <v>25</v>
      </c>
    </row>
    <row r="1036" customFormat="false" ht="15" hidden="false" customHeight="true" outlineLevel="0" collapsed="false">
      <c r="A1036" s="39" t="s">
        <v>454</v>
      </c>
      <c r="B1036" s="39" t="s">
        <v>204</v>
      </c>
      <c r="C1036" s="39" t="n">
        <v>1</v>
      </c>
      <c r="D1036" s="40" t="str">
        <f aca="false">IFERROR(INDEX(المكونات!$B$2:$B$500,MATCH($B1036,المكونات!$A$2:$A$500,0)),"")</f>
        <v>قطعة</v>
      </c>
      <c r="E1036" s="41" t="n">
        <f aca="false">IFERROR(INDEX(المكونات!$C$2:$C$500,MATCH($B1036,المكونات!$A$2:$A$500,0)),"")</f>
        <v>5.5</v>
      </c>
      <c r="F1036" s="42" t="n">
        <f aca="false">IFERROR($C1036*$E1036,"")</f>
        <v>5.5</v>
      </c>
    </row>
    <row r="1037" customFormat="false" ht="15" hidden="false" customHeight="true" outlineLevel="0" collapsed="false">
      <c r="A1037" s="39" t="s">
        <v>454</v>
      </c>
      <c r="B1037" s="39" t="s">
        <v>225</v>
      </c>
      <c r="C1037" s="39" t="n">
        <v>3</v>
      </c>
      <c r="D1037" s="40" t="str">
        <f aca="false">IFERROR(INDEX(المكونات!$B$2:$B$500,MATCH($B1037,المكونات!$A$2:$A$500,0)),"")</f>
        <v>قطعة</v>
      </c>
      <c r="E1037" s="41" t="n">
        <f aca="false">IFERROR(INDEX(المكونات!$C$2:$C$500,MATCH($B1037,المكونات!$A$2:$A$500,0)),"")</f>
        <v>0.3</v>
      </c>
      <c r="F1037" s="42" t="n">
        <f aca="false">IFERROR($C1037*$E1037,"")</f>
        <v>0.9</v>
      </c>
    </row>
    <row r="1038" customFormat="false" ht="15" hidden="false" customHeight="true" outlineLevel="0" collapsed="false">
      <c r="A1038" s="39" t="s">
        <v>454</v>
      </c>
      <c r="B1038" s="39" t="s">
        <v>254</v>
      </c>
      <c r="C1038" s="39" t="n">
        <v>1</v>
      </c>
      <c r="D1038" s="40" t="str">
        <f aca="false">IFERROR(INDEX(المكونات!$B$2:$B$500,MATCH($B1038,المكونات!$A$2:$A$500,0)),"")</f>
        <v>قطعة (ورقة)</v>
      </c>
      <c r="E1038" s="41" t="n">
        <f aca="false">IFERROR(INDEX(المكونات!$C$2:$C$500,MATCH($B1038,المكونات!$A$2:$A$500,0)),"")</f>
        <v>0.3665</v>
      </c>
      <c r="F1038" s="42" t="n">
        <f aca="false">IFERROR($C1038*$E1038,"")</f>
        <v>0.3665</v>
      </c>
    </row>
    <row r="1039" customFormat="false" ht="15" hidden="false" customHeight="true" outlineLevel="0" collapsed="false">
      <c r="A1039" s="39" t="s">
        <v>454</v>
      </c>
      <c r="B1039" s="39" t="s">
        <v>67</v>
      </c>
      <c r="C1039" s="39" t="n">
        <v>1</v>
      </c>
      <c r="D1039" s="40" t="str">
        <f aca="false">IFERROR(INDEX(المكونات!$B$2:$B$500,MATCH($B1039,المكونات!$A$2:$A$500,0)),"")</f>
        <v>قطعة (كيس)</v>
      </c>
      <c r="E1039" s="41" t="n">
        <f aca="false">IFERROR(INDEX(المكونات!$C$2:$C$500,MATCH($B1039,المكونات!$A$2:$A$500,0)),"")</f>
        <v>1.4</v>
      </c>
      <c r="F1039" s="42" t="n">
        <f aca="false">IFERROR($C1039*$E1039,"")</f>
        <v>1.4</v>
      </c>
    </row>
    <row r="1040" customFormat="false" ht="15" hidden="false" customHeight="true" outlineLevel="0" collapsed="false">
      <c r="A1040" s="39" t="s">
        <v>454</v>
      </c>
      <c r="B1040" s="39" t="s">
        <v>228</v>
      </c>
      <c r="C1040" s="39" t="n">
        <v>1</v>
      </c>
      <c r="D1040" s="40" t="str">
        <f aca="false">IFERROR(INDEX(المكونات!$B$2:$B$500,MATCH($B1040,المكونات!$A$2:$A$500,0)),"")</f>
        <v>قطعة</v>
      </c>
      <c r="E1040" s="41" t="n">
        <f aca="false">IFERROR(INDEX(المكونات!$C$2:$C$500,MATCH($B1040,المكونات!$A$2:$A$500,0)),"")</f>
        <v>0.5</v>
      </c>
      <c r="F1040" s="42" t="n">
        <f aca="false">IFERROR($C1040*$E1040,"")</f>
        <v>0.5</v>
      </c>
    </row>
    <row r="1041" customFormat="false" ht="15" hidden="false" customHeight="true" outlineLevel="0" collapsed="false">
      <c r="A1041" s="39" t="s">
        <v>454</v>
      </c>
      <c r="B1041" s="39" t="s">
        <v>145</v>
      </c>
      <c r="C1041" s="39" t="n">
        <v>2</v>
      </c>
      <c r="D1041" s="40" t="str">
        <f aca="false">IFERROR(INDEX(المكونات!$B$2:$B$500,MATCH($B1041,المكونات!$A$2:$A$500,0)),"")</f>
        <v>قطعة (جلفز)</v>
      </c>
      <c r="E1041" s="41" t="n">
        <f aca="false">IFERROR(INDEX(المكونات!$C$2:$C$500,MATCH($B1041,المكونات!$A$2:$A$500,0)),"")</f>
        <v>0.18</v>
      </c>
      <c r="F1041" s="42" t="n">
        <f aca="false">IFERROR($C1041*$E1041,"")</f>
        <v>0.36</v>
      </c>
    </row>
    <row r="1042" customFormat="false" ht="15" hidden="false" customHeight="true" outlineLevel="0" collapsed="false">
      <c r="A1042" s="39" t="s">
        <v>454</v>
      </c>
      <c r="B1042" s="39" t="s">
        <v>257</v>
      </c>
      <c r="C1042" s="39" t="n">
        <v>1</v>
      </c>
      <c r="D1042" s="40" t="str">
        <f aca="false">IFERROR(INDEX(المكونات!$B$2:$B$500,MATCH($B1042,المكونات!$A$2:$A$500,0)),"")</f>
        <v>قطعة (كيس)</v>
      </c>
      <c r="E1042" s="41" t="n">
        <f aca="false">IFERROR(INDEX(المكونات!$C$2:$C$500,MATCH($B1042,المكونات!$A$2:$A$500,0)),"")</f>
        <v>0.9995</v>
      </c>
      <c r="F1042" s="42" t="n">
        <f aca="false">IFERROR($C1042*$E1042,"")</f>
        <v>0.9995</v>
      </c>
    </row>
    <row r="1043" customFormat="false" ht="15" hidden="false" customHeight="true" outlineLevel="0" collapsed="false">
      <c r="A1043" s="39" t="s">
        <v>454</v>
      </c>
      <c r="B1043" s="39" t="s">
        <v>273</v>
      </c>
      <c r="C1043" s="39" t="n">
        <v>0.21</v>
      </c>
      <c r="D1043" s="40" t="str">
        <f aca="false">IFERROR(INDEX(المكونات!$B$2:$B$500,MATCH($B1043,المكونات!$A$2:$A$500,0)),"")</f>
        <v>كجم</v>
      </c>
      <c r="E1043" s="41" t="n">
        <f aca="false">IFERROR(INDEX(المكونات!$C$2:$C$500,MATCH($B1043,المكونات!$A$2:$A$500,0)),"")</f>
        <v>219.23</v>
      </c>
      <c r="F1043" s="42" t="n">
        <f aca="false">IFERROR($C1043*$E1043,"")</f>
        <v>46.0383</v>
      </c>
    </row>
    <row r="1044" customFormat="false" ht="15" hidden="false" customHeight="true" outlineLevel="0" collapsed="false">
      <c r="A1044" s="39" t="s">
        <v>410</v>
      </c>
      <c r="B1044" s="39" t="s">
        <v>198</v>
      </c>
      <c r="C1044" s="39" t="n">
        <v>0.22</v>
      </c>
      <c r="D1044" s="40" t="str">
        <f aca="false">IFERROR(INDEX(المكونات!$B$2:$B$500,MATCH($B1044,المكونات!$A$2:$A$500,0)),"")</f>
        <v>كجم</v>
      </c>
      <c r="E1044" s="41" t="n">
        <f aca="false">IFERROR(INDEX(المكونات!$C$2:$C$500,MATCH($B1044,المكونات!$A$2:$A$500,0)),"")</f>
        <v>22</v>
      </c>
      <c r="F1044" s="42" t="n">
        <f aca="false">IFERROR($C1044*$E1044,"")</f>
        <v>4.84</v>
      </c>
    </row>
    <row r="1045" customFormat="false" ht="15" hidden="false" customHeight="true" outlineLevel="0" collapsed="false">
      <c r="A1045" s="39" t="s">
        <v>410</v>
      </c>
      <c r="B1045" s="39" t="s">
        <v>186</v>
      </c>
      <c r="C1045" s="39" t="n">
        <v>0.04</v>
      </c>
      <c r="D1045" s="40" t="str">
        <f aca="false">IFERROR(INDEX(المكونات!$B$2:$B$500,MATCH($B1045,المكونات!$A$2:$A$500,0)),"")</f>
        <v>كجم</v>
      </c>
      <c r="E1045" s="41" t="n">
        <f aca="false">IFERROR(INDEX(المكونات!$C$2:$C$500,MATCH($B1045,المكونات!$A$2:$A$500,0)),"")</f>
        <v>32</v>
      </c>
      <c r="F1045" s="42" t="n">
        <f aca="false">IFERROR($C1045*$E1045,"")</f>
        <v>1.28</v>
      </c>
    </row>
    <row r="1046" customFormat="false" ht="15" hidden="false" customHeight="true" outlineLevel="0" collapsed="false">
      <c r="A1046" s="39" t="s">
        <v>410</v>
      </c>
      <c r="B1046" s="39" t="s">
        <v>196</v>
      </c>
      <c r="C1046" s="39" t="n">
        <v>0.03</v>
      </c>
      <c r="D1046" s="40" t="str">
        <f aca="false">IFERROR(INDEX(المكونات!$B$2:$B$500,MATCH($B1046,المكونات!$A$2:$A$500,0)),"")</f>
        <v>كجم</v>
      </c>
      <c r="E1046" s="41" t="n">
        <f aca="false">IFERROR(INDEX(المكونات!$C$2:$C$500,MATCH($B1046,المكونات!$A$2:$A$500,0)),"")</f>
        <v>21</v>
      </c>
      <c r="F1046" s="42" t="n">
        <f aca="false">IFERROR($C1046*$E1046,"")</f>
        <v>0.63</v>
      </c>
    </row>
    <row r="1047" customFormat="false" ht="15" hidden="false" customHeight="true" outlineLevel="0" collapsed="false">
      <c r="A1047" s="39" t="s">
        <v>410</v>
      </c>
      <c r="B1047" s="39" t="s">
        <v>219</v>
      </c>
      <c r="C1047" s="39" t="n">
        <v>0.02</v>
      </c>
      <c r="D1047" s="40" t="str">
        <f aca="false">IFERROR(INDEX(المكونات!$B$2:$B$500,MATCH($B1047,المكونات!$A$2:$A$500,0)),"")</f>
        <v>كجم</v>
      </c>
      <c r="E1047" s="41" t="n">
        <f aca="false">IFERROR(INDEX(المكونات!$C$2:$C$500,MATCH($B1047,المكونات!$A$2:$A$500,0)),"")</f>
        <v>27</v>
      </c>
      <c r="F1047" s="42" t="n">
        <f aca="false">IFERROR($C1047*$E1047,"")</f>
        <v>0.54</v>
      </c>
    </row>
    <row r="1048" customFormat="false" ht="15" hidden="false" customHeight="true" outlineLevel="0" collapsed="false">
      <c r="A1048" s="39" t="s">
        <v>410</v>
      </c>
      <c r="B1048" s="39" t="s">
        <v>162</v>
      </c>
      <c r="C1048" s="39" t="n">
        <v>0.02</v>
      </c>
      <c r="D1048" s="40" t="str">
        <f aca="false">IFERROR(INDEX(المكونات!$B$2:$B$500,MATCH($B1048,المكونات!$A$2:$A$500,0)),"")</f>
        <v>كجم</v>
      </c>
      <c r="E1048" s="41" t="n">
        <f aca="false">IFERROR(INDEX(المكونات!$C$2:$C$500,MATCH($B1048,المكونات!$A$2:$A$500,0)),"")</f>
        <v>95</v>
      </c>
      <c r="F1048" s="42" t="n">
        <f aca="false">IFERROR($C1048*$E1048,"")</f>
        <v>1.9</v>
      </c>
    </row>
    <row r="1049" customFormat="false" ht="15" hidden="false" customHeight="true" outlineLevel="0" collapsed="false">
      <c r="A1049" s="39" t="s">
        <v>410</v>
      </c>
      <c r="B1049" s="39" t="s">
        <v>110</v>
      </c>
      <c r="C1049" s="39" t="n">
        <v>1</v>
      </c>
      <c r="D1049" s="40" t="str">
        <f aca="false">IFERROR(INDEX(المكونات!$B$2:$B$500,MATCH($B1049,المكونات!$A$2:$A$500,0)),"")</f>
        <v>قطعة</v>
      </c>
      <c r="E1049" s="41" t="n">
        <f aca="false">IFERROR(INDEX(المكونات!$C$2:$C$500,MATCH($B1049,المكونات!$A$2:$A$500,0)),"")</f>
        <v>17.5</v>
      </c>
      <c r="F1049" s="42" t="n">
        <f aca="false">IFERROR($C1049*$E1049,"")</f>
        <v>17.5</v>
      </c>
    </row>
    <row r="1050" customFormat="false" ht="15" hidden="false" customHeight="true" outlineLevel="0" collapsed="false">
      <c r="A1050" s="39" t="s">
        <v>410</v>
      </c>
      <c r="B1050" s="39" t="s">
        <v>206</v>
      </c>
      <c r="C1050" s="39" t="n">
        <v>1</v>
      </c>
      <c r="D1050" s="40" t="str">
        <f aca="false">IFERROR(INDEX(المكونات!$B$2:$B$500,MATCH($B1050,المكونات!$A$2:$A$500,0)),"")</f>
        <v>قطعة</v>
      </c>
      <c r="E1050" s="41" t="n">
        <f aca="false">IFERROR(INDEX(المكونات!$C$2:$C$500,MATCH($B1050,المكونات!$A$2:$A$500,0)),"")</f>
        <v>4.5</v>
      </c>
      <c r="F1050" s="42" t="n">
        <f aca="false">IFERROR($C1050*$E1050,"")</f>
        <v>4.5</v>
      </c>
    </row>
    <row r="1051" customFormat="false" ht="15" hidden="false" customHeight="true" outlineLevel="0" collapsed="false">
      <c r="A1051" s="39" t="s">
        <v>410</v>
      </c>
      <c r="B1051" s="39" t="s">
        <v>225</v>
      </c>
      <c r="C1051" s="39" t="n">
        <v>2</v>
      </c>
      <c r="D1051" s="40" t="str">
        <f aca="false">IFERROR(INDEX(المكونات!$B$2:$B$500,MATCH($B1051,المكونات!$A$2:$A$500,0)),"")</f>
        <v>قطعة</v>
      </c>
      <c r="E1051" s="41" t="n">
        <f aca="false">IFERROR(INDEX(المكونات!$C$2:$C$500,MATCH($B1051,المكونات!$A$2:$A$500,0)),"")</f>
        <v>0.3</v>
      </c>
      <c r="F1051" s="42" t="n">
        <f aca="false">IFERROR($C1051*$E1051,"")</f>
        <v>0.6</v>
      </c>
    </row>
    <row r="1052" customFormat="false" ht="15" hidden="false" customHeight="true" outlineLevel="0" collapsed="false">
      <c r="A1052" s="39" t="s">
        <v>410</v>
      </c>
      <c r="B1052" s="39" t="s">
        <v>254</v>
      </c>
      <c r="C1052" s="39" t="n">
        <v>1</v>
      </c>
      <c r="D1052" s="40" t="str">
        <f aca="false">IFERROR(INDEX(المكونات!$B$2:$B$500,MATCH($B1052,المكونات!$A$2:$A$500,0)),"")</f>
        <v>قطعة (ورقة)</v>
      </c>
      <c r="E1052" s="41" t="n">
        <f aca="false">IFERROR(INDEX(المكونات!$C$2:$C$500,MATCH($B1052,المكونات!$A$2:$A$500,0)),"")</f>
        <v>0.3665</v>
      </c>
      <c r="F1052" s="42" t="n">
        <f aca="false">IFERROR($C1052*$E1052,"")</f>
        <v>0.3665</v>
      </c>
    </row>
    <row r="1053" customFormat="false" ht="15" hidden="false" customHeight="true" outlineLevel="0" collapsed="false">
      <c r="A1053" s="39" t="s">
        <v>410</v>
      </c>
      <c r="B1053" s="39" t="s">
        <v>67</v>
      </c>
      <c r="C1053" s="39" t="n">
        <v>1</v>
      </c>
      <c r="D1053" s="40" t="str">
        <f aca="false">IFERROR(INDEX(المكونات!$B$2:$B$500,MATCH($B1053,المكونات!$A$2:$A$500,0)),"")</f>
        <v>قطعة (كيس)</v>
      </c>
      <c r="E1053" s="41" t="n">
        <f aca="false">IFERROR(INDEX(المكونات!$C$2:$C$500,MATCH($B1053,المكونات!$A$2:$A$500,0)),"")</f>
        <v>1.4</v>
      </c>
      <c r="F1053" s="42" t="n">
        <f aca="false">IFERROR($C1053*$E1053,"")</f>
        <v>1.4</v>
      </c>
    </row>
    <row r="1054" customFormat="false" ht="15" hidden="false" customHeight="true" outlineLevel="0" collapsed="false">
      <c r="A1054" s="39" t="s">
        <v>410</v>
      </c>
      <c r="B1054" s="39" t="s">
        <v>228</v>
      </c>
      <c r="C1054" s="39" t="n">
        <v>1</v>
      </c>
      <c r="D1054" s="40" t="str">
        <f aca="false">IFERROR(INDEX(المكونات!$B$2:$B$500,MATCH($B1054,المكونات!$A$2:$A$500,0)),"")</f>
        <v>قطعة</v>
      </c>
      <c r="E1054" s="41" t="n">
        <f aca="false">IFERROR(INDEX(المكونات!$C$2:$C$500,MATCH($B1054,المكونات!$A$2:$A$500,0)),"")</f>
        <v>0.5</v>
      </c>
      <c r="F1054" s="42" t="n">
        <f aca="false">IFERROR($C1054*$E1054,"")</f>
        <v>0.5</v>
      </c>
    </row>
    <row r="1055" customFormat="false" ht="15" hidden="false" customHeight="true" outlineLevel="0" collapsed="false">
      <c r="A1055" s="39" t="s">
        <v>410</v>
      </c>
      <c r="B1055" s="39" t="s">
        <v>145</v>
      </c>
      <c r="C1055" s="39" t="n">
        <v>2</v>
      </c>
      <c r="D1055" s="40" t="str">
        <f aca="false">IFERROR(INDEX(المكونات!$B$2:$B$500,MATCH($B1055,المكونات!$A$2:$A$500,0)),"")</f>
        <v>قطعة (جلفز)</v>
      </c>
      <c r="E1055" s="41" t="n">
        <f aca="false">IFERROR(INDEX(المكونات!$C$2:$C$500,MATCH($B1055,المكونات!$A$2:$A$500,0)),"")</f>
        <v>0.18</v>
      </c>
      <c r="F1055" s="42" t="n">
        <f aca="false">IFERROR($C1055*$E1055,"")</f>
        <v>0.36</v>
      </c>
    </row>
    <row r="1056" customFormat="false" ht="15" hidden="false" customHeight="true" outlineLevel="0" collapsed="false">
      <c r="A1056" s="39" t="s">
        <v>410</v>
      </c>
      <c r="B1056" s="39" t="s">
        <v>257</v>
      </c>
      <c r="C1056" s="39" t="n">
        <v>1</v>
      </c>
      <c r="D1056" s="40" t="str">
        <f aca="false">IFERROR(INDEX(المكونات!$B$2:$B$500,MATCH($B1056,المكونات!$A$2:$A$500,0)),"")</f>
        <v>قطعة (كيس)</v>
      </c>
      <c r="E1056" s="41" t="n">
        <f aca="false">IFERROR(INDEX(المكونات!$C$2:$C$500,MATCH($B1056,المكونات!$A$2:$A$500,0)),"")</f>
        <v>0.9995</v>
      </c>
      <c r="F1056" s="42" t="n">
        <f aca="false">IFERROR($C1056*$E1056,"")</f>
        <v>0.9995</v>
      </c>
    </row>
    <row r="1057" customFormat="false" ht="15" hidden="false" customHeight="true" outlineLevel="0" collapsed="false">
      <c r="A1057" s="39" t="s">
        <v>410</v>
      </c>
      <c r="B1057" s="39" t="s">
        <v>141</v>
      </c>
      <c r="C1057" s="39" t="n">
        <v>0.1</v>
      </c>
      <c r="D1057" s="40" t="str">
        <f aca="false">IFERROR(INDEX(المكونات!$B$2:$B$500,MATCH($B1057,المكونات!$A$2:$A$500,0)),"")</f>
        <v>كجم</v>
      </c>
      <c r="E1057" s="41" t="n">
        <f aca="false">IFERROR(INDEX(المكونات!$C$2:$C$500,MATCH($B1057,المكونات!$A$2:$A$500,0)),"")</f>
        <v>105</v>
      </c>
      <c r="F1057" s="42" t="n">
        <f aca="false">IFERROR($C1057*$E1057,"")</f>
        <v>10.5</v>
      </c>
    </row>
    <row r="1058" customFormat="false" ht="15" hidden="false" customHeight="true" outlineLevel="0" collapsed="false">
      <c r="A1058" s="39" t="s">
        <v>436</v>
      </c>
      <c r="B1058" s="39" t="s">
        <v>198</v>
      </c>
      <c r="C1058" s="39" t="n">
        <v>0.3</v>
      </c>
      <c r="D1058" s="40" t="str">
        <f aca="false">IFERROR(INDEX(المكونات!$B$2:$B$500,MATCH($B1058,المكونات!$A$2:$A$500,0)),"")</f>
        <v>كجم</v>
      </c>
      <c r="E1058" s="41" t="n">
        <f aca="false">IFERROR(INDEX(المكونات!$C$2:$C$500,MATCH($B1058,المكونات!$A$2:$A$500,0)),"")</f>
        <v>22</v>
      </c>
      <c r="F1058" s="42" t="n">
        <f aca="false">IFERROR($C1058*$E1058,"")</f>
        <v>6.6</v>
      </c>
    </row>
    <row r="1059" customFormat="false" ht="15" hidden="false" customHeight="true" outlineLevel="0" collapsed="false">
      <c r="A1059" s="39" t="s">
        <v>436</v>
      </c>
      <c r="B1059" s="39" t="s">
        <v>186</v>
      </c>
      <c r="C1059" s="39" t="n">
        <v>0.06</v>
      </c>
      <c r="D1059" s="40" t="str">
        <f aca="false">IFERROR(INDEX(المكونات!$B$2:$B$500,MATCH($B1059,المكونات!$A$2:$A$500,0)),"")</f>
        <v>كجم</v>
      </c>
      <c r="E1059" s="41" t="n">
        <f aca="false">IFERROR(INDEX(المكونات!$C$2:$C$500,MATCH($B1059,المكونات!$A$2:$A$500,0)),"")</f>
        <v>32</v>
      </c>
      <c r="F1059" s="42" t="n">
        <f aca="false">IFERROR($C1059*$E1059,"")</f>
        <v>1.92</v>
      </c>
    </row>
    <row r="1060" customFormat="false" ht="15" hidden="false" customHeight="true" outlineLevel="0" collapsed="false">
      <c r="A1060" s="39" t="s">
        <v>436</v>
      </c>
      <c r="B1060" s="39" t="s">
        <v>196</v>
      </c>
      <c r="C1060" s="39" t="n">
        <v>0.045</v>
      </c>
      <c r="D1060" s="40" t="str">
        <f aca="false">IFERROR(INDEX(المكونات!$B$2:$B$500,MATCH($B1060,المكونات!$A$2:$A$500,0)),"")</f>
        <v>كجم</v>
      </c>
      <c r="E1060" s="41" t="n">
        <f aca="false">IFERROR(INDEX(المكونات!$C$2:$C$500,MATCH($B1060,المكونات!$A$2:$A$500,0)),"")</f>
        <v>21</v>
      </c>
      <c r="F1060" s="42" t="n">
        <f aca="false">IFERROR($C1060*$E1060,"")</f>
        <v>0.945</v>
      </c>
    </row>
    <row r="1061" customFormat="false" ht="15" hidden="false" customHeight="true" outlineLevel="0" collapsed="false">
      <c r="A1061" s="39" t="s">
        <v>436</v>
      </c>
      <c r="B1061" s="39" t="s">
        <v>219</v>
      </c>
      <c r="C1061" s="39" t="n">
        <v>0.03</v>
      </c>
      <c r="D1061" s="40" t="str">
        <f aca="false">IFERROR(INDEX(المكونات!$B$2:$B$500,MATCH($B1061,المكونات!$A$2:$A$500,0)),"")</f>
        <v>كجم</v>
      </c>
      <c r="E1061" s="41" t="n">
        <f aca="false">IFERROR(INDEX(المكونات!$C$2:$C$500,MATCH($B1061,المكونات!$A$2:$A$500,0)),"")</f>
        <v>27</v>
      </c>
      <c r="F1061" s="42" t="n">
        <f aca="false">IFERROR($C1061*$E1061,"")</f>
        <v>0.81</v>
      </c>
    </row>
    <row r="1062" customFormat="false" ht="15" hidden="false" customHeight="true" outlineLevel="0" collapsed="false">
      <c r="A1062" s="39" t="s">
        <v>436</v>
      </c>
      <c r="B1062" s="39" t="s">
        <v>162</v>
      </c>
      <c r="C1062" s="39" t="n">
        <v>0.03</v>
      </c>
      <c r="D1062" s="40" t="str">
        <f aca="false">IFERROR(INDEX(المكونات!$B$2:$B$500,MATCH($B1062,المكونات!$A$2:$A$500,0)),"")</f>
        <v>كجم</v>
      </c>
      <c r="E1062" s="41" t="n">
        <f aca="false">IFERROR(INDEX(المكونات!$C$2:$C$500,MATCH($B1062,المكونات!$A$2:$A$500,0)),"")</f>
        <v>95</v>
      </c>
      <c r="F1062" s="42" t="n">
        <f aca="false">IFERROR($C1062*$E1062,"")</f>
        <v>2.85</v>
      </c>
    </row>
    <row r="1063" customFormat="false" ht="15" hidden="false" customHeight="true" outlineLevel="0" collapsed="false">
      <c r="A1063" s="39" t="s">
        <v>436</v>
      </c>
      <c r="B1063" s="39" t="s">
        <v>112</v>
      </c>
      <c r="C1063" s="39" t="n">
        <v>1</v>
      </c>
      <c r="D1063" s="40" t="str">
        <f aca="false">IFERROR(INDEX(المكونات!$B$2:$B$500,MATCH($B1063,المكونات!$A$2:$A$500,0)),"")</f>
        <v>قطعة</v>
      </c>
      <c r="E1063" s="41" t="n">
        <f aca="false">IFERROR(INDEX(المكونات!$C$2:$C$500,MATCH($B1063,المكونات!$A$2:$A$500,0)),"")</f>
        <v>25</v>
      </c>
      <c r="F1063" s="42" t="n">
        <f aca="false">IFERROR($C1063*$E1063,"")</f>
        <v>25</v>
      </c>
    </row>
    <row r="1064" customFormat="false" ht="15" hidden="false" customHeight="true" outlineLevel="0" collapsed="false">
      <c r="A1064" s="39" t="s">
        <v>436</v>
      </c>
      <c r="B1064" s="39" t="s">
        <v>204</v>
      </c>
      <c r="C1064" s="39" t="n">
        <v>1</v>
      </c>
      <c r="D1064" s="40" t="str">
        <f aca="false">IFERROR(INDEX(المكونات!$B$2:$B$500,MATCH($B1064,المكونات!$A$2:$A$500,0)),"")</f>
        <v>قطعة</v>
      </c>
      <c r="E1064" s="41" t="n">
        <f aca="false">IFERROR(INDEX(المكونات!$C$2:$C$500,MATCH($B1064,المكونات!$A$2:$A$500,0)),"")</f>
        <v>5.5</v>
      </c>
      <c r="F1064" s="42" t="n">
        <f aca="false">IFERROR($C1064*$E1064,"")</f>
        <v>5.5</v>
      </c>
    </row>
    <row r="1065" customFormat="false" ht="15" hidden="false" customHeight="true" outlineLevel="0" collapsed="false">
      <c r="A1065" s="39" t="s">
        <v>436</v>
      </c>
      <c r="B1065" s="39" t="s">
        <v>225</v>
      </c>
      <c r="C1065" s="39" t="n">
        <v>3</v>
      </c>
      <c r="D1065" s="40" t="str">
        <f aca="false">IFERROR(INDEX(المكونات!$B$2:$B$500,MATCH($B1065,المكونات!$A$2:$A$500,0)),"")</f>
        <v>قطعة</v>
      </c>
      <c r="E1065" s="41" t="n">
        <f aca="false">IFERROR(INDEX(المكونات!$C$2:$C$500,MATCH($B1065,المكونات!$A$2:$A$500,0)),"")</f>
        <v>0.3</v>
      </c>
      <c r="F1065" s="42" t="n">
        <f aca="false">IFERROR($C1065*$E1065,"")</f>
        <v>0.9</v>
      </c>
    </row>
    <row r="1066" customFormat="false" ht="15" hidden="false" customHeight="true" outlineLevel="0" collapsed="false">
      <c r="A1066" s="39" t="s">
        <v>436</v>
      </c>
      <c r="B1066" s="39" t="s">
        <v>254</v>
      </c>
      <c r="C1066" s="39" t="n">
        <v>1</v>
      </c>
      <c r="D1066" s="40" t="str">
        <f aca="false">IFERROR(INDEX(المكونات!$B$2:$B$500,MATCH($B1066,المكونات!$A$2:$A$500,0)),"")</f>
        <v>قطعة (ورقة)</v>
      </c>
      <c r="E1066" s="41" t="n">
        <f aca="false">IFERROR(INDEX(المكونات!$C$2:$C$500,MATCH($B1066,المكونات!$A$2:$A$500,0)),"")</f>
        <v>0.3665</v>
      </c>
      <c r="F1066" s="42" t="n">
        <f aca="false">IFERROR($C1066*$E1066,"")</f>
        <v>0.3665</v>
      </c>
    </row>
    <row r="1067" customFormat="false" ht="15" hidden="false" customHeight="true" outlineLevel="0" collapsed="false">
      <c r="A1067" s="39" t="s">
        <v>436</v>
      </c>
      <c r="B1067" s="39" t="s">
        <v>67</v>
      </c>
      <c r="C1067" s="39" t="n">
        <v>1</v>
      </c>
      <c r="D1067" s="40" t="str">
        <f aca="false">IFERROR(INDEX(المكونات!$B$2:$B$500,MATCH($B1067,المكونات!$A$2:$A$500,0)),"")</f>
        <v>قطعة (كيس)</v>
      </c>
      <c r="E1067" s="41" t="n">
        <f aca="false">IFERROR(INDEX(المكونات!$C$2:$C$500,MATCH($B1067,المكونات!$A$2:$A$500,0)),"")</f>
        <v>1.4</v>
      </c>
      <c r="F1067" s="42" t="n">
        <f aca="false">IFERROR($C1067*$E1067,"")</f>
        <v>1.4</v>
      </c>
    </row>
    <row r="1068" customFormat="false" ht="15" hidden="false" customHeight="true" outlineLevel="0" collapsed="false">
      <c r="A1068" s="39" t="s">
        <v>436</v>
      </c>
      <c r="B1068" s="39" t="s">
        <v>228</v>
      </c>
      <c r="C1068" s="39" t="n">
        <v>1</v>
      </c>
      <c r="D1068" s="40" t="str">
        <f aca="false">IFERROR(INDEX(المكونات!$B$2:$B$500,MATCH($B1068,المكونات!$A$2:$A$500,0)),"")</f>
        <v>قطعة</v>
      </c>
      <c r="E1068" s="41" t="n">
        <f aca="false">IFERROR(INDEX(المكونات!$C$2:$C$500,MATCH($B1068,المكونات!$A$2:$A$500,0)),"")</f>
        <v>0.5</v>
      </c>
      <c r="F1068" s="42" t="n">
        <f aca="false">IFERROR($C1068*$E1068,"")</f>
        <v>0.5</v>
      </c>
    </row>
    <row r="1069" customFormat="false" ht="15" hidden="false" customHeight="true" outlineLevel="0" collapsed="false">
      <c r="A1069" s="39" t="s">
        <v>436</v>
      </c>
      <c r="B1069" s="39" t="s">
        <v>145</v>
      </c>
      <c r="C1069" s="39" t="n">
        <v>2</v>
      </c>
      <c r="D1069" s="40" t="str">
        <f aca="false">IFERROR(INDEX(المكونات!$B$2:$B$500,MATCH($B1069,المكونات!$A$2:$A$500,0)),"")</f>
        <v>قطعة (جلفز)</v>
      </c>
      <c r="E1069" s="41" t="n">
        <f aca="false">IFERROR(INDEX(المكونات!$C$2:$C$500,MATCH($B1069,المكونات!$A$2:$A$500,0)),"")</f>
        <v>0.18</v>
      </c>
      <c r="F1069" s="42" t="n">
        <f aca="false">IFERROR($C1069*$E1069,"")</f>
        <v>0.36</v>
      </c>
    </row>
    <row r="1070" customFormat="false" ht="15" hidden="false" customHeight="true" outlineLevel="0" collapsed="false">
      <c r="A1070" s="39" t="s">
        <v>436</v>
      </c>
      <c r="B1070" s="39" t="s">
        <v>257</v>
      </c>
      <c r="C1070" s="39" t="n">
        <v>1</v>
      </c>
      <c r="D1070" s="40" t="str">
        <f aca="false">IFERROR(INDEX(المكونات!$B$2:$B$500,MATCH($B1070,المكونات!$A$2:$A$500,0)),"")</f>
        <v>قطعة (كيس)</v>
      </c>
      <c r="E1070" s="41" t="n">
        <f aca="false">IFERROR(INDEX(المكونات!$C$2:$C$500,MATCH($B1070,المكونات!$A$2:$A$500,0)),"")</f>
        <v>0.9995</v>
      </c>
      <c r="F1070" s="42" t="n">
        <f aca="false">IFERROR($C1070*$E1070,"")</f>
        <v>0.9995</v>
      </c>
    </row>
    <row r="1071" customFormat="false" ht="15" hidden="false" customHeight="true" outlineLevel="0" collapsed="false">
      <c r="A1071" s="39" t="s">
        <v>436</v>
      </c>
      <c r="B1071" s="39" t="s">
        <v>141</v>
      </c>
      <c r="C1071" s="39" t="n">
        <v>0.15</v>
      </c>
      <c r="D1071" s="40" t="str">
        <f aca="false">IFERROR(INDEX(المكونات!$B$2:$B$500,MATCH($B1071,المكونات!$A$2:$A$500,0)),"")</f>
        <v>كجم</v>
      </c>
      <c r="E1071" s="41" t="n">
        <f aca="false">IFERROR(INDEX(المكونات!$C$2:$C$500,MATCH($B1071,المكونات!$A$2:$A$500,0)),"")</f>
        <v>105</v>
      </c>
      <c r="F1071" s="42" t="n">
        <f aca="false">IFERROR($C1071*$E1071,"")</f>
        <v>15.75</v>
      </c>
    </row>
    <row r="1072" customFormat="false" ht="15" hidden="false" customHeight="true" outlineLevel="0" collapsed="false">
      <c r="A1072" s="39" t="s">
        <v>341</v>
      </c>
      <c r="B1072" s="39" t="s">
        <v>198</v>
      </c>
      <c r="C1072" s="39" t="n">
        <v>0.22</v>
      </c>
      <c r="D1072" s="40" t="str">
        <f aca="false">IFERROR(INDEX(المكونات!$B$2:$B$500,MATCH($B1072,المكونات!$A$2:$A$500,0)),"")</f>
        <v>كجم</v>
      </c>
      <c r="E1072" s="41" t="n">
        <f aca="false">IFERROR(INDEX(المكونات!$C$2:$C$500,MATCH($B1072,المكونات!$A$2:$A$500,0)),"")</f>
        <v>22</v>
      </c>
      <c r="F1072" s="42" t="n">
        <f aca="false">IFERROR($C1072*$E1072,"")</f>
        <v>4.84</v>
      </c>
    </row>
    <row r="1073" customFormat="false" ht="15" hidden="false" customHeight="true" outlineLevel="0" collapsed="false">
      <c r="A1073" s="39" t="s">
        <v>341</v>
      </c>
      <c r="B1073" s="39" t="s">
        <v>186</v>
      </c>
      <c r="C1073" s="39" t="n">
        <v>0.04</v>
      </c>
      <c r="D1073" s="40" t="str">
        <f aca="false">IFERROR(INDEX(المكونات!$B$2:$B$500,MATCH($B1073,المكونات!$A$2:$A$500,0)),"")</f>
        <v>كجم</v>
      </c>
      <c r="E1073" s="41" t="n">
        <f aca="false">IFERROR(INDEX(المكونات!$C$2:$C$500,MATCH($B1073,المكونات!$A$2:$A$500,0)),"")</f>
        <v>32</v>
      </c>
      <c r="F1073" s="42" t="n">
        <f aca="false">IFERROR($C1073*$E1073,"")</f>
        <v>1.28</v>
      </c>
    </row>
    <row r="1074" customFormat="false" ht="15" hidden="false" customHeight="true" outlineLevel="0" collapsed="false">
      <c r="A1074" s="39" t="s">
        <v>341</v>
      </c>
      <c r="B1074" s="39" t="s">
        <v>196</v>
      </c>
      <c r="C1074" s="39" t="n">
        <v>0.03</v>
      </c>
      <c r="D1074" s="40" t="str">
        <f aca="false">IFERROR(INDEX(المكونات!$B$2:$B$500,MATCH($B1074,المكونات!$A$2:$A$500,0)),"")</f>
        <v>كجم</v>
      </c>
      <c r="E1074" s="41" t="n">
        <f aca="false">IFERROR(INDEX(المكونات!$C$2:$C$500,MATCH($B1074,المكونات!$A$2:$A$500,0)),"")</f>
        <v>21</v>
      </c>
      <c r="F1074" s="42" t="n">
        <f aca="false">IFERROR($C1074*$E1074,"")</f>
        <v>0.63</v>
      </c>
    </row>
    <row r="1075" customFormat="false" ht="15" hidden="false" customHeight="true" outlineLevel="0" collapsed="false">
      <c r="A1075" s="39" t="s">
        <v>341</v>
      </c>
      <c r="B1075" s="39" t="s">
        <v>219</v>
      </c>
      <c r="C1075" s="39" t="n">
        <v>0.02</v>
      </c>
      <c r="D1075" s="40" t="str">
        <f aca="false">IFERROR(INDEX(المكونات!$B$2:$B$500,MATCH($B1075,المكونات!$A$2:$A$500,0)),"")</f>
        <v>كجم</v>
      </c>
      <c r="E1075" s="41" t="n">
        <f aca="false">IFERROR(INDEX(المكونات!$C$2:$C$500,MATCH($B1075,المكونات!$A$2:$A$500,0)),"")</f>
        <v>27</v>
      </c>
      <c r="F1075" s="42" t="n">
        <f aca="false">IFERROR($C1075*$E1075,"")</f>
        <v>0.54</v>
      </c>
    </row>
    <row r="1076" customFormat="false" ht="15" hidden="false" customHeight="true" outlineLevel="0" collapsed="false">
      <c r="A1076" s="39" t="s">
        <v>341</v>
      </c>
      <c r="B1076" s="39" t="s">
        <v>162</v>
      </c>
      <c r="C1076" s="39" t="n">
        <v>0.02</v>
      </c>
      <c r="D1076" s="40" t="str">
        <f aca="false">IFERROR(INDEX(المكونات!$B$2:$B$500,MATCH($B1076,المكونات!$A$2:$A$500,0)),"")</f>
        <v>كجم</v>
      </c>
      <c r="E1076" s="41" t="n">
        <f aca="false">IFERROR(INDEX(المكونات!$C$2:$C$500,MATCH($B1076,المكونات!$A$2:$A$500,0)),"")</f>
        <v>95</v>
      </c>
      <c r="F1076" s="42" t="n">
        <f aca="false">IFERROR($C1076*$E1076,"")</f>
        <v>1.9</v>
      </c>
    </row>
    <row r="1077" customFormat="false" ht="15" hidden="false" customHeight="true" outlineLevel="0" collapsed="false">
      <c r="A1077" s="39" t="s">
        <v>341</v>
      </c>
      <c r="B1077" s="39" t="s">
        <v>110</v>
      </c>
      <c r="C1077" s="39" t="n">
        <v>1</v>
      </c>
      <c r="D1077" s="40" t="str">
        <f aca="false">IFERROR(INDEX(المكونات!$B$2:$B$500,MATCH($B1077,المكونات!$A$2:$A$500,0)),"")</f>
        <v>قطعة</v>
      </c>
      <c r="E1077" s="41" t="n">
        <f aca="false">IFERROR(INDEX(المكونات!$C$2:$C$500,MATCH($B1077,المكونات!$A$2:$A$500,0)),"")</f>
        <v>17.5</v>
      </c>
      <c r="F1077" s="42" t="n">
        <f aca="false">IFERROR($C1077*$E1077,"")</f>
        <v>17.5</v>
      </c>
    </row>
    <row r="1078" customFormat="false" ht="15" hidden="false" customHeight="true" outlineLevel="0" collapsed="false">
      <c r="A1078" s="39" t="s">
        <v>341</v>
      </c>
      <c r="B1078" s="39" t="s">
        <v>206</v>
      </c>
      <c r="C1078" s="39" t="n">
        <v>1</v>
      </c>
      <c r="D1078" s="40" t="str">
        <f aca="false">IFERROR(INDEX(المكونات!$B$2:$B$500,MATCH($B1078,المكونات!$A$2:$A$500,0)),"")</f>
        <v>قطعة</v>
      </c>
      <c r="E1078" s="41" t="n">
        <f aca="false">IFERROR(INDEX(المكونات!$C$2:$C$500,MATCH($B1078,المكونات!$A$2:$A$500,0)),"")</f>
        <v>4.5</v>
      </c>
      <c r="F1078" s="42" t="n">
        <f aca="false">IFERROR($C1078*$E1078,"")</f>
        <v>4.5</v>
      </c>
    </row>
    <row r="1079" customFormat="false" ht="15" hidden="false" customHeight="true" outlineLevel="0" collapsed="false">
      <c r="A1079" s="39" t="s">
        <v>341</v>
      </c>
      <c r="B1079" s="39" t="s">
        <v>225</v>
      </c>
      <c r="C1079" s="39" t="n">
        <v>2</v>
      </c>
      <c r="D1079" s="40" t="str">
        <f aca="false">IFERROR(INDEX(المكونات!$B$2:$B$500,MATCH($B1079,المكونات!$A$2:$A$500,0)),"")</f>
        <v>قطعة</v>
      </c>
      <c r="E1079" s="41" t="n">
        <f aca="false">IFERROR(INDEX(المكونات!$C$2:$C$500,MATCH($B1079,المكونات!$A$2:$A$500,0)),"")</f>
        <v>0.3</v>
      </c>
      <c r="F1079" s="42" t="n">
        <f aca="false">IFERROR($C1079*$E1079,"")</f>
        <v>0.6</v>
      </c>
    </row>
    <row r="1080" customFormat="false" ht="15" hidden="false" customHeight="true" outlineLevel="0" collapsed="false">
      <c r="A1080" s="39" t="s">
        <v>341</v>
      </c>
      <c r="B1080" s="39" t="s">
        <v>254</v>
      </c>
      <c r="C1080" s="39" t="n">
        <v>1</v>
      </c>
      <c r="D1080" s="40" t="str">
        <f aca="false">IFERROR(INDEX(المكونات!$B$2:$B$500,MATCH($B1080,المكونات!$A$2:$A$500,0)),"")</f>
        <v>قطعة (ورقة)</v>
      </c>
      <c r="E1080" s="41" t="n">
        <f aca="false">IFERROR(INDEX(المكونات!$C$2:$C$500,MATCH($B1080,المكونات!$A$2:$A$500,0)),"")</f>
        <v>0.3665</v>
      </c>
      <c r="F1080" s="42" t="n">
        <f aca="false">IFERROR($C1080*$E1080,"")</f>
        <v>0.3665</v>
      </c>
    </row>
    <row r="1081" customFormat="false" ht="15" hidden="false" customHeight="true" outlineLevel="0" collapsed="false">
      <c r="A1081" s="39" t="s">
        <v>341</v>
      </c>
      <c r="B1081" s="39" t="s">
        <v>67</v>
      </c>
      <c r="C1081" s="39" t="n">
        <v>1</v>
      </c>
      <c r="D1081" s="40" t="str">
        <f aca="false">IFERROR(INDEX(المكونات!$B$2:$B$500,MATCH($B1081,المكونات!$A$2:$A$500,0)),"")</f>
        <v>قطعة (كيس)</v>
      </c>
      <c r="E1081" s="41" t="n">
        <f aca="false">IFERROR(INDEX(المكونات!$C$2:$C$500,MATCH($B1081,المكونات!$A$2:$A$500,0)),"")</f>
        <v>1.4</v>
      </c>
      <c r="F1081" s="42" t="n">
        <f aca="false">IFERROR($C1081*$E1081,"")</f>
        <v>1.4</v>
      </c>
    </row>
    <row r="1082" customFormat="false" ht="15" hidden="false" customHeight="true" outlineLevel="0" collapsed="false">
      <c r="A1082" s="39" t="s">
        <v>341</v>
      </c>
      <c r="B1082" s="39" t="s">
        <v>228</v>
      </c>
      <c r="C1082" s="39" t="n">
        <v>1</v>
      </c>
      <c r="D1082" s="40" t="str">
        <f aca="false">IFERROR(INDEX(المكونات!$B$2:$B$500,MATCH($B1082,المكونات!$A$2:$A$500,0)),"")</f>
        <v>قطعة</v>
      </c>
      <c r="E1082" s="41" t="n">
        <f aca="false">IFERROR(INDEX(المكونات!$C$2:$C$500,MATCH($B1082,المكونات!$A$2:$A$500,0)),"")</f>
        <v>0.5</v>
      </c>
      <c r="F1082" s="42" t="n">
        <f aca="false">IFERROR($C1082*$E1082,"")</f>
        <v>0.5</v>
      </c>
    </row>
    <row r="1083" customFormat="false" ht="15" hidden="false" customHeight="true" outlineLevel="0" collapsed="false">
      <c r="A1083" s="39" t="s">
        <v>341</v>
      </c>
      <c r="B1083" s="39" t="s">
        <v>145</v>
      </c>
      <c r="C1083" s="39" t="n">
        <v>2</v>
      </c>
      <c r="D1083" s="40" t="str">
        <f aca="false">IFERROR(INDEX(المكونات!$B$2:$B$500,MATCH($B1083,المكونات!$A$2:$A$500,0)),"")</f>
        <v>قطعة (جلفز)</v>
      </c>
      <c r="E1083" s="41" t="n">
        <f aca="false">IFERROR(INDEX(المكونات!$C$2:$C$500,MATCH($B1083,المكونات!$A$2:$A$500,0)),"")</f>
        <v>0.18</v>
      </c>
      <c r="F1083" s="42" t="n">
        <f aca="false">IFERROR($C1083*$E1083,"")</f>
        <v>0.36</v>
      </c>
    </row>
    <row r="1084" customFormat="false" ht="15" hidden="false" customHeight="true" outlineLevel="0" collapsed="false">
      <c r="A1084" s="39" t="s">
        <v>341</v>
      </c>
      <c r="B1084" s="39" t="s">
        <v>257</v>
      </c>
      <c r="C1084" s="39" t="n">
        <v>1</v>
      </c>
      <c r="D1084" s="40" t="str">
        <f aca="false">IFERROR(INDEX(المكونات!$B$2:$B$500,MATCH($B1084,المكونات!$A$2:$A$500,0)),"")</f>
        <v>قطعة (كيس)</v>
      </c>
      <c r="E1084" s="41" t="n">
        <f aca="false">IFERROR(INDEX(المكونات!$C$2:$C$500,MATCH($B1084,المكونات!$A$2:$A$500,0)),"")</f>
        <v>0.9995</v>
      </c>
      <c r="F1084" s="42" t="n">
        <f aca="false">IFERROR($C1084*$E1084,"")</f>
        <v>0.9995</v>
      </c>
    </row>
    <row r="1085" customFormat="false" ht="15" hidden="false" customHeight="true" outlineLevel="0" collapsed="false">
      <c r="A1085" s="39" t="s">
        <v>341</v>
      </c>
      <c r="B1085" s="39" t="s">
        <v>217</v>
      </c>
      <c r="C1085" s="39" t="n">
        <v>0.14</v>
      </c>
      <c r="D1085" s="40" t="str">
        <f aca="false">IFERROR(INDEX(المكونات!$B$2:$B$500,MATCH($B1085,المكونات!$A$2:$A$500,0)),"")</f>
        <v>كجم</v>
      </c>
      <c r="E1085" s="41" t="n">
        <f aca="false">IFERROR(INDEX(المكونات!$C$2:$C$500,MATCH($B1085,المكونات!$A$2:$A$500,0)),"")</f>
        <v>150</v>
      </c>
      <c r="F1085" s="42" t="n">
        <f aca="false">IFERROR($C1085*$E1085,"")</f>
        <v>21</v>
      </c>
    </row>
    <row r="1086" customFormat="false" ht="15" hidden="false" customHeight="true" outlineLevel="0" collapsed="false">
      <c r="A1086" s="39" t="s">
        <v>341</v>
      </c>
      <c r="B1086" s="39" t="s">
        <v>188</v>
      </c>
      <c r="C1086" s="39" t="n">
        <v>0.1</v>
      </c>
      <c r="D1086" s="40" t="str">
        <f aca="false">IFERROR(INDEX(المكونات!$B$2:$B$500,MATCH($B1086,المكونات!$A$2:$A$500,0)),"")</f>
        <v>كجم</v>
      </c>
      <c r="E1086" s="41" t="n">
        <f aca="false">IFERROR(INDEX(المكونات!$C$2:$C$500,MATCH($B1086,المكونات!$A$2:$A$500,0)),"")</f>
        <v>70</v>
      </c>
      <c r="F1086" s="42" t="n">
        <f aca="false">IFERROR($C1086*$E1086,"")</f>
        <v>7</v>
      </c>
    </row>
    <row r="1087" customFormat="false" ht="15" hidden="false" customHeight="true" outlineLevel="0" collapsed="false">
      <c r="A1087" s="39" t="s">
        <v>342</v>
      </c>
      <c r="B1087" s="39" t="s">
        <v>198</v>
      </c>
      <c r="C1087" s="39" t="n">
        <v>0.3</v>
      </c>
      <c r="D1087" s="40" t="str">
        <f aca="false">IFERROR(INDEX(المكونات!$B$2:$B$500,MATCH($B1087,المكونات!$A$2:$A$500,0)),"")</f>
        <v>كجم</v>
      </c>
      <c r="E1087" s="41" t="n">
        <f aca="false">IFERROR(INDEX(المكونات!$C$2:$C$500,MATCH($B1087,المكونات!$A$2:$A$500,0)),"")</f>
        <v>22</v>
      </c>
      <c r="F1087" s="42" t="n">
        <f aca="false">IFERROR($C1087*$E1087,"")</f>
        <v>6.6</v>
      </c>
    </row>
    <row r="1088" customFormat="false" ht="15" hidden="false" customHeight="true" outlineLevel="0" collapsed="false">
      <c r="A1088" s="39" t="s">
        <v>342</v>
      </c>
      <c r="B1088" s="39" t="s">
        <v>186</v>
      </c>
      <c r="C1088" s="39" t="n">
        <v>0.06</v>
      </c>
      <c r="D1088" s="40" t="str">
        <f aca="false">IFERROR(INDEX(المكونات!$B$2:$B$500,MATCH($B1088,المكونات!$A$2:$A$500,0)),"")</f>
        <v>كجم</v>
      </c>
      <c r="E1088" s="41" t="n">
        <f aca="false">IFERROR(INDEX(المكونات!$C$2:$C$500,MATCH($B1088,المكونات!$A$2:$A$500,0)),"")</f>
        <v>32</v>
      </c>
      <c r="F1088" s="42" t="n">
        <f aca="false">IFERROR($C1088*$E1088,"")</f>
        <v>1.92</v>
      </c>
    </row>
    <row r="1089" customFormat="false" ht="15" hidden="false" customHeight="true" outlineLevel="0" collapsed="false">
      <c r="A1089" s="39" t="s">
        <v>342</v>
      </c>
      <c r="B1089" s="39" t="s">
        <v>196</v>
      </c>
      <c r="C1089" s="39" t="n">
        <v>0.045</v>
      </c>
      <c r="D1089" s="40" t="str">
        <f aca="false">IFERROR(INDEX(المكونات!$B$2:$B$500,MATCH($B1089,المكونات!$A$2:$A$500,0)),"")</f>
        <v>كجم</v>
      </c>
      <c r="E1089" s="41" t="n">
        <f aca="false">IFERROR(INDEX(المكونات!$C$2:$C$500,MATCH($B1089,المكونات!$A$2:$A$500,0)),"")</f>
        <v>21</v>
      </c>
      <c r="F1089" s="42" t="n">
        <f aca="false">IFERROR($C1089*$E1089,"")</f>
        <v>0.945</v>
      </c>
    </row>
    <row r="1090" customFormat="false" ht="15" hidden="false" customHeight="true" outlineLevel="0" collapsed="false">
      <c r="A1090" s="39" t="s">
        <v>342</v>
      </c>
      <c r="B1090" s="39" t="s">
        <v>219</v>
      </c>
      <c r="C1090" s="39" t="n">
        <v>0.03</v>
      </c>
      <c r="D1090" s="40" t="str">
        <f aca="false">IFERROR(INDEX(المكونات!$B$2:$B$500,MATCH($B1090,المكونات!$A$2:$A$500,0)),"")</f>
        <v>كجم</v>
      </c>
      <c r="E1090" s="41" t="n">
        <f aca="false">IFERROR(INDEX(المكونات!$C$2:$C$500,MATCH($B1090,المكونات!$A$2:$A$500,0)),"")</f>
        <v>27</v>
      </c>
      <c r="F1090" s="42" t="n">
        <f aca="false">IFERROR($C1090*$E1090,"")</f>
        <v>0.81</v>
      </c>
    </row>
    <row r="1091" customFormat="false" ht="15" hidden="false" customHeight="true" outlineLevel="0" collapsed="false">
      <c r="A1091" s="39" t="s">
        <v>342</v>
      </c>
      <c r="B1091" s="39" t="s">
        <v>162</v>
      </c>
      <c r="C1091" s="39" t="n">
        <v>0.03</v>
      </c>
      <c r="D1091" s="40" t="str">
        <f aca="false">IFERROR(INDEX(المكونات!$B$2:$B$500,MATCH($B1091,المكونات!$A$2:$A$500,0)),"")</f>
        <v>كجم</v>
      </c>
      <c r="E1091" s="41" t="n">
        <f aca="false">IFERROR(INDEX(المكونات!$C$2:$C$500,MATCH($B1091,المكونات!$A$2:$A$500,0)),"")</f>
        <v>95</v>
      </c>
      <c r="F1091" s="42" t="n">
        <f aca="false">IFERROR($C1091*$E1091,"")</f>
        <v>2.85</v>
      </c>
    </row>
    <row r="1092" customFormat="false" ht="15" hidden="false" customHeight="true" outlineLevel="0" collapsed="false">
      <c r="A1092" s="39" t="s">
        <v>342</v>
      </c>
      <c r="B1092" s="39" t="s">
        <v>112</v>
      </c>
      <c r="C1092" s="39" t="n">
        <v>1</v>
      </c>
      <c r="D1092" s="40" t="str">
        <f aca="false">IFERROR(INDEX(المكونات!$B$2:$B$500,MATCH($B1092,المكونات!$A$2:$A$500,0)),"")</f>
        <v>قطعة</v>
      </c>
      <c r="E1092" s="41" t="n">
        <f aca="false">IFERROR(INDEX(المكونات!$C$2:$C$500,MATCH($B1092,المكونات!$A$2:$A$500,0)),"")</f>
        <v>25</v>
      </c>
      <c r="F1092" s="42" t="n">
        <f aca="false">IFERROR($C1092*$E1092,"")</f>
        <v>25</v>
      </c>
    </row>
    <row r="1093" customFormat="false" ht="15" hidden="false" customHeight="true" outlineLevel="0" collapsed="false">
      <c r="A1093" s="39" t="s">
        <v>342</v>
      </c>
      <c r="B1093" s="39" t="s">
        <v>204</v>
      </c>
      <c r="C1093" s="39" t="n">
        <v>1</v>
      </c>
      <c r="D1093" s="40" t="str">
        <f aca="false">IFERROR(INDEX(المكونات!$B$2:$B$500,MATCH($B1093,المكونات!$A$2:$A$500,0)),"")</f>
        <v>قطعة</v>
      </c>
      <c r="E1093" s="41" t="n">
        <f aca="false">IFERROR(INDEX(المكونات!$C$2:$C$500,MATCH($B1093,المكونات!$A$2:$A$500,0)),"")</f>
        <v>5.5</v>
      </c>
      <c r="F1093" s="42" t="n">
        <f aca="false">IFERROR($C1093*$E1093,"")</f>
        <v>5.5</v>
      </c>
    </row>
    <row r="1094" customFormat="false" ht="15" hidden="false" customHeight="true" outlineLevel="0" collapsed="false">
      <c r="A1094" s="39" t="s">
        <v>342</v>
      </c>
      <c r="B1094" s="39" t="s">
        <v>225</v>
      </c>
      <c r="C1094" s="39" t="n">
        <v>3</v>
      </c>
      <c r="D1094" s="40" t="str">
        <f aca="false">IFERROR(INDEX(المكونات!$B$2:$B$500,MATCH($B1094,المكونات!$A$2:$A$500,0)),"")</f>
        <v>قطعة</v>
      </c>
      <c r="E1094" s="41" t="n">
        <f aca="false">IFERROR(INDEX(المكونات!$C$2:$C$500,MATCH($B1094,المكونات!$A$2:$A$500,0)),"")</f>
        <v>0.3</v>
      </c>
      <c r="F1094" s="42" t="n">
        <f aca="false">IFERROR($C1094*$E1094,"")</f>
        <v>0.9</v>
      </c>
    </row>
    <row r="1095" customFormat="false" ht="15" hidden="false" customHeight="true" outlineLevel="0" collapsed="false">
      <c r="A1095" s="39" t="s">
        <v>342</v>
      </c>
      <c r="B1095" s="39" t="s">
        <v>254</v>
      </c>
      <c r="C1095" s="39" t="n">
        <v>1</v>
      </c>
      <c r="D1095" s="40" t="str">
        <f aca="false">IFERROR(INDEX(المكونات!$B$2:$B$500,MATCH($B1095,المكونات!$A$2:$A$500,0)),"")</f>
        <v>قطعة (ورقة)</v>
      </c>
      <c r="E1095" s="41" t="n">
        <f aca="false">IFERROR(INDEX(المكونات!$C$2:$C$500,MATCH($B1095,المكونات!$A$2:$A$500,0)),"")</f>
        <v>0.3665</v>
      </c>
      <c r="F1095" s="42" t="n">
        <f aca="false">IFERROR($C1095*$E1095,"")</f>
        <v>0.3665</v>
      </c>
    </row>
    <row r="1096" customFormat="false" ht="15" hidden="false" customHeight="true" outlineLevel="0" collapsed="false">
      <c r="A1096" s="39" t="s">
        <v>342</v>
      </c>
      <c r="B1096" s="39" t="s">
        <v>67</v>
      </c>
      <c r="C1096" s="39" t="n">
        <v>1</v>
      </c>
      <c r="D1096" s="40" t="str">
        <f aca="false">IFERROR(INDEX(المكونات!$B$2:$B$500,MATCH($B1096,المكونات!$A$2:$A$500,0)),"")</f>
        <v>قطعة (كيس)</v>
      </c>
      <c r="E1096" s="41" t="n">
        <f aca="false">IFERROR(INDEX(المكونات!$C$2:$C$500,MATCH($B1096,المكونات!$A$2:$A$500,0)),"")</f>
        <v>1.4</v>
      </c>
      <c r="F1096" s="42" t="n">
        <f aca="false">IFERROR($C1096*$E1096,"")</f>
        <v>1.4</v>
      </c>
    </row>
    <row r="1097" customFormat="false" ht="15" hidden="false" customHeight="true" outlineLevel="0" collapsed="false">
      <c r="A1097" s="39" t="s">
        <v>342</v>
      </c>
      <c r="B1097" s="39" t="s">
        <v>228</v>
      </c>
      <c r="C1097" s="39" t="n">
        <v>1</v>
      </c>
      <c r="D1097" s="40" t="str">
        <f aca="false">IFERROR(INDEX(المكونات!$B$2:$B$500,MATCH($B1097,المكونات!$A$2:$A$500,0)),"")</f>
        <v>قطعة</v>
      </c>
      <c r="E1097" s="41" t="n">
        <f aca="false">IFERROR(INDEX(المكونات!$C$2:$C$500,MATCH($B1097,المكونات!$A$2:$A$500,0)),"")</f>
        <v>0.5</v>
      </c>
      <c r="F1097" s="42" t="n">
        <f aca="false">IFERROR($C1097*$E1097,"")</f>
        <v>0.5</v>
      </c>
    </row>
    <row r="1098" customFormat="false" ht="15" hidden="false" customHeight="true" outlineLevel="0" collapsed="false">
      <c r="A1098" s="39" t="s">
        <v>342</v>
      </c>
      <c r="B1098" s="39" t="s">
        <v>145</v>
      </c>
      <c r="C1098" s="39" t="n">
        <v>2</v>
      </c>
      <c r="D1098" s="40" t="str">
        <f aca="false">IFERROR(INDEX(المكونات!$B$2:$B$500,MATCH($B1098,المكونات!$A$2:$A$500,0)),"")</f>
        <v>قطعة (جلفز)</v>
      </c>
      <c r="E1098" s="41" t="n">
        <f aca="false">IFERROR(INDEX(المكونات!$C$2:$C$500,MATCH($B1098,المكونات!$A$2:$A$500,0)),"")</f>
        <v>0.18</v>
      </c>
      <c r="F1098" s="42" t="n">
        <f aca="false">IFERROR($C1098*$E1098,"")</f>
        <v>0.36</v>
      </c>
    </row>
    <row r="1099" customFormat="false" ht="15" hidden="false" customHeight="true" outlineLevel="0" collapsed="false">
      <c r="A1099" s="39" t="s">
        <v>342</v>
      </c>
      <c r="B1099" s="39" t="s">
        <v>257</v>
      </c>
      <c r="C1099" s="39" t="n">
        <v>1</v>
      </c>
      <c r="D1099" s="40" t="str">
        <f aca="false">IFERROR(INDEX(المكونات!$B$2:$B$500,MATCH($B1099,المكونات!$A$2:$A$500,0)),"")</f>
        <v>قطعة (كيس)</v>
      </c>
      <c r="E1099" s="41" t="n">
        <f aca="false">IFERROR(INDEX(المكونات!$C$2:$C$500,MATCH($B1099,المكونات!$A$2:$A$500,0)),"")</f>
        <v>0.9995</v>
      </c>
      <c r="F1099" s="42" t="n">
        <f aca="false">IFERROR($C1099*$E1099,"")</f>
        <v>0.9995</v>
      </c>
    </row>
    <row r="1100" customFormat="false" ht="15" hidden="false" customHeight="true" outlineLevel="0" collapsed="false">
      <c r="A1100" s="39" t="s">
        <v>342</v>
      </c>
      <c r="B1100" s="39" t="s">
        <v>217</v>
      </c>
      <c r="C1100" s="39" t="n">
        <v>0.21</v>
      </c>
      <c r="D1100" s="40" t="str">
        <f aca="false">IFERROR(INDEX(المكونات!$B$2:$B$500,MATCH($B1100,المكونات!$A$2:$A$500,0)),"")</f>
        <v>كجم</v>
      </c>
      <c r="E1100" s="41" t="n">
        <f aca="false">IFERROR(INDEX(المكونات!$C$2:$C$500,MATCH($B1100,المكونات!$A$2:$A$500,0)),"")</f>
        <v>150</v>
      </c>
      <c r="F1100" s="42" t="n">
        <f aca="false">IFERROR($C1100*$E1100,"")</f>
        <v>31.5</v>
      </c>
    </row>
    <row r="1101" customFormat="false" ht="15" hidden="false" customHeight="true" outlineLevel="0" collapsed="false">
      <c r="A1101" s="39" t="s">
        <v>342</v>
      </c>
      <c r="B1101" s="39" t="s">
        <v>188</v>
      </c>
      <c r="C1101" s="39" t="n">
        <v>0.15</v>
      </c>
      <c r="D1101" s="40" t="str">
        <f aca="false">IFERROR(INDEX(المكونات!$B$2:$B$500,MATCH($B1101,المكونات!$A$2:$A$500,0)),"")</f>
        <v>كجم</v>
      </c>
      <c r="E1101" s="41" t="n">
        <f aca="false">IFERROR(INDEX(المكونات!$C$2:$C$500,MATCH($B1101,المكونات!$A$2:$A$500,0)),"")</f>
        <v>70</v>
      </c>
      <c r="F1101" s="42" t="n">
        <f aca="false">IFERROR($C1101*$E1101,"")</f>
        <v>10.5</v>
      </c>
    </row>
    <row r="1102" customFormat="false" ht="15" hidden="false" customHeight="true" outlineLevel="0" collapsed="false">
      <c r="A1102" s="39" t="s">
        <v>457</v>
      </c>
      <c r="B1102" s="39" t="s">
        <v>198</v>
      </c>
      <c r="C1102" s="39" t="n">
        <v>0.22</v>
      </c>
      <c r="D1102" s="40" t="str">
        <f aca="false">IFERROR(INDEX(المكونات!$B$2:$B$500,MATCH($B1102,المكونات!$A$2:$A$500,0)),"")</f>
        <v>كجم</v>
      </c>
      <c r="E1102" s="41" t="n">
        <f aca="false">IFERROR(INDEX(المكونات!$C$2:$C$500,MATCH($B1102,المكونات!$A$2:$A$500,0)),"")</f>
        <v>22</v>
      </c>
      <c r="F1102" s="42" t="n">
        <f aca="false">IFERROR($C1102*$E1102,"")</f>
        <v>4.84</v>
      </c>
    </row>
    <row r="1103" customFormat="false" ht="15" hidden="false" customHeight="true" outlineLevel="0" collapsed="false">
      <c r="A1103" s="39" t="s">
        <v>457</v>
      </c>
      <c r="B1103" s="39" t="s">
        <v>186</v>
      </c>
      <c r="C1103" s="39" t="n">
        <v>0.04</v>
      </c>
      <c r="D1103" s="40" t="str">
        <f aca="false">IFERROR(INDEX(المكونات!$B$2:$B$500,MATCH($B1103,المكونات!$A$2:$A$500,0)),"")</f>
        <v>كجم</v>
      </c>
      <c r="E1103" s="41" t="n">
        <f aca="false">IFERROR(INDEX(المكونات!$C$2:$C$500,MATCH($B1103,المكونات!$A$2:$A$500,0)),"")</f>
        <v>32</v>
      </c>
      <c r="F1103" s="42" t="n">
        <f aca="false">IFERROR($C1103*$E1103,"")</f>
        <v>1.28</v>
      </c>
    </row>
    <row r="1104" customFormat="false" ht="15" hidden="false" customHeight="true" outlineLevel="0" collapsed="false">
      <c r="A1104" s="39" t="s">
        <v>457</v>
      </c>
      <c r="B1104" s="39" t="s">
        <v>196</v>
      </c>
      <c r="C1104" s="39" t="n">
        <v>0.03</v>
      </c>
      <c r="D1104" s="40" t="str">
        <f aca="false">IFERROR(INDEX(المكونات!$B$2:$B$500,MATCH($B1104,المكونات!$A$2:$A$500,0)),"")</f>
        <v>كجم</v>
      </c>
      <c r="E1104" s="41" t="n">
        <f aca="false">IFERROR(INDEX(المكونات!$C$2:$C$500,MATCH($B1104,المكونات!$A$2:$A$500,0)),"")</f>
        <v>21</v>
      </c>
      <c r="F1104" s="42" t="n">
        <f aca="false">IFERROR($C1104*$E1104,"")</f>
        <v>0.63</v>
      </c>
    </row>
    <row r="1105" customFormat="false" ht="15" hidden="false" customHeight="true" outlineLevel="0" collapsed="false">
      <c r="A1105" s="39" t="s">
        <v>457</v>
      </c>
      <c r="B1105" s="39" t="s">
        <v>219</v>
      </c>
      <c r="C1105" s="39" t="n">
        <v>0.02</v>
      </c>
      <c r="D1105" s="40" t="str">
        <f aca="false">IFERROR(INDEX(المكونات!$B$2:$B$500,MATCH($B1105,المكونات!$A$2:$A$500,0)),"")</f>
        <v>كجم</v>
      </c>
      <c r="E1105" s="41" t="n">
        <f aca="false">IFERROR(INDEX(المكونات!$C$2:$C$500,MATCH($B1105,المكونات!$A$2:$A$500,0)),"")</f>
        <v>27</v>
      </c>
      <c r="F1105" s="42" t="n">
        <f aca="false">IFERROR($C1105*$E1105,"")</f>
        <v>0.54</v>
      </c>
    </row>
    <row r="1106" customFormat="false" ht="15" hidden="false" customHeight="true" outlineLevel="0" collapsed="false">
      <c r="A1106" s="39" t="s">
        <v>457</v>
      </c>
      <c r="B1106" s="39" t="s">
        <v>162</v>
      </c>
      <c r="C1106" s="39" t="n">
        <v>0.02</v>
      </c>
      <c r="D1106" s="40" t="str">
        <f aca="false">IFERROR(INDEX(المكونات!$B$2:$B$500,MATCH($B1106,المكونات!$A$2:$A$500,0)),"")</f>
        <v>كجم</v>
      </c>
      <c r="E1106" s="41" t="n">
        <f aca="false">IFERROR(INDEX(المكونات!$C$2:$C$500,MATCH($B1106,المكونات!$A$2:$A$500,0)),"")</f>
        <v>95</v>
      </c>
      <c r="F1106" s="42" t="n">
        <f aca="false">IFERROR($C1106*$E1106,"")</f>
        <v>1.9</v>
      </c>
    </row>
    <row r="1107" customFormat="false" ht="15" hidden="false" customHeight="true" outlineLevel="0" collapsed="false">
      <c r="A1107" s="39" t="s">
        <v>457</v>
      </c>
      <c r="B1107" s="39" t="s">
        <v>110</v>
      </c>
      <c r="C1107" s="39" t="n">
        <v>1</v>
      </c>
      <c r="D1107" s="40" t="str">
        <f aca="false">IFERROR(INDEX(المكونات!$B$2:$B$500,MATCH($B1107,المكونات!$A$2:$A$500,0)),"")</f>
        <v>قطعة</v>
      </c>
      <c r="E1107" s="41" t="n">
        <f aca="false">IFERROR(INDEX(المكونات!$C$2:$C$500,MATCH($B1107,المكونات!$A$2:$A$500,0)),"")</f>
        <v>17.5</v>
      </c>
      <c r="F1107" s="42" t="n">
        <f aca="false">IFERROR($C1107*$E1107,"")</f>
        <v>17.5</v>
      </c>
    </row>
    <row r="1108" customFormat="false" ht="15" hidden="false" customHeight="true" outlineLevel="0" collapsed="false">
      <c r="A1108" s="39" t="s">
        <v>457</v>
      </c>
      <c r="B1108" s="39" t="s">
        <v>206</v>
      </c>
      <c r="C1108" s="39" t="n">
        <v>1</v>
      </c>
      <c r="D1108" s="40" t="str">
        <f aca="false">IFERROR(INDEX(المكونات!$B$2:$B$500,MATCH($B1108,المكونات!$A$2:$A$500,0)),"")</f>
        <v>قطعة</v>
      </c>
      <c r="E1108" s="41" t="n">
        <f aca="false">IFERROR(INDEX(المكونات!$C$2:$C$500,MATCH($B1108,المكونات!$A$2:$A$500,0)),"")</f>
        <v>4.5</v>
      </c>
      <c r="F1108" s="42" t="n">
        <f aca="false">IFERROR($C1108*$E1108,"")</f>
        <v>4.5</v>
      </c>
    </row>
    <row r="1109" customFormat="false" ht="15" hidden="false" customHeight="true" outlineLevel="0" collapsed="false">
      <c r="A1109" s="39" t="s">
        <v>457</v>
      </c>
      <c r="B1109" s="39" t="s">
        <v>225</v>
      </c>
      <c r="C1109" s="39" t="n">
        <v>2</v>
      </c>
      <c r="D1109" s="40" t="str">
        <f aca="false">IFERROR(INDEX(المكونات!$B$2:$B$500,MATCH($B1109,المكونات!$A$2:$A$500,0)),"")</f>
        <v>قطعة</v>
      </c>
      <c r="E1109" s="41" t="n">
        <f aca="false">IFERROR(INDEX(المكونات!$C$2:$C$500,MATCH($B1109,المكونات!$A$2:$A$500,0)),"")</f>
        <v>0.3</v>
      </c>
      <c r="F1109" s="42" t="n">
        <f aca="false">IFERROR($C1109*$E1109,"")</f>
        <v>0.6</v>
      </c>
    </row>
    <row r="1110" customFormat="false" ht="15" hidden="false" customHeight="true" outlineLevel="0" collapsed="false">
      <c r="A1110" s="39" t="s">
        <v>457</v>
      </c>
      <c r="B1110" s="39" t="s">
        <v>254</v>
      </c>
      <c r="C1110" s="39" t="n">
        <v>1</v>
      </c>
      <c r="D1110" s="40" t="str">
        <f aca="false">IFERROR(INDEX(المكونات!$B$2:$B$500,MATCH($B1110,المكونات!$A$2:$A$500,0)),"")</f>
        <v>قطعة (ورقة)</v>
      </c>
      <c r="E1110" s="41" t="n">
        <f aca="false">IFERROR(INDEX(المكونات!$C$2:$C$500,MATCH($B1110,المكونات!$A$2:$A$500,0)),"")</f>
        <v>0.3665</v>
      </c>
      <c r="F1110" s="42" t="n">
        <f aca="false">IFERROR($C1110*$E1110,"")</f>
        <v>0.3665</v>
      </c>
    </row>
    <row r="1111" customFormat="false" ht="15" hidden="false" customHeight="true" outlineLevel="0" collapsed="false">
      <c r="A1111" s="39" t="s">
        <v>457</v>
      </c>
      <c r="B1111" s="39" t="s">
        <v>67</v>
      </c>
      <c r="C1111" s="39" t="n">
        <v>1</v>
      </c>
      <c r="D1111" s="40" t="str">
        <f aca="false">IFERROR(INDEX(المكونات!$B$2:$B$500,MATCH($B1111,المكونات!$A$2:$A$500,0)),"")</f>
        <v>قطعة (كيس)</v>
      </c>
      <c r="E1111" s="41" t="n">
        <f aca="false">IFERROR(INDEX(المكونات!$C$2:$C$500,MATCH($B1111,المكونات!$A$2:$A$500,0)),"")</f>
        <v>1.4</v>
      </c>
      <c r="F1111" s="42" t="n">
        <f aca="false">IFERROR($C1111*$E1111,"")</f>
        <v>1.4</v>
      </c>
    </row>
    <row r="1112" customFormat="false" ht="15" hidden="false" customHeight="true" outlineLevel="0" collapsed="false">
      <c r="A1112" s="39" t="s">
        <v>457</v>
      </c>
      <c r="B1112" s="39" t="s">
        <v>228</v>
      </c>
      <c r="C1112" s="39" t="n">
        <v>1</v>
      </c>
      <c r="D1112" s="40" t="str">
        <f aca="false">IFERROR(INDEX(المكونات!$B$2:$B$500,MATCH($B1112,المكونات!$A$2:$A$500,0)),"")</f>
        <v>قطعة</v>
      </c>
      <c r="E1112" s="41" t="n">
        <f aca="false">IFERROR(INDEX(المكونات!$C$2:$C$500,MATCH($B1112,المكونات!$A$2:$A$500,0)),"")</f>
        <v>0.5</v>
      </c>
      <c r="F1112" s="42" t="n">
        <f aca="false">IFERROR($C1112*$E1112,"")</f>
        <v>0.5</v>
      </c>
    </row>
    <row r="1113" customFormat="false" ht="15" hidden="false" customHeight="true" outlineLevel="0" collapsed="false">
      <c r="A1113" s="39" t="s">
        <v>457</v>
      </c>
      <c r="B1113" s="39" t="s">
        <v>145</v>
      </c>
      <c r="C1113" s="39" t="n">
        <v>2</v>
      </c>
      <c r="D1113" s="40" t="str">
        <f aca="false">IFERROR(INDEX(المكونات!$B$2:$B$500,MATCH($B1113,المكونات!$A$2:$A$500,0)),"")</f>
        <v>قطعة (جلفز)</v>
      </c>
      <c r="E1113" s="41" t="n">
        <f aca="false">IFERROR(INDEX(المكونات!$C$2:$C$500,MATCH($B1113,المكونات!$A$2:$A$500,0)),"")</f>
        <v>0.18</v>
      </c>
      <c r="F1113" s="42" t="n">
        <f aca="false">IFERROR($C1113*$E1113,"")</f>
        <v>0.36</v>
      </c>
    </row>
    <row r="1114" customFormat="false" ht="15" hidden="false" customHeight="true" outlineLevel="0" collapsed="false">
      <c r="A1114" s="39" t="s">
        <v>457</v>
      </c>
      <c r="B1114" s="39" t="s">
        <v>257</v>
      </c>
      <c r="C1114" s="39" t="n">
        <v>1</v>
      </c>
      <c r="D1114" s="40" t="str">
        <f aca="false">IFERROR(INDEX(المكونات!$B$2:$B$500,MATCH($B1114,المكونات!$A$2:$A$500,0)),"")</f>
        <v>قطعة (كيس)</v>
      </c>
      <c r="E1114" s="41" t="n">
        <f aca="false">IFERROR(INDEX(المكونات!$C$2:$C$500,MATCH($B1114,المكونات!$A$2:$A$500,0)),"")</f>
        <v>0.9995</v>
      </c>
      <c r="F1114" s="42" t="n">
        <f aca="false">IFERROR($C1114*$E1114,"")</f>
        <v>0.9995</v>
      </c>
    </row>
    <row r="1115" customFormat="false" ht="15" hidden="false" customHeight="true" outlineLevel="0" collapsed="false">
      <c r="A1115" s="39" t="s">
        <v>457</v>
      </c>
      <c r="B1115" s="39" t="s">
        <v>84</v>
      </c>
      <c r="C1115" s="39" t="n">
        <v>1</v>
      </c>
      <c r="D1115" s="40" t="str">
        <f aca="false">IFERROR(INDEX(المكونات!$B$2:$B$500,MATCH($B1115,المكونات!$A$2:$A$500,0)),"")</f>
        <v>قطعة</v>
      </c>
      <c r="E1115" s="41" t="n">
        <f aca="false">IFERROR(INDEX(المكونات!$C$2:$C$500,MATCH($B1115,المكونات!$A$2:$A$500,0)),"")</f>
        <v>95</v>
      </c>
      <c r="F1115" s="42" t="n">
        <f aca="false">IFERROR($C1115*$E1115,"")</f>
        <v>95</v>
      </c>
    </row>
    <row r="1116" customFormat="false" ht="15" hidden="false" customHeight="true" outlineLevel="0" collapsed="false">
      <c r="A1116" s="39" t="s">
        <v>443</v>
      </c>
      <c r="B1116" s="39" t="s">
        <v>198</v>
      </c>
      <c r="C1116" s="39" t="n">
        <v>0.3</v>
      </c>
      <c r="D1116" s="40" t="str">
        <f aca="false">IFERROR(INDEX(المكونات!$B$2:$B$500,MATCH($B1116,المكونات!$A$2:$A$500,0)),"")</f>
        <v>كجم</v>
      </c>
      <c r="E1116" s="41" t="n">
        <f aca="false">IFERROR(INDEX(المكونات!$C$2:$C$500,MATCH($B1116,المكونات!$A$2:$A$500,0)),"")</f>
        <v>22</v>
      </c>
      <c r="F1116" s="42" t="n">
        <f aca="false">IFERROR($C1116*$E1116,"")</f>
        <v>6.6</v>
      </c>
    </row>
    <row r="1117" customFormat="false" ht="15" hidden="false" customHeight="true" outlineLevel="0" collapsed="false">
      <c r="A1117" s="39" t="s">
        <v>443</v>
      </c>
      <c r="B1117" s="39" t="s">
        <v>186</v>
      </c>
      <c r="C1117" s="39" t="n">
        <v>0.06</v>
      </c>
      <c r="D1117" s="40" t="str">
        <f aca="false">IFERROR(INDEX(المكونات!$B$2:$B$500,MATCH($B1117,المكونات!$A$2:$A$500,0)),"")</f>
        <v>كجم</v>
      </c>
      <c r="E1117" s="41" t="n">
        <f aca="false">IFERROR(INDEX(المكونات!$C$2:$C$500,MATCH($B1117,المكونات!$A$2:$A$500,0)),"")</f>
        <v>32</v>
      </c>
      <c r="F1117" s="42" t="n">
        <f aca="false">IFERROR($C1117*$E1117,"")</f>
        <v>1.92</v>
      </c>
    </row>
    <row r="1118" customFormat="false" ht="15" hidden="false" customHeight="true" outlineLevel="0" collapsed="false">
      <c r="A1118" s="39" t="s">
        <v>443</v>
      </c>
      <c r="B1118" s="39" t="s">
        <v>196</v>
      </c>
      <c r="C1118" s="39" t="n">
        <v>0.045</v>
      </c>
      <c r="D1118" s="40" t="str">
        <f aca="false">IFERROR(INDEX(المكونات!$B$2:$B$500,MATCH($B1118,المكونات!$A$2:$A$500,0)),"")</f>
        <v>كجم</v>
      </c>
      <c r="E1118" s="41" t="n">
        <f aca="false">IFERROR(INDEX(المكونات!$C$2:$C$500,MATCH($B1118,المكونات!$A$2:$A$500,0)),"")</f>
        <v>21</v>
      </c>
      <c r="F1118" s="42" t="n">
        <f aca="false">IFERROR($C1118*$E1118,"")</f>
        <v>0.945</v>
      </c>
    </row>
    <row r="1119" customFormat="false" ht="15" hidden="false" customHeight="true" outlineLevel="0" collapsed="false">
      <c r="A1119" s="39" t="s">
        <v>443</v>
      </c>
      <c r="B1119" s="39" t="s">
        <v>219</v>
      </c>
      <c r="C1119" s="39" t="n">
        <v>0.03</v>
      </c>
      <c r="D1119" s="40" t="str">
        <f aca="false">IFERROR(INDEX(المكونات!$B$2:$B$500,MATCH($B1119,المكونات!$A$2:$A$500,0)),"")</f>
        <v>كجم</v>
      </c>
      <c r="E1119" s="41" t="n">
        <f aca="false">IFERROR(INDEX(المكونات!$C$2:$C$500,MATCH($B1119,المكونات!$A$2:$A$500,0)),"")</f>
        <v>27</v>
      </c>
      <c r="F1119" s="42" t="n">
        <f aca="false">IFERROR($C1119*$E1119,"")</f>
        <v>0.81</v>
      </c>
    </row>
    <row r="1120" customFormat="false" ht="15" hidden="false" customHeight="true" outlineLevel="0" collapsed="false">
      <c r="A1120" s="39" t="s">
        <v>443</v>
      </c>
      <c r="B1120" s="39" t="s">
        <v>162</v>
      </c>
      <c r="C1120" s="39" t="n">
        <v>0.03</v>
      </c>
      <c r="D1120" s="40" t="str">
        <f aca="false">IFERROR(INDEX(المكونات!$B$2:$B$500,MATCH($B1120,المكونات!$A$2:$A$500,0)),"")</f>
        <v>كجم</v>
      </c>
      <c r="E1120" s="41" t="n">
        <f aca="false">IFERROR(INDEX(المكونات!$C$2:$C$500,MATCH($B1120,المكونات!$A$2:$A$500,0)),"")</f>
        <v>95</v>
      </c>
      <c r="F1120" s="42" t="n">
        <f aca="false">IFERROR($C1120*$E1120,"")</f>
        <v>2.85</v>
      </c>
    </row>
    <row r="1121" customFormat="false" ht="15" hidden="false" customHeight="true" outlineLevel="0" collapsed="false">
      <c r="A1121" s="39" t="s">
        <v>443</v>
      </c>
      <c r="B1121" s="39" t="s">
        <v>112</v>
      </c>
      <c r="C1121" s="39" t="n">
        <v>1</v>
      </c>
      <c r="D1121" s="40" t="str">
        <f aca="false">IFERROR(INDEX(المكونات!$B$2:$B$500,MATCH($B1121,المكونات!$A$2:$A$500,0)),"")</f>
        <v>قطعة</v>
      </c>
      <c r="E1121" s="41" t="n">
        <f aca="false">IFERROR(INDEX(المكونات!$C$2:$C$500,MATCH($B1121,المكونات!$A$2:$A$500,0)),"")</f>
        <v>25</v>
      </c>
      <c r="F1121" s="42" t="n">
        <f aca="false">IFERROR($C1121*$E1121,"")</f>
        <v>25</v>
      </c>
    </row>
    <row r="1122" customFormat="false" ht="15" hidden="false" customHeight="true" outlineLevel="0" collapsed="false">
      <c r="A1122" s="39" t="s">
        <v>443</v>
      </c>
      <c r="B1122" s="39" t="s">
        <v>204</v>
      </c>
      <c r="C1122" s="39" t="n">
        <v>1</v>
      </c>
      <c r="D1122" s="40" t="str">
        <f aca="false">IFERROR(INDEX(المكونات!$B$2:$B$500,MATCH($B1122,المكونات!$A$2:$A$500,0)),"")</f>
        <v>قطعة</v>
      </c>
      <c r="E1122" s="41" t="n">
        <f aca="false">IFERROR(INDEX(المكونات!$C$2:$C$500,MATCH($B1122,المكونات!$A$2:$A$500,0)),"")</f>
        <v>5.5</v>
      </c>
      <c r="F1122" s="42" t="n">
        <f aca="false">IFERROR($C1122*$E1122,"")</f>
        <v>5.5</v>
      </c>
    </row>
    <row r="1123" customFormat="false" ht="15" hidden="false" customHeight="true" outlineLevel="0" collapsed="false">
      <c r="A1123" s="39" t="s">
        <v>443</v>
      </c>
      <c r="B1123" s="39" t="s">
        <v>225</v>
      </c>
      <c r="C1123" s="39" t="n">
        <v>3</v>
      </c>
      <c r="D1123" s="40" t="str">
        <f aca="false">IFERROR(INDEX(المكونات!$B$2:$B$500,MATCH($B1123,المكونات!$A$2:$A$500,0)),"")</f>
        <v>قطعة</v>
      </c>
      <c r="E1123" s="41" t="n">
        <f aca="false">IFERROR(INDEX(المكونات!$C$2:$C$500,MATCH($B1123,المكونات!$A$2:$A$500,0)),"")</f>
        <v>0.3</v>
      </c>
      <c r="F1123" s="42" t="n">
        <f aca="false">IFERROR($C1123*$E1123,"")</f>
        <v>0.9</v>
      </c>
    </row>
    <row r="1124" customFormat="false" ht="15" hidden="false" customHeight="true" outlineLevel="0" collapsed="false">
      <c r="A1124" s="39" t="s">
        <v>443</v>
      </c>
      <c r="B1124" s="39" t="s">
        <v>254</v>
      </c>
      <c r="C1124" s="39" t="n">
        <v>1</v>
      </c>
      <c r="D1124" s="40" t="str">
        <f aca="false">IFERROR(INDEX(المكونات!$B$2:$B$500,MATCH($B1124,المكونات!$A$2:$A$500,0)),"")</f>
        <v>قطعة (ورقة)</v>
      </c>
      <c r="E1124" s="41" t="n">
        <f aca="false">IFERROR(INDEX(المكونات!$C$2:$C$500,MATCH($B1124,المكونات!$A$2:$A$500,0)),"")</f>
        <v>0.3665</v>
      </c>
      <c r="F1124" s="42" t="n">
        <f aca="false">IFERROR($C1124*$E1124,"")</f>
        <v>0.3665</v>
      </c>
    </row>
    <row r="1125" customFormat="false" ht="15" hidden="false" customHeight="true" outlineLevel="0" collapsed="false">
      <c r="A1125" s="39" t="s">
        <v>443</v>
      </c>
      <c r="B1125" s="39" t="s">
        <v>67</v>
      </c>
      <c r="C1125" s="39" t="n">
        <v>1</v>
      </c>
      <c r="D1125" s="40" t="str">
        <f aca="false">IFERROR(INDEX(المكونات!$B$2:$B$500,MATCH($B1125,المكونات!$A$2:$A$500,0)),"")</f>
        <v>قطعة (كيس)</v>
      </c>
      <c r="E1125" s="41" t="n">
        <f aca="false">IFERROR(INDEX(المكونات!$C$2:$C$500,MATCH($B1125,المكونات!$A$2:$A$500,0)),"")</f>
        <v>1.4</v>
      </c>
      <c r="F1125" s="42" t="n">
        <f aca="false">IFERROR($C1125*$E1125,"")</f>
        <v>1.4</v>
      </c>
    </row>
    <row r="1126" customFormat="false" ht="15" hidden="false" customHeight="true" outlineLevel="0" collapsed="false">
      <c r="A1126" s="39" t="s">
        <v>443</v>
      </c>
      <c r="B1126" s="39" t="s">
        <v>228</v>
      </c>
      <c r="C1126" s="39" t="n">
        <v>1</v>
      </c>
      <c r="D1126" s="40" t="str">
        <f aca="false">IFERROR(INDEX(المكونات!$B$2:$B$500,MATCH($B1126,المكونات!$A$2:$A$500,0)),"")</f>
        <v>قطعة</v>
      </c>
      <c r="E1126" s="41" t="n">
        <f aca="false">IFERROR(INDEX(المكونات!$C$2:$C$500,MATCH($B1126,المكونات!$A$2:$A$500,0)),"")</f>
        <v>0.5</v>
      </c>
      <c r="F1126" s="42" t="n">
        <f aca="false">IFERROR($C1126*$E1126,"")</f>
        <v>0.5</v>
      </c>
    </row>
    <row r="1127" customFormat="false" ht="15" hidden="false" customHeight="true" outlineLevel="0" collapsed="false">
      <c r="A1127" s="39" t="s">
        <v>443</v>
      </c>
      <c r="B1127" s="39" t="s">
        <v>145</v>
      </c>
      <c r="C1127" s="39" t="n">
        <v>2</v>
      </c>
      <c r="D1127" s="40" t="str">
        <f aca="false">IFERROR(INDEX(المكونات!$B$2:$B$500,MATCH($B1127,المكونات!$A$2:$A$500,0)),"")</f>
        <v>قطعة (جلفز)</v>
      </c>
      <c r="E1127" s="41" t="n">
        <f aca="false">IFERROR(INDEX(المكونات!$C$2:$C$500,MATCH($B1127,المكونات!$A$2:$A$500,0)),"")</f>
        <v>0.18</v>
      </c>
      <c r="F1127" s="42" t="n">
        <f aca="false">IFERROR($C1127*$E1127,"")</f>
        <v>0.36</v>
      </c>
    </row>
    <row r="1128" customFormat="false" ht="15" hidden="false" customHeight="true" outlineLevel="0" collapsed="false">
      <c r="A1128" s="39" t="s">
        <v>443</v>
      </c>
      <c r="B1128" s="39" t="s">
        <v>257</v>
      </c>
      <c r="C1128" s="39" t="n">
        <v>1</v>
      </c>
      <c r="D1128" s="40" t="str">
        <f aca="false">IFERROR(INDEX(المكونات!$B$2:$B$500,MATCH($B1128,المكونات!$A$2:$A$500,0)),"")</f>
        <v>قطعة (كيس)</v>
      </c>
      <c r="E1128" s="41" t="n">
        <f aca="false">IFERROR(INDEX(المكونات!$C$2:$C$500,MATCH($B1128,المكونات!$A$2:$A$500,0)),"")</f>
        <v>0.9995</v>
      </c>
      <c r="F1128" s="42" t="n">
        <f aca="false">IFERROR($C1128*$E1128,"")</f>
        <v>0.9995</v>
      </c>
    </row>
    <row r="1129" customFormat="false" ht="15" hidden="false" customHeight="true" outlineLevel="0" collapsed="false">
      <c r="A1129" s="39" t="s">
        <v>443</v>
      </c>
      <c r="B1129" s="39" t="s">
        <v>84</v>
      </c>
      <c r="C1129" s="39" t="n">
        <v>1.5</v>
      </c>
      <c r="D1129" s="40" t="str">
        <f aca="false">IFERROR(INDEX(المكونات!$B$2:$B$500,MATCH($B1129,المكونات!$A$2:$A$500,0)),"")</f>
        <v>قطعة</v>
      </c>
      <c r="E1129" s="41" t="n">
        <f aca="false">IFERROR(INDEX(المكونات!$C$2:$C$500,MATCH($B1129,المكونات!$A$2:$A$500,0)),"")</f>
        <v>95</v>
      </c>
      <c r="F1129" s="42" t="n">
        <f aca="false">IFERROR($C1129*$E1129,"")</f>
        <v>142.5</v>
      </c>
    </row>
    <row r="1130" customFormat="false" ht="15" hidden="false" customHeight="true" outlineLevel="0" collapsed="false">
      <c r="A1130" s="39" t="s">
        <v>425</v>
      </c>
      <c r="B1130" s="39" t="s">
        <v>198</v>
      </c>
      <c r="C1130" s="39" t="n">
        <v>0.22</v>
      </c>
      <c r="D1130" s="40" t="str">
        <f aca="false">IFERROR(INDEX(المكونات!$B$2:$B$500,MATCH($B1130,المكونات!$A$2:$A$500,0)),"")</f>
        <v>كجم</v>
      </c>
      <c r="E1130" s="41" t="n">
        <f aca="false">IFERROR(INDEX(المكونات!$C$2:$C$500,MATCH($B1130,المكونات!$A$2:$A$500,0)),"")</f>
        <v>22</v>
      </c>
      <c r="F1130" s="42" t="n">
        <f aca="false">IFERROR($C1130*$E1130,"")</f>
        <v>4.84</v>
      </c>
    </row>
    <row r="1131" customFormat="false" ht="15" hidden="false" customHeight="true" outlineLevel="0" collapsed="false">
      <c r="A1131" s="39" t="s">
        <v>425</v>
      </c>
      <c r="B1131" s="39" t="s">
        <v>186</v>
      </c>
      <c r="C1131" s="39" t="n">
        <v>0.04</v>
      </c>
      <c r="D1131" s="40" t="str">
        <f aca="false">IFERROR(INDEX(المكونات!$B$2:$B$500,MATCH($B1131,المكونات!$A$2:$A$500,0)),"")</f>
        <v>كجم</v>
      </c>
      <c r="E1131" s="41" t="n">
        <f aca="false">IFERROR(INDEX(المكونات!$C$2:$C$500,MATCH($B1131,المكونات!$A$2:$A$500,0)),"")</f>
        <v>32</v>
      </c>
      <c r="F1131" s="42" t="n">
        <f aca="false">IFERROR($C1131*$E1131,"")</f>
        <v>1.28</v>
      </c>
    </row>
    <row r="1132" customFormat="false" ht="15" hidden="false" customHeight="true" outlineLevel="0" collapsed="false">
      <c r="A1132" s="39" t="s">
        <v>425</v>
      </c>
      <c r="B1132" s="39" t="s">
        <v>196</v>
      </c>
      <c r="C1132" s="39" t="n">
        <v>0.03</v>
      </c>
      <c r="D1132" s="40" t="str">
        <f aca="false">IFERROR(INDEX(المكونات!$B$2:$B$500,MATCH($B1132,المكونات!$A$2:$A$500,0)),"")</f>
        <v>كجم</v>
      </c>
      <c r="E1132" s="41" t="n">
        <f aca="false">IFERROR(INDEX(المكونات!$C$2:$C$500,MATCH($B1132,المكونات!$A$2:$A$500,0)),"")</f>
        <v>21</v>
      </c>
      <c r="F1132" s="42" t="n">
        <f aca="false">IFERROR($C1132*$E1132,"")</f>
        <v>0.63</v>
      </c>
    </row>
    <row r="1133" customFormat="false" ht="15" hidden="false" customHeight="true" outlineLevel="0" collapsed="false">
      <c r="A1133" s="39" t="s">
        <v>425</v>
      </c>
      <c r="B1133" s="39" t="s">
        <v>219</v>
      </c>
      <c r="C1133" s="39" t="n">
        <v>0.02</v>
      </c>
      <c r="D1133" s="40" t="str">
        <f aca="false">IFERROR(INDEX(المكونات!$B$2:$B$500,MATCH($B1133,المكونات!$A$2:$A$500,0)),"")</f>
        <v>كجم</v>
      </c>
      <c r="E1133" s="41" t="n">
        <f aca="false">IFERROR(INDEX(المكونات!$C$2:$C$500,MATCH($B1133,المكونات!$A$2:$A$500,0)),"")</f>
        <v>27</v>
      </c>
      <c r="F1133" s="42" t="n">
        <f aca="false">IFERROR($C1133*$E1133,"")</f>
        <v>0.54</v>
      </c>
    </row>
    <row r="1134" customFormat="false" ht="15" hidden="false" customHeight="true" outlineLevel="0" collapsed="false">
      <c r="A1134" s="39" t="s">
        <v>425</v>
      </c>
      <c r="B1134" s="39" t="s">
        <v>162</v>
      </c>
      <c r="C1134" s="39" t="n">
        <v>0.02</v>
      </c>
      <c r="D1134" s="40" t="str">
        <f aca="false">IFERROR(INDEX(المكونات!$B$2:$B$500,MATCH($B1134,المكونات!$A$2:$A$500,0)),"")</f>
        <v>كجم</v>
      </c>
      <c r="E1134" s="41" t="n">
        <f aca="false">IFERROR(INDEX(المكونات!$C$2:$C$500,MATCH($B1134,المكونات!$A$2:$A$500,0)),"")</f>
        <v>95</v>
      </c>
      <c r="F1134" s="42" t="n">
        <f aca="false">IFERROR($C1134*$E1134,"")</f>
        <v>1.9</v>
      </c>
    </row>
    <row r="1135" customFormat="false" ht="15" hidden="false" customHeight="true" outlineLevel="0" collapsed="false">
      <c r="A1135" s="39" t="s">
        <v>425</v>
      </c>
      <c r="B1135" s="39" t="s">
        <v>110</v>
      </c>
      <c r="C1135" s="39" t="n">
        <v>1</v>
      </c>
      <c r="D1135" s="40" t="str">
        <f aca="false">IFERROR(INDEX(المكونات!$B$2:$B$500,MATCH($B1135,المكونات!$A$2:$A$500,0)),"")</f>
        <v>قطعة</v>
      </c>
      <c r="E1135" s="41" t="n">
        <f aca="false">IFERROR(INDEX(المكونات!$C$2:$C$500,MATCH($B1135,المكونات!$A$2:$A$500,0)),"")</f>
        <v>17.5</v>
      </c>
      <c r="F1135" s="42" t="n">
        <f aca="false">IFERROR($C1135*$E1135,"")</f>
        <v>17.5</v>
      </c>
    </row>
    <row r="1136" customFormat="false" ht="15" hidden="false" customHeight="true" outlineLevel="0" collapsed="false">
      <c r="A1136" s="39" t="s">
        <v>425</v>
      </c>
      <c r="B1136" s="39" t="s">
        <v>206</v>
      </c>
      <c r="C1136" s="39" t="n">
        <v>1</v>
      </c>
      <c r="D1136" s="40" t="str">
        <f aca="false">IFERROR(INDEX(المكونات!$B$2:$B$500,MATCH($B1136,المكونات!$A$2:$A$500,0)),"")</f>
        <v>قطعة</v>
      </c>
      <c r="E1136" s="41" t="n">
        <f aca="false">IFERROR(INDEX(المكونات!$C$2:$C$500,MATCH($B1136,المكونات!$A$2:$A$500,0)),"")</f>
        <v>4.5</v>
      </c>
      <c r="F1136" s="42" t="n">
        <f aca="false">IFERROR($C1136*$E1136,"")</f>
        <v>4.5</v>
      </c>
    </row>
    <row r="1137" customFormat="false" ht="15" hidden="false" customHeight="true" outlineLevel="0" collapsed="false">
      <c r="A1137" s="39" t="s">
        <v>425</v>
      </c>
      <c r="B1137" s="39" t="s">
        <v>225</v>
      </c>
      <c r="C1137" s="39" t="n">
        <v>2</v>
      </c>
      <c r="D1137" s="40" t="str">
        <f aca="false">IFERROR(INDEX(المكونات!$B$2:$B$500,MATCH($B1137,المكونات!$A$2:$A$500,0)),"")</f>
        <v>قطعة</v>
      </c>
      <c r="E1137" s="41" t="n">
        <f aca="false">IFERROR(INDEX(المكونات!$C$2:$C$500,MATCH($B1137,المكونات!$A$2:$A$500,0)),"")</f>
        <v>0.3</v>
      </c>
      <c r="F1137" s="42" t="n">
        <f aca="false">IFERROR($C1137*$E1137,"")</f>
        <v>0.6</v>
      </c>
    </row>
    <row r="1138" customFormat="false" ht="15" hidden="false" customHeight="true" outlineLevel="0" collapsed="false">
      <c r="A1138" s="39" t="s">
        <v>425</v>
      </c>
      <c r="B1138" s="39" t="s">
        <v>254</v>
      </c>
      <c r="C1138" s="39" t="n">
        <v>1</v>
      </c>
      <c r="D1138" s="40" t="str">
        <f aca="false">IFERROR(INDEX(المكونات!$B$2:$B$500,MATCH($B1138,المكونات!$A$2:$A$500,0)),"")</f>
        <v>قطعة (ورقة)</v>
      </c>
      <c r="E1138" s="41" t="n">
        <f aca="false">IFERROR(INDEX(المكونات!$C$2:$C$500,MATCH($B1138,المكونات!$A$2:$A$500,0)),"")</f>
        <v>0.3665</v>
      </c>
      <c r="F1138" s="42" t="n">
        <f aca="false">IFERROR($C1138*$E1138,"")</f>
        <v>0.3665</v>
      </c>
    </row>
    <row r="1139" customFormat="false" ht="15" hidden="false" customHeight="true" outlineLevel="0" collapsed="false">
      <c r="A1139" s="39" t="s">
        <v>425</v>
      </c>
      <c r="B1139" s="39" t="s">
        <v>67</v>
      </c>
      <c r="C1139" s="39" t="n">
        <v>1</v>
      </c>
      <c r="D1139" s="40" t="str">
        <f aca="false">IFERROR(INDEX(المكونات!$B$2:$B$500,MATCH($B1139,المكونات!$A$2:$A$500,0)),"")</f>
        <v>قطعة (كيس)</v>
      </c>
      <c r="E1139" s="41" t="n">
        <f aca="false">IFERROR(INDEX(المكونات!$C$2:$C$500,MATCH($B1139,المكونات!$A$2:$A$500,0)),"")</f>
        <v>1.4</v>
      </c>
      <c r="F1139" s="42" t="n">
        <f aca="false">IFERROR($C1139*$E1139,"")</f>
        <v>1.4</v>
      </c>
    </row>
    <row r="1140" customFormat="false" ht="15" hidden="false" customHeight="true" outlineLevel="0" collapsed="false">
      <c r="A1140" s="39" t="s">
        <v>425</v>
      </c>
      <c r="B1140" s="39" t="s">
        <v>228</v>
      </c>
      <c r="C1140" s="39" t="n">
        <v>1</v>
      </c>
      <c r="D1140" s="40" t="str">
        <f aca="false">IFERROR(INDEX(المكونات!$B$2:$B$500,MATCH($B1140,المكونات!$A$2:$A$500,0)),"")</f>
        <v>قطعة</v>
      </c>
      <c r="E1140" s="41" t="n">
        <f aca="false">IFERROR(INDEX(المكونات!$C$2:$C$500,MATCH($B1140,المكونات!$A$2:$A$500,0)),"")</f>
        <v>0.5</v>
      </c>
      <c r="F1140" s="42" t="n">
        <f aca="false">IFERROR($C1140*$E1140,"")</f>
        <v>0.5</v>
      </c>
    </row>
    <row r="1141" customFormat="false" ht="15" hidden="false" customHeight="true" outlineLevel="0" collapsed="false">
      <c r="A1141" s="39" t="s">
        <v>425</v>
      </c>
      <c r="B1141" s="39" t="s">
        <v>145</v>
      </c>
      <c r="C1141" s="39" t="n">
        <v>2</v>
      </c>
      <c r="D1141" s="40" t="str">
        <f aca="false">IFERROR(INDEX(المكونات!$B$2:$B$500,MATCH($B1141,المكونات!$A$2:$A$500,0)),"")</f>
        <v>قطعة (جلفز)</v>
      </c>
      <c r="E1141" s="41" t="n">
        <f aca="false">IFERROR(INDEX(المكونات!$C$2:$C$500,MATCH($B1141,المكونات!$A$2:$A$500,0)),"")</f>
        <v>0.18</v>
      </c>
      <c r="F1141" s="42" t="n">
        <f aca="false">IFERROR($C1141*$E1141,"")</f>
        <v>0.36</v>
      </c>
    </row>
    <row r="1142" customFormat="false" ht="15" hidden="false" customHeight="true" outlineLevel="0" collapsed="false">
      <c r="A1142" s="39" t="s">
        <v>425</v>
      </c>
      <c r="B1142" s="39" t="s">
        <v>257</v>
      </c>
      <c r="C1142" s="39" t="n">
        <v>1</v>
      </c>
      <c r="D1142" s="40" t="str">
        <f aca="false">IFERROR(INDEX(المكونات!$B$2:$B$500,MATCH($B1142,المكونات!$A$2:$A$500,0)),"")</f>
        <v>قطعة (كيس)</v>
      </c>
      <c r="E1142" s="41" t="n">
        <f aca="false">IFERROR(INDEX(المكونات!$C$2:$C$500,MATCH($B1142,المكونات!$A$2:$A$500,0)),"")</f>
        <v>0.9995</v>
      </c>
      <c r="F1142" s="42" t="n">
        <f aca="false">IFERROR($C1142*$E1142,"")</f>
        <v>0.9995</v>
      </c>
    </row>
    <row r="1143" customFormat="false" ht="15" hidden="false" customHeight="true" outlineLevel="0" collapsed="false">
      <c r="A1143" s="39" t="s">
        <v>425</v>
      </c>
      <c r="B1143" s="39" t="s">
        <v>215</v>
      </c>
      <c r="C1143" s="39" t="n">
        <v>1</v>
      </c>
      <c r="D1143" s="40" t="str">
        <f aca="false">IFERROR(INDEX(المكونات!$B$2:$B$500,MATCH($B1143,المكونات!$A$2:$A$500,0)),"")</f>
        <v>قطعة</v>
      </c>
      <c r="E1143" s="41" t="n">
        <f aca="false">IFERROR(INDEX(المكونات!$C$2:$C$500,MATCH($B1143,المكونات!$A$2:$A$500,0)),"")</f>
        <v>42.03</v>
      </c>
      <c r="F1143" s="42" t="n">
        <f aca="false">IFERROR($C1143*$E1143,"")</f>
        <v>42.03</v>
      </c>
    </row>
    <row r="1144" customFormat="false" ht="15" hidden="false" customHeight="true" outlineLevel="0" collapsed="false">
      <c r="A1144" s="39" t="s">
        <v>444</v>
      </c>
      <c r="B1144" s="39" t="s">
        <v>198</v>
      </c>
      <c r="C1144" s="39" t="n">
        <v>0.3</v>
      </c>
      <c r="D1144" s="40" t="str">
        <f aca="false">IFERROR(INDEX(المكونات!$B$2:$B$500,MATCH($B1144,المكونات!$A$2:$A$500,0)),"")</f>
        <v>كجم</v>
      </c>
      <c r="E1144" s="41" t="n">
        <f aca="false">IFERROR(INDEX(المكونات!$C$2:$C$500,MATCH($B1144,المكونات!$A$2:$A$500,0)),"")</f>
        <v>22</v>
      </c>
      <c r="F1144" s="42" t="n">
        <f aca="false">IFERROR($C1144*$E1144,"")</f>
        <v>6.6</v>
      </c>
    </row>
    <row r="1145" customFormat="false" ht="15" hidden="false" customHeight="true" outlineLevel="0" collapsed="false">
      <c r="A1145" s="39" t="s">
        <v>444</v>
      </c>
      <c r="B1145" s="39" t="s">
        <v>186</v>
      </c>
      <c r="C1145" s="39" t="n">
        <v>0.06</v>
      </c>
      <c r="D1145" s="40" t="str">
        <f aca="false">IFERROR(INDEX(المكونات!$B$2:$B$500,MATCH($B1145,المكونات!$A$2:$A$500,0)),"")</f>
        <v>كجم</v>
      </c>
      <c r="E1145" s="41" t="n">
        <f aca="false">IFERROR(INDEX(المكونات!$C$2:$C$500,MATCH($B1145,المكونات!$A$2:$A$500,0)),"")</f>
        <v>32</v>
      </c>
      <c r="F1145" s="42" t="n">
        <f aca="false">IFERROR($C1145*$E1145,"")</f>
        <v>1.92</v>
      </c>
    </row>
    <row r="1146" customFormat="false" ht="15" hidden="false" customHeight="true" outlineLevel="0" collapsed="false">
      <c r="A1146" s="39" t="s">
        <v>444</v>
      </c>
      <c r="B1146" s="39" t="s">
        <v>196</v>
      </c>
      <c r="C1146" s="39" t="n">
        <v>0.045</v>
      </c>
      <c r="D1146" s="40" t="str">
        <f aca="false">IFERROR(INDEX(المكونات!$B$2:$B$500,MATCH($B1146,المكونات!$A$2:$A$500,0)),"")</f>
        <v>كجم</v>
      </c>
      <c r="E1146" s="41" t="n">
        <f aca="false">IFERROR(INDEX(المكونات!$C$2:$C$500,MATCH($B1146,المكونات!$A$2:$A$500,0)),"")</f>
        <v>21</v>
      </c>
      <c r="F1146" s="42" t="n">
        <f aca="false">IFERROR($C1146*$E1146,"")</f>
        <v>0.945</v>
      </c>
    </row>
    <row r="1147" customFormat="false" ht="15" hidden="false" customHeight="true" outlineLevel="0" collapsed="false">
      <c r="A1147" s="39" t="s">
        <v>444</v>
      </c>
      <c r="B1147" s="39" t="s">
        <v>219</v>
      </c>
      <c r="C1147" s="39" t="n">
        <v>0.03</v>
      </c>
      <c r="D1147" s="40" t="str">
        <f aca="false">IFERROR(INDEX(المكونات!$B$2:$B$500,MATCH($B1147,المكونات!$A$2:$A$500,0)),"")</f>
        <v>كجم</v>
      </c>
      <c r="E1147" s="41" t="n">
        <f aca="false">IFERROR(INDEX(المكونات!$C$2:$C$500,MATCH($B1147,المكونات!$A$2:$A$500,0)),"")</f>
        <v>27</v>
      </c>
      <c r="F1147" s="42" t="n">
        <f aca="false">IFERROR($C1147*$E1147,"")</f>
        <v>0.81</v>
      </c>
    </row>
    <row r="1148" customFormat="false" ht="15" hidden="false" customHeight="true" outlineLevel="0" collapsed="false">
      <c r="A1148" s="39" t="s">
        <v>444</v>
      </c>
      <c r="B1148" s="39" t="s">
        <v>162</v>
      </c>
      <c r="C1148" s="39" t="n">
        <v>0.03</v>
      </c>
      <c r="D1148" s="40" t="str">
        <f aca="false">IFERROR(INDEX(المكونات!$B$2:$B$500,MATCH($B1148,المكونات!$A$2:$A$500,0)),"")</f>
        <v>كجم</v>
      </c>
      <c r="E1148" s="41" t="n">
        <f aca="false">IFERROR(INDEX(المكونات!$C$2:$C$500,MATCH($B1148,المكونات!$A$2:$A$500,0)),"")</f>
        <v>95</v>
      </c>
      <c r="F1148" s="42" t="n">
        <f aca="false">IFERROR($C1148*$E1148,"")</f>
        <v>2.85</v>
      </c>
    </row>
    <row r="1149" customFormat="false" ht="15" hidden="false" customHeight="true" outlineLevel="0" collapsed="false">
      <c r="A1149" s="39" t="s">
        <v>444</v>
      </c>
      <c r="B1149" s="39" t="s">
        <v>112</v>
      </c>
      <c r="C1149" s="39" t="n">
        <v>1</v>
      </c>
      <c r="D1149" s="40" t="str">
        <f aca="false">IFERROR(INDEX(المكونات!$B$2:$B$500,MATCH($B1149,المكونات!$A$2:$A$500,0)),"")</f>
        <v>قطعة</v>
      </c>
      <c r="E1149" s="41" t="n">
        <f aca="false">IFERROR(INDEX(المكونات!$C$2:$C$500,MATCH($B1149,المكونات!$A$2:$A$500,0)),"")</f>
        <v>25</v>
      </c>
      <c r="F1149" s="42" t="n">
        <f aca="false">IFERROR($C1149*$E1149,"")</f>
        <v>25</v>
      </c>
    </row>
    <row r="1150" customFormat="false" ht="15" hidden="false" customHeight="true" outlineLevel="0" collapsed="false">
      <c r="A1150" s="39" t="s">
        <v>444</v>
      </c>
      <c r="B1150" s="39" t="s">
        <v>204</v>
      </c>
      <c r="C1150" s="39" t="n">
        <v>1</v>
      </c>
      <c r="D1150" s="40" t="str">
        <f aca="false">IFERROR(INDEX(المكونات!$B$2:$B$500,MATCH($B1150,المكونات!$A$2:$A$500,0)),"")</f>
        <v>قطعة</v>
      </c>
      <c r="E1150" s="41" t="n">
        <f aca="false">IFERROR(INDEX(المكونات!$C$2:$C$500,MATCH($B1150,المكونات!$A$2:$A$500,0)),"")</f>
        <v>5.5</v>
      </c>
      <c r="F1150" s="42" t="n">
        <f aca="false">IFERROR($C1150*$E1150,"")</f>
        <v>5.5</v>
      </c>
    </row>
    <row r="1151" customFormat="false" ht="15" hidden="false" customHeight="true" outlineLevel="0" collapsed="false">
      <c r="A1151" s="39" t="s">
        <v>444</v>
      </c>
      <c r="B1151" s="39" t="s">
        <v>225</v>
      </c>
      <c r="C1151" s="39" t="n">
        <v>3</v>
      </c>
      <c r="D1151" s="40" t="str">
        <f aca="false">IFERROR(INDEX(المكونات!$B$2:$B$500,MATCH($B1151,المكونات!$A$2:$A$500,0)),"")</f>
        <v>قطعة</v>
      </c>
      <c r="E1151" s="41" t="n">
        <f aca="false">IFERROR(INDEX(المكونات!$C$2:$C$500,MATCH($B1151,المكونات!$A$2:$A$500,0)),"")</f>
        <v>0.3</v>
      </c>
      <c r="F1151" s="42" t="n">
        <f aca="false">IFERROR($C1151*$E1151,"")</f>
        <v>0.9</v>
      </c>
    </row>
    <row r="1152" customFormat="false" ht="15" hidden="false" customHeight="true" outlineLevel="0" collapsed="false">
      <c r="A1152" s="39" t="s">
        <v>444</v>
      </c>
      <c r="B1152" s="39" t="s">
        <v>254</v>
      </c>
      <c r="C1152" s="39" t="n">
        <v>1</v>
      </c>
      <c r="D1152" s="40" t="str">
        <f aca="false">IFERROR(INDEX(المكونات!$B$2:$B$500,MATCH($B1152,المكونات!$A$2:$A$500,0)),"")</f>
        <v>قطعة (ورقة)</v>
      </c>
      <c r="E1152" s="41" t="n">
        <f aca="false">IFERROR(INDEX(المكونات!$C$2:$C$500,MATCH($B1152,المكونات!$A$2:$A$500,0)),"")</f>
        <v>0.3665</v>
      </c>
      <c r="F1152" s="42" t="n">
        <f aca="false">IFERROR($C1152*$E1152,"")</f>
        <v>0.3665</v>
      </c>
    </row>
    <row r="1153" customFormat="false" ht="15" hidden="false" customHeight="true" outlineLevel="0" collapsed="false">
      <c r="A1153" s="39" t="s">
        <v>444</v>
      </c>
      <c r="B1153" s="39" t="s">
        <v>67</v>
      </c>
      <c r="C1153" s="39" t="n">
        <v>1</v>
      </c>
      <c r="D1153" s="40" t="str">
        <f aca="false">IFERROR(INDEX(المكونات!$B$2:$B$500,MATCH($B1153,المكونات!$A$2:$A$500,0)),"")</f>
        <v>قطعة (كيس)</v>
      </c>
      <c r="E1153" s="41" t="n">
        <f aca="false">IFERROR(INDEX(المكونات!$C$2:$C$500,MATCH($B1153,المكونات!$A$2:$A$500,0)),"")</f>
        <v>1.4</v>
      </c>
      <c r="F1153" s="42" t="n">
        <f aca="false">IFERROR($C1153*$E1153,"")</f>
        <v>1.4</v>
      </c>
    </row>
    <row r="1154" customFormat="false" ht="15" hidden="false" customHeight="true" outlineLevel="0" collapsed="false">
      <c r="A1154" s="39" t="s">
        <v>444</v>
      </c>
      <c r="B1154" s="39" t="s">
        <v>228</v>
      </c>
      <c r="C1154" s="39" t="n">
        <v>1</v>
      </c>
      <c r="D1154" s="40" t="str">
        <f aca="false">IFERROR(INDEX(المكونات!$B$2:$B$500,MATCH($B1154,المكونات!$A$2:$A$500,0)),"")</f>
        <v>قطعة</v>
      </c>
      <c r="E1154" s="41" t="n">
        <f aca="false">IFERROR(INDEX(المكونات!$C$2:$C$500,MATCH($B1154,المكونات!$A$2:$A$500,0)),"")</f>
        <v>0.5</v>
      </c>
      <c r="F1154" s="42" t="n">
        <f aca="false">IFERROR($C1154*$E1154,"")</f>
        <v>0.5</v>
      </c>
    </row>
    <row r="1155" customFormat="false" ht="15" hidden="false" customHeight="true" outlineLevel="0" collapsed="false">
      <c r="A1155" s="39" t="s">
        <v>444</v>
      </c>
      <c r="B1155" s="39" t="s">
        <v>145</v>
      </c>
      <c r="C1155" s="39" t="n">
        <v>2</v>
      </c>
      <c r="D1155" s="40" t="str">
        <f aca="false">IFERROR(INDEX(المكونات!$B$2:$B$500,MATCH($B1155,المكونات!$A$2:$A$500,0)),"")</f>
        <v>قطعة (جلفز)</v>
      </c>
      <c r="E1155" s="41" t="n">
        <f aca="false">IFERROR(INDEX(المكونات!$C$2:$C$500,MATCH($B1155,المكونات!$A$2:$A$500,0)),"")</f>
        <v>0.18</v>
      </c>
      <c r="F1155" s="42" t="n">
        <f aca="false">IFERROR($C1155*$E1155,"")</f>
        <v>0.36</v>
      </c>
    </row>
    <row r="1156" customFormat="false" ht="15" hidden="false" customHeight="true" outlineLevel="0" collapsed="false">
      <c r="A1156" s="39" t="s">
        <v>444</v>
      </c>
      <c r="B1156" s="39" t="s">
        <v>257</v>
      </c>
      <c r="C1156" s="39" t="n">
        <v>1</v>
      </c>
      <c r="D1156" s="40" t="str">
        <f aca="false">IFERROR(INDEX(المكونات!$B$2:$B$500,MATCH($B1156,المكونات!$A$2:$A$500,0)),"")</f>
        <v>قطعة (كيس)</v>
      </c>
      <c r="E1156" s="41" t="n">
        <f aca="false">IFERROR(INDEX(المكونات!$C$2:$C$500,MATCH($B1156,المكونات!$A$2:$A$500,0)),"")</f>
        <v>0.9995</v>
      </c>
      <c r="F1156" s="42" t="n">
        <f aca="false">IFERROR($C1156*$E1156,"")</f>
        <v>0.9995</v>
      </c>
    </row>
    <row r="1157" customFormat="false" ht="15" hidden="false" customHeight="true" outlineLevel="0" collapsed="false">
      <c r="A1157" s="39" t="s">
        <v>444</v>
      </c>
      <c r="B1157" s="39" t="s">
        <v>215</v>
      </c>
      <c r="C1157" s="39" t="n">
        <v>1.5</v>
      </c>
      <c r="D1157" s="40" t="str">
        <f aca="false">IFERROR(INDEX(المكونات!$B$2:$B$500,MATCH($B1157,المكونات!$A$2:$A$500,0)),"")</f>
        <v>قطعة</v>
      </c>
      <c r="E1157" s="41" t="n">
        <f aca="false">IFERROR(INDEX(المكونات!$C$2:$C$500,MATCH($B1157,المكونات!$A$2:$A$500,0)),"")</f>
        <v>42.03</v>
      </c>
      <c r="F1157" s="42" t="n">
        <f aca="false">IFERROR($C1157*$E1157,"")</f>
        <v>63.045</v>
      </c>
    </row>
    <row r="1158" customFormat="false" ht="15" hidden="false" customHeight="true" outlineLevel="0" collapsed="false">
      <c r="A1158" s="39" t="s">
        <v>439</v>
      </c>
      <c r="B1158" s="39" t="s">
        <v>200</v>
      </c>
      <c r="C1158" s="39" t="n">
        <v>1</v>
      </c>
      <c r="D1158" s="40" t="str">
        <f aca="false">IFERROR(INDEX(المكونات!$B$2:$B$500,MATCH($B1158,المكونات!$A$2:$A$500,0)),"")</f>
        <v>قطعة</v>
      </c>
      <c r="E1158" s="41" t="n">
        <f aca="false">IFERROR(INDEX(المكونات!$C$2:$C$500,MATCH($B1158,المكونات!$A$2:$A$500,0)),"")</f>
        <v>4</v>
      </c>
      <c r="F1158" s="42" t="n">
        <f aca="false">IFERROR($C1158*$E1158,"")</f>
        <v>4</v>
      </c>
    </row>
    <row r="1159" customFormat="false" ht="15" hidden="false" customHeight="true" outlineLevel="0" collapsed="false">
      <c r="A1159" s="39" t="s">
        <v>439</v>
      </c>
      <c r="B1159" s="39" t="s">
        <v>196</v>
      </c>
      <c r="C1159" s="39" t="n">
        <v>0.03</v>
      </c>
      <c r="D1159" s="40" t="str">
        <f aca="false">IFERROR(INDEX(المكونات!$B$2:$B$500,MATCH($B1159,المكونات!$A$2:$A$500,0)),"")</f>
        <v>كجم</v>
      </c>
      <c r="E1159" s="41" t="n">
        <f aca="false">IFERROR(INDEX(المكونات!$C$2:$C$500,MATCH($B1159,المكونات!$A$2:$A$500,0)),"")</f>
        <v>21</v>
      </c>
      <c r="F1159" s="42" t="n">
        <f aca="false">IFERROR($C1159*$E1159,"")</f>
        <v>0.63</v>
      </c>
    </row>
    <row r="1160" customFormat="false" ht="15" hidden="false" customHeight="true" outlineLevel="0" collapsed="false">
      <c r="A1160" s="39" t="s">
        <v>439</v>
      </c>
      <c r="B1160" s="39" t="s">
        <v>219</v>
      </c>
      <c r="C1160" s="39" t="n">
        <v>0.02</v>
      </c>
      <c r="D1160" s="40" t="str">
        <f aca="false">IFERROR(INDEX(المكونات!$B$2:$B$500,MATCH($B1160,المكونات!$A$2:$A$500,0)),"")</f>
        <v>كجم</v>
      </c>
      <c r="E1160" s="41" t="n">
        <f aca="false">IFERROR(INDEX(المكونات!$C$2:$C$500,MATCH($B1160,المكونات!$A$2:$A$500,0)),"")</f>
        <v>27</v>
      </c>
      <c r="F1160" s="42" t="n">
        <f aca="false">IFERROR($C1160*$E1160,"")</f>
        <v>0.54</v>
      </c>
    </row>
    <row r="1161" customFormat="false" ht="15" hidden="false" customHeight="true" outlineLevel="0" collapsed="false">
      <c r="A1161" s="39" t="s">
        <v>439</v>
      </c>
      <c r="B1161" s="39" t="s">
        <v>162</v>
      </c>
      <c r="C1161" s="39" t="n">
        <v>0.02</v>
      </c>
      <c r="D1161" s="40" t="str">
        <f aca="false">IFERROR(INDEX(المكونات!$B$2:$B$500,MATCH($B1161,المكونات!$A$2:$A$500,0)),"")</f>
        <v>كجم</v>
      </c>
      <c r="E1161" s="41" t="n">
        <f aca="false">IFERROR(INDEX(المكونات!$C$2:$C$500,MATCH($B1161,المكونات!$A$2:$A$500,0)),"")</f>
        <v>95</v>
      </c>
      <c r="F1161" s="42" t="n">
        <f aca="false">IFERROR($C1161*$E1161,"")</f>
        <v>1.9</v>
      </c>
    </row>
    <row r="1162" customFormat="false" ht="15" hidden="false" customHeight="true" outlineLevel="0" collapsed="false">
      <c r="A1162" s="39" t="s">
        <v>439</v>
      </c>
      <c r="B1162" s="39" t="s">
        <v>110</v>
      </c>
      <c r="C1162" s="39" t="n">
        <v>1</v>
      </c>
      <c r="D1162" s="40" t="str">
        <f aca="false">IFERROR(INDEX(المكونات!$B$2:$B$500,MATCH($B1162,المكونات!$A$2:$A$500,0)),"")</f>
        <v>قطعة</v>
      </c>
      <c r="E1162" s="41" t="n">
        <f aca="false">IFERROR(INDEX(المكونات!$C$2:$C$500,MATCH($B1162,المكونات!$A$2:$A$500,0)),"")</f>
        <v>17.5</v>
      </c>
      <c r="F1162" s="42" t="n">
        <f aca="false">IFERROR($C1162*$E1162,"")</f>
        <v>17.5</v>
      </c>
    </row>
    <row r="1163" customFormat="false" ht="15" hidden="false" customHeight="true" outlineLevel="0" collapsed="false">
      <c r="A1163" s="39" t="s">
        <v>439</v>
      </c>
      <c r="B1163" s="39" t="s">
        <v>206</v>
      </c>
      <c r="C1163" s="39" t="n">
        <v>1</v>
      </c>
      <c r="D1163" s="40" t="str">
        <f aca="false">IFERROR(INDEX(المكونات!$B$2:$B$500,MATCH($B1163,المكونات!$A$2:$A$500,0)),"")</f>
        <v>قطعة</v>
      </c>
      <c r="E1163" s="41" t="n">
        <f aca="false">IFERROR(INDEX(المكونات!$C$2:$C$500,MATCH($B1163,المكونات!$A$2:$A$500,0)),"")</f>
        <v>4.5</v>
      </c>
      <c r="F1163" s="42" t="n">
        <f aca="false">IFERROR($C1163*$E1163,"")</f>
        <v>4.5</v>
      </c>
    </row>
    <row r="1164" customFormat="false" ht="15" hidden="false" customHeight="true" outlineLevel="0" collapsed="false">
      <c r="A1164" s="39" t="s">
        <v>439</v>
      </c>
      <c r="B1164" s="39" t="s">
        <v>225</v>
      </c>
      <c r="C1164" s="39" t="n">
        <v>2</v>
      </c>
      <c r="D1164" s="40" t="str">
        <f aca="false">IFERROR(INDEX(المكونات!$B$2:$B$500,MATCH($B1164,المكونات!$A$2:$A$500,0)),"")</f>
        <v>قطعة</v>
      </c>
      <c r="E1164" s="41" t="n">
        <f aca="false">IFERROR(INDEX(المكونات!$C$2:$C$500,MATCH($B1164,المكونات!$A$2:$A$500,0)),"")</f>
        <v>0.3</v>
      </c>
      <c r="F1164" s="42" t="n">
        <f aca="false">IFERROR($C1164*$E1164,"")</f>
        <v>0.6</v>
      </c>
    </row>
    <row r="1165" customFormat="false" ht="15" hidden="false" customHeight="true" outlineLevel="0" collapsed="false">
      <c r="A1165" s="39" t="s">
        <v>439</v>
      </c>
      <c r="B1165" s="39" t="s">
        <v>254</v>
      </c>
      <c r="C1165" s="39" t="n">
        <v>1</v>
      </c>
      <c r="D1165" s="40" t="str">
        <f aca="false">IFERROR(INDEX(المكونات!$B$2:$B$500,MATCH($B1165,المكونات!$A$2:$A$500,0)),"")</f>
        <v>قطعة (ورقة)</v>
      </c>
      <c r="E1165" s="41" t="n">
        <f aca="false">IFERROR(INDEX(المكونات!$C$2:$C$500,MATCH($B1165,المكونات!$A$2:$A$500,0)),"")</f>
        <v>0.3665</v>
      </c>
      <c r="F1165" s="42" t="n">
        <f aca="false">IFERROR($C1165*$E1165,"")</f>
        <v>0.3665</v>
      </c>
    </row>
    <row r="1166" customFormat="false" ht="15" hidden="false" customHeight="true" outlineLevel="0" collapsed="false">
      <c r="A1166" s="39" t="s">
        <v>439</v>
      </c>
      <c r="B1166" s="39" t="s">
        <v>67</v>
      </c>
      <c r="C1166" s="39" t="n">
        <v>1</v>
      </c>
      <c r="D1166" s="40" t="str">
        <f aca="false">IFERROR(INDEX(المكونات!$B$2:$B$500,MATCH($B1166,المكونات!$A$2:$A$500,0)),"")</f>
        <v>قطعة (كيس)</v>
      </c>
      <c r="E1166" s="41" t="n">
        <f aca="false">IFERROR(INDEX(المكونات!$C$2:$C$500,MATCH($B1166,المكونات!$A$2:$A$500,0)),"")</f>
        <v>1.4</v>
      </c>
      <c r="F1166" s="42" t="n">
        <f aca="false">IFERROR($C1166*$E1166,"")</f>
        <v>1.4</v>
      </c>
    </row>
    <row r="1167" customFormat="false" ht="15" hidden="false" customHeight="true" outlineLevel="0" collapsed="false">
      <c r="A1167" s="39" t="s">
        <v>439</v>
      </c>
      <c r="B1167" s="39" t="s">
        <v>228</v>
      </c>
      <c r="C1167" s="39" t="n">
        <v>1</v>
      </c>
      <c r="D1167" s="40" t="str">
        <f aca="false">IFERROR(INDEX(المكونات!$B$2:$B$500,MATCH($B1167,المكونات!$A$2:$A$500,0)),"")</f>
        <v>قطعة</v>
      </c>
      <c r="E1167" s="41" t="n">
        <f aca="false">IFERROR(INDEX(المكونات!$C$2:$C$500,MATCH($B1167,المكونات!$A$2:$A$500,0)),"")</f>
        <v>0.5</v>
      </c>
      <c r="F1167" s="42" t="n">
        <f aca="false">IFERROR($C1167*$E1167,"")</f>
        <v>0.5</v>
      </c>
    </row>
    <row r="1168" customFormat="false" ht="15" hidden="false" customHeight="true" outlineLevel="0" collapsed="false">
      <c r="A1168" s="39" t="s">
        <v>439</v>
      </c>
      <c r="B1168" s="39" t="s">
        <v>145</v>
      </c>
      <c r="C1168" s="39" t="n">
        <v>2</v>
      </c>
      <c r="D1168" s="40" t="str">
        <f aca="false">IFERROR(INDEX(المكونات!$B$2:$B$500,MATCH($B1168,المكونات!$A$2:$A$500,0)),"")</f>
        <v>قطعة (جلفز)</v>
      </c>
      <c r="E1168" s="41" t="n">
        <f aca="false">IFERROR(INDEX(المكونات!$C$2:$C$500,MATCH($B1168,المكونات!$A$2:$A$500,0)),"")</f>
        <v>0.18</v>
      </c>
      <c r="F1168" s="42" t="n">
        <f aca="false">IFERROR($C1168*$E1168,"")</f>
        <v>0.36</v>
      </c>
    </row>
    <row r="1169" customFormat="false" ht="15" hidden="false" customHeight="true" outlineLevel="0" collapsed="false">
      <c r="A1169" s="39" t="s">
        <v>439</v>
      </c>
      <c r="B1169" s="39" t="s">
        <v>257</v>
      </c>
      <c r="C1169" s="39" t="n">
        <v>1</v>
      </c>
      <c r="D1169" s="40" t="str">
        <f aca="false">IFERROR(INDEX(المكونات!$B$2:$B$500,MATCH($B1169,المكونات!$A$2:$A$500,0)),"")</f>
        <v>قطعة (كيس)</v>
      </c>
      <c r="E1169" s="41" t="n">
        <f aca="false">IFERROR(INDEX(المكونات!$C$2:$C$500,MATCH($B1169,المكونات!$A$2:$A$500,0)),"")</f>
        <v>0.9995</v>
      </c>
      <c r="F1169" s="42" t="n">
        <f aca="false">IFERROR($C1169*$E1169,"")</f>
        <v>0.9995</v>
      </c>
    </row>
    <row r="1170" customFormat="false" ht="15" hidden="false" customHeight="true" outlineLevel="0" collapsed="false">
      <c r="A1170" s="39" t="s">
        <v>408</v>
      </c>
      <c r="B1170" s="39" t="s">
        <v>200</v>
      </c>
      <c r="C1170" s="39" t="n">
        <v>1.5</v>
      </c>
      <c r="D1170" s="40" t="str">
        <f aca="false">IFERROR(INDEX(المكونات!$B$2:$B$500,MATCH($B1170,المكونات!$A$2:$A$500,0)),"")</f>
        <v>قطعة</v>
      </c>
      <c r="E1170" s="41" t="n">
        <f aca="false">IFERROR(INDEX(المكونات!$C$2:$C$500,MATCH($B1170,المكونات!$A$2:$A$500,0)),"")</f>
        <v>4</v>
      </c>
      <c r="F1170" s="42" t="n">
        <f aca="false">IFERROR($C1170*$E1170,"")</f>
        <v>6</v>
      </c>
    </row>
    <row r="1171" customFormat="false" ht="15" hidden="false" customHeight="true" outlineLevel="0" collapsed="false">
      <c r="A1171" s="39" t="s">
        <v>408</v>
      </c>
      <c r="B1171" s="39" t="s">
        <v>196</v>
      </c>
      <c r="C1171" s="39" t="n">
        <v>0.045</v>
      </c>
      <c r="D1171" s="40" t="str">
        <f aca="false">IFERROR(INDEX(المكونات!$B$2:$B$500,MATCH($B1171,المكونات!$A$2:$A$500,0)),"")</f>
        <v>كجم</v>
      </c>
      <c r="E1171" s="41" t="n">
        <f aca="false">IFERROR(INDEX(المكونات!$C$2:$C$500,MATCH($B1171,المكونات!$A$2:$A$500,0)),"")</f>
        <v>21</v>
      </c>
      <c r="F1171" s="42" t="n">
        <f aca="false">IFERROR($C1171*$E1171,"")</f>
        <v>0.945</v>
      </c>
    </row>
    <row r="1172" customFormat="false" ht="15" hidden="false" customHeight="true" outlineLevel="0" collapsed="false">
      <c r="A1172" s="39" t="s">
        <v>408</v>
      </c>
      <c r="B1172" s="39" t="s">
        <v>219</v>
      </c>
      <c r="C1172" s="39" t="n">
        <v>0.03</v>
      </c>
      <c r="D1172" s="40" t="str">
        <f aca="false">IFERROR(INDEX(المكونات!$B$2:$B$500,MATCH($B1172,المكونات!$A$2:$A$500,0)),"")</f>
        <v>كجم</v>
      </c>
      <c r="E1172" s="41" t="n">
        <f aca="false">IFERROR(INDEX(المكونات!$C$2:$C$500,MATCH($B1172,المكونات!$A$2:$A$500,0)),"")</f>
        <v>27</v>
      </c>
      <c r="F1172" s="42" t="n">
        <f aca="false">IFERROR($C1172*$E1172,"")</f>
        <v>0.81</v>
      </c>
    </row>
    <row r="1173" customFormat="false" ht="15" hidden="false" customHeight="true" outlineLevel="0" collapsed="false">
      <c r="A1173" s="39" t="s">
        <v>408</v>
      </c>
      <c r="B1173" s="39" t="s">
        <v>162</v>
      </c>
      <c r="C1173" s="39" t="n">
        <v>0.03</v>
      </c>
      <c r="D1173" s="40" t="str">
        <f aca="false">IFERROR(INDEX(المكونات!$B$2:$B$500,MATCH($B1173,المكونات!$A$2:$A$500,0)),"")</f>
        <v>كجم</v>
      </c>
      <c r="E1173" s="41" t="n">
        <f aca="false">IFERROR(INDEX(المكونات!$C$2:$C$500,MATCH($B1173,المكونات!$A$2:$A$500,0)),"")</f>
        <v>95</v>
      </c>
      <c r="F1173" s="42" t="n">
        <f aca="false">IFERROR($C1173*$E1173,"")</f>
        <v>2.85</v>
      </c>
    </row>
    <row r="1174" customFormat="false" ht="15" hidden="false" customHeight="true" outlineLevel="0" collapsed="false">
      <c r="A1174" s="39" t="s">
        <v>408</v>
      </c>
      <c r="B1174" s="39" t="s">
        <v>112</v>
      </c>
      <c r="C1174" s="39" t="n">
        <v>1</v>
      </c>
      <c r="D1174" s="40" t="str">
        <f aca="false">IFERROR(INDEX(المكونات!$B$2:$B$500,MATCH($B1174,المكونات!$A$2:$A$500,0)),"")</f>
        <v>قطعة</v>
      </c>
      <c r="E1174" s="41" t="n">
        <f aca="false">IFERROR(INDEX(المكونات!$C$2:$C$500,MATCH($B1174,المكونات!$A$2:$A$500,0)),"")</f>
        <v>25</v>
      </c>
      <c r="F1174" s="42" t="n">
        <f aca="false">IFERROR($C1174*$E1174,"")</f>
        <v>25</v>
      </c>
    </row>
    <row r="1175" customFormat="false" ht="15" hidden="false" customHeight="true" outlineLevel="0" collapsed="false">
      <c r="A1175" s="39" t="s">
        <v>408</v>
      </c>
      <c r="B1175" s="39" t="s">
        <v>204</v>
      </c>
      <c r="C1175" s="39" t="n">
        <v>1</v>
      </c>
      <c r="D1175" s="40" t="str">
        <f aca="false">IFERROR(INDEX(المكونات!$B$2:$B$500,MATCH($B1175,المكونات!$A$2:$A$500,0)),"")</f>
        <v>قطعة</v>
      </c>
      <c r="E1175" s="41" t="n">
        <f aca="false">IFERROR(INDEX(المكونات!$C$2:$C$500,MATCH($B1175,المكونات!$A$2:$A$500,0)),"")</f>
        <v>5.5</v>
      </c>
      <c r="F1175" s="42" t="n">
        <f aca="false">IFERROR($C1175*$E1175,"")</f>
        <v>5.5</v>
      </c>
    </row>
    <row r="1176" customFormat="false" ht="15" hidden="false" customHeight="true" outlineLevel="0" collapsed="false">
      <c r="A1176" s="39" t="s">
        <v>408</v>
      </c>
      <c r="B1176" s="39" t="s">
        <v>225</v>
      </c>
      <c r="C1176" s="39" t="n">
        <v>3</v>
      </c>
      <c r="D1176" s="40" t="str">
        <f aca="false">IFERROR(INDEX(المكونات!$B$2:$B$500,MATCH($B1176,المكونات!$A$2:$A$500,0)),"")</f>
        <v>قطعة</v>
      </c>
      <c r="E1176" s="41" t="n">
        <f aca="false">IFERROR(INDEX(المكونات!$C$2:$C$500,MATCH($B1176,المكونات!$A$2:$A$500,0)),"")</f>
        <v>0.3</v>
      </c>
      <c r="F1176" s="42" t="n">
        <f aca="false">IFERROR($C1176*$E1176,"")</f>
        <v>0.9</v>
      </c>
    </row>
    <row r="1177" customFormat="false" ht="15" hidden="false" customHeight="true" outlineLevel="0" collapsed="false">
      <c r="A1177" s="39" t="s">
        <v>408</v>
      </c>
      <c r="B1177" s="39" t="s">
        <v>254</v>
      </c>
      <c r="C1177" s="39" t="n">
        <v>1</v>
      </c>
      <c r="D1177" s="40" t="str">
        <f aca="false">IFERROR(INDEX(المكونات!$B$2:$B$500,MATCH($B1177,المكونات!$A$2:$A$500,0)),"")</f>
        <v>قطعة (ورقة)</v>
      </c>
      <c r="E1177" s="41" t="n">
        <f aca="false">IFERROR(INDEX(المكونات!$C$2:$C$500,MATCH($B1177,المكونات!$A$2:$A$500,0)),"")</f>
        <v>0.3665</v>
      </c>
      <c r="F1177" s="42" t="n">
        <f aca="false">IFERROR($C1177*$E1177,"")</f>
        <v>0.3665</v>
      </c>
    </row>
    <row r="1178" customFormat="false" ht="15" hidden="false" customHeight="true" outlineLevel="0" collapsed="false">
      <c r="A1178" s="39" t="s">
        <v>408</v>
      </c>
      <c r="B1178" s="39" t="s">
        <v>67</v>
      </c>
      <c r="C1178" s="39" t="n">
        <v>1</v>
      </c>
      <c r="D1178" s="40" t="str">
        <f aca="false">IFERROR(INDEX(المكونات!$B$2:$B$500,MATCH($B1178,المكونات!$A$2:$A$500,0)),"")</f>
        <v>قطعة (كيس)</v>
      </c>
      <c r="E1178" s="41" t="n">
        <f aca="false">IFERROR(INDEX(المكونات!$C$2:$C$500,MATCH($B1178,المكونات!$A$2:$A$500,0)),"")</f>
        <v>1.4</v>
      </c>
      <c r="F1178" s="42" t="n">
        <f aca="false">IFERROR($C1178*$E1178,"")</f>
        <v>1.4</v>
      </c>
    </row>
    <row r="1179" customFormat="false" ht="15" hidden="false" customHeight="true" outlineLevel="0" collapsed="false">
      <c r="A1179" s="39" t="s">
        <v>408</v>
      </c>
      <c r="B1179" s="39" t="s">
        <v>228</v>
      </c>
      <c r="C1179" s="39" t="n">
        <v>1</v>
      </c>
      <c r="D1179" s="40" t="str">
        <f aca="false">IFERROR(INDEX(المكونات!$B$2:$B$500,MATCH($B1179,المكونات!$A$2:$A$500,0)),"")</f>
        <v>قطعة</v>
      </c>
      <c r="E1179" s="41" t="n">
        <f aca="false">IFERROR(INDEX(المكونات!$C$2:$C$500,MATCH($B1179,المكونات!$A$2:$A$500,0)),"")</f>
        <v>0.5</v>
      </c>
      <c r="F1179" s="42" t="n">
        <f aca="false">IFERROR($C1179*$E1179,"")</f>
        <v>0.5</v>
      </c>
    </row>
    <row r="1180" customFormat="false" ht="15" hidden="false" customHeight="true" outlineLevel="0" collapsed="false">
      <c r="A1180" s="39" t="s">
        <v>408</v>
      </c>
      <c r="B1180" s="39" t="s">
        <v>145</v>
      </c>
      <c r="C1180" s="39" t="n">
        <v>2</v>
      </c>
      <c r="D1180" s="40" t="str">
        <f aca="false">IFERROR(INDEX(المكونات!$B$2:$B$500,MATCH($B1180,المكونات!$A$2:$A$500,0)),"")</f>
        <v>قطعة (جلفز)</v>
      </c>
      <c r="E1180" s="41" t="n">
        <f aca="false">IFERROR(INDEX(المكونات!$C$2:$C$500,MATCH($B1180,المكونات!$A$2:$A$500,0)),"")</f>
        <v>0.18</v>
      </c>
      <c r="F1180" s="42" t="n">
        <f aca="false">IFERROR($C1180*$E1180,"")</f>
        <v>0.36</v>
      </c>
    </row>
    <row r="1181" customFormat="false" ht="15" hidden="false" customHeight="true" outlineLevel="0" collapsed="false">
      <c r="A1181" s="39" t="s">
        <v>408</v>
      </c>
      <c r="B1181" s="39" t="s">
        <v>257</v>
      </c>
      <c r="C1181" s="39" t="n">
        <v>1</v>
      </c>
      <c r="D1181" s="40" t="str">
        <f aca="false">IFERROR(INDEX(المكونات!$B$2:$B$500,MATCH($B1181,المكونات!$A$2:$A$500,0)),"")</f>
        <v>قطعة (كيس)</v>
      </c>
      <c r="E1181" s="41" t="n">
        <f aca="false">IFERROR(INDEX(المكونات!$C$2:$C$500,MATCH($B1181,المكونات!$A$2:$A$500,0)),"")</f>
        <v>0.9995</v>
      </c>
      <c r="F1181" s="42" t="n">
        <f aca="false">IFERROR($C1181*$E1181,"")</f>
        <v>0.9995</v>
      </c>
    </row>
    <row r="1182" customFormat="false" ht="15" hidden="false" customHeight="true" outlineLevel="0" collapsed="false">
      <c r="A1182" s="39" t="s">
        <v>319</v>
      </c>
      <c r="B1182" s="39" t="s">
        <v>200</v>
      </c>
      <c r="C1182" s="39" t="n">
        <v>1</v>
      </c>
      <c r="D1182" s="40" t="str">
        <f aca="false">IFERROR(INDEX(المكونات!$B$2:$B$500,MATCH($B1182,المكونات!$A$2:$A$500,0)),"")</f>
        <v>قطعة</v>
      </c>
      <c r="E1182" s="41" t="n">
        <f aca="false">IFERROR(INDEX(المكونات!$C$2:$C$500,MATCH($B1182,المكونات!$A$2:$A$500,0)),"")</f>
        <v>4</v>
      </c>
      <c r="F1182" s="42" t="n">
        <f aca="false">IFERROR($C1182*$E1182,"")</f>
        <v>4</v>
      </c>
    </row>
    <row r="1183" customFormat="false" ht="15" hidden="false" customHeight="true" outlineLevel="0" collapsed="false">
      <c r="A1183" s="39" t="s">
        <v>319</v>
      </c>
      <c r="B1183" s="39" t="s">
        <v>196</v>
      </c>
      <c r="C1183" s="39" t="n">
        <v>0.03</v>
      </c>
      <c r="D1183" s="40" t="str">
        <f aca="false">IFERROR(INDEX(المكونات!$B$2:$B$500,MATCH($B1183,المكونات!$A$2:$A$500,0)),"")</f>
        <v>كجم</v>
      </c>
      <c r="E1183" s="41" t="n">
        <f aca="false">IFERROR(INDEX(المكونات!$C$2:$C$500,MATCH($B1183,المكونات!$A$2:$A$500,0)),"")</f>
        <v>21</v>
      </c>
      <c r="F1183" s="42" t="n">
        <f aca="false">IFERROR($C1183*$E1183,"")</f>
        <v>0.63</v>
      </c>
    </row>
    <row r="1184" customFormat="false" ht="15" hidden="false" customHeight="true" outlineLevel="0" collapsed="false">
      <c r="A1184" s="39" t="s">
        <v>319</v>
      </c>
      <c r="B1184" s="39" t="s">
        <v>219</v>
      </c>
      <c r="C1184" s="39" t="n">
        <v>0.02</v>
      </c>
      <c r="D1184" s="40" t="str">
        <f aca="false">IFERROR(INDEX(المكونات!$B$2:$B$500,MATCH($B1184,المكونات!$A$2:$A$500,0)),"")</f>
        <v>كجم</v>
      </c>
      <c r="E1184" s="41" t="n">
        <f aca="false">IFERROR(INDEX(المكونات!$C$2:$C$500,MATCH($B1184,المكونات!$A$2:$A$500,0)),"")</f>
        <v>27</v>
      </c>
      <c r="F1184" s="42" t="n">
        <f aca="false">IFERROR($C1184*$E1184,"")</f>
        <v>0.54</v>
      </c>
    </row>
    <row r="1185" customFormat="false" ht="15" hidden="false" customHeight="true" outlineLevel="0" collapsed="false">
      <c r="A1185" s="39" t="s">
        <v>319</v>
      </c>
      <c r="B1185" s="39" t="s">
        <v>162</v>
      </c>
      <c r="C1185" s="39" t="n">
        <v>0.02</v>
      </c>
      <c r="D1185" s="40" t="str">
        <f aca="false">IFERROR(INDEX(المكونات!$B$2:$B$500,MATCH($B1185,المكونات!$A$2:$A$500,0)),"")</f>
        <v>كجم</v>
      </c>
      <c r="E1185" s="41" t="n">
        <f aca="false">IFERROR(INDEX(المكونات!$C$2:$C$500,MATCH($B1185,المكونات!$A$2:$A$500,0)),"")</f>
        <v>95</v>
      </c>
      <c r="F1185" s="42" t="n">
        <f aca="false">IFERROR($C1185*$E1185,"")</f>
        <v>1.9</v>
      </c>
    </row>
    <row r="1186" customFormat="false" ht="15" hidden="false" customHeight="true" outlineLevel="0" collapsed="false">
      <c r="A1186" s="39" t="s">
        <v>319</v>
      </c>
      <c r="B1186" s="39" t="s">
        <v>110</v>
      </c>
      <c r="C1186" s="39" t="n">
        <v>1</v>
      </c>
      <c r="D1186" s="40" t="str">
        <f aca="false">IFERROR(INDEX(المكونات!$B$2:$B$500,MATCH($B1186,المكونات!$A$2:$A$500,0)),"")</f>
        <v>قطعة</v>
      </c>
      <c r="E1186" s="41" t="n">
        <f aca="false">IFERROR(INDEX(المكونات!$C$2:$C$500,MATCH($B1186,المكونات!$A$2:$A$500,0)),"")</f>
        <v>17.5</v>
      </c>
      <c r="F1186" s="42" t="n">
        <f aca="false">IFERROR($C1186*$E1186,"")</f>
        <v>17.5</v>
      </c>
    </row>
    <row r="1187" customFormat="false" ht="15" hidden="false" customHeight="true" outlineLevel="0" collapsed="false">
      <c r="A1187" s="39" t="s">
        <v>319</v>
      </c>
      <c r="B1187" s="39" t="s">
        <v>206</v>
      </c>
      <c r="C1187" s="39" t="n">
        <v>1</v>
      </c>
      <c r="D1187" s="40" t="str">
        <f aca="false">IFERROR(INDEX(المكونات!$B$2:$B$500,MATCH($B1187,المكونات!$A$2:$A$500,0)),"")</f>
        <v>قطعة</v>
      </c>
      <c r="E1187" s="41" t="n">
        <f aca="false">IFERROR(INDEX(المكونات!$C$2:$C$500,MATCH($B1187,المكونات!$A$2:$A$500,0)),"")</f>
        <v>4.5</v>
      </c>
      <c r="F1187" s="42" t="n">
        <f aca="false">IFERROR($C1187*$E1187,"")</f>
        <v>4.5</v>
      </c>
    </row>
    <row r="1188" customFormat="false" ht="15" hidden="false" customHeight="true" outlineLevel="0" collapsed="false">
      <c r="A1188" s="39" t="s">
        <v>319</v>
      </c>
      <c r="B1188" s="39" t="s">
        <v>225</v>
      </c>
      <c r="C1188" s="39" t="n">
        <v>2</v>
      </c>
      <c r="D1188" s="40" t="str">
        <f aca="false">IFERROR(INDEX(المكونات!$B$2:$B$500,MATCH($B1188,المكونات!$A$2:$A$500,0)),"")</f>
        <v>قطعة</v>
      </c>
      <c r="E1188" s="41" t="n">
        <f aca="false">IFERROR(INDEX(المكونات!$C$2:$C$500,MATCH($B1188,المكونات!$A$2:$A$500,0)),"")</f>
        <v>0.3</v>
      </c>
      <c r="F1188" s="42" t="n">
        <f aca="false">IFERROR($C1188*$E1188,"")</f>
        <v>0.6</v>
      </c>
    </row>
    <row r="1189" customFormat="false" ht="15" hidden="false" customHeight="true" outlineLevel="0" collapsed="false">
      <c r="A1189" s="39" t="s">
        <v>319</v>
      </c>
      <c r="B1189" s="39" t="s">
        <v>254</v>
      </c>
      <c r="C1189" s="39" t="n">
        <v>1</v>
      </c>
      <c r="D1189" s="40" t="str">
        <f aca="false">IFERROR(INDEX(المكونات!$B$2:$B$500,MATCH($B1189,المكونات!$A$2:$A$500,0)),"")</f>
        <v>قطعة (ورقة)</v>
      </c>
      <c r="E1189" s="41" t="n">
        <f aca="false">IFERROR(INDEX(المكونات!$C$2:$C$500,MATCH($B1189,المكونات!$A$2:$A$500,0)),"")</f>
        <v>0.3665</v>
      </c>
      <c r="F1189" s="42" t="n">
        <f aca="false">IFERROR($C1189*$E1189,"")</f>
        <v>0.3665</v>
      </c>
    </row>
    <row r="1190" customFormat="false" ht="15" hidden="false" customHeight="true" outlineLevel="0" collapsed="false">
      <c r="A1190" s="39" t="s">
        <v>319</v>
      </c>
      <c r="B1190" s="39" t="s">
        <v>67</v>
      </c>
      <c r="C1190" s="39" t="n">
        <v>1</v>
      </c>
      <c r="D1190" s="40" t="str">
        <f aca="false">IFERROR(INDEX(المكونات!$B$2:$B$500,MATCH($B1190,المكونات!$A$2:$A$500,0)),"")</f>
        <v>قطعة (كيس)</v>
      </c>
      <c r="E1190" s="41" t="n">
        <f aca="false">IFERROR(INDEX(المكونات!$C$2:$C$500,MATCH($B1190,المكونات!$A$2:$A$500,0)),"")</f>
        <v>1.4</v>
      </c>
      <c r="F1190" s="42" t="n">
        <f aca="false">IFERROR($C1190*$E1190,"")</f>
        <v>1.4</v>
      </c>
    </row>
    <row r="1191" customFormat="false" ht="15" hidden="false" customHeight="true" outlineLevel="0" collapsed="false">
      <c r="A1191" s="39" t="s">
        <v>319</v>
      </c>
      <c r="B1191" s="39" t="s">
        <v>228</v>
      </c>
      <c r="C1191" s="39" t="n">
        <v>1</v>
      </c>
      <c r="D1191" s="40" t="str">
        <f aca="false">IFERROR(INDEX(المكونات!$B$2:$B$500,MATCH($B1191,المكونات!$A$2:$A$500,0)),"")</f>
        <v>قطعة</v>
      </c>
      <c r="E1191" s="41" t="n">
        <f aca="false">IFERROR(INDEX(المكونات!$C$2:$C$500,MATCH($B1191,المكونات!$A$2:$A$500,0)),"")</f>
        <v>0.5</v>
      </c>
      <c r="F1191" s="42" t="n">
        <f aca="false">IFERROR($C1191*$E1191,"")</f>
        <v>0.5</v>
      </c>
    </row>
    <row r="1192" customFormat="false" ht="15" hidden="false" customHeight="true" outlineLevel="0" collapsed="false">
      <c r="A1192" s="39" t="s">
        <v>319</v>
      </c>
      <c r="B1192" s="39" t="s">
        <v>145</v>
      </c>
      <c r="C1192" s="39" t="n">
        <v>2</v>
      </c>
      <c r="D1192" s="40" t="str">
        <f aca="false">IFERROR(INDEX(المكونات!$B$2:$B$500,MATCH($B1192,المكونات!$A$2:$A$500,0)),"")</f>
        <v>قطعة (جلفز)</v>
      </c>
      <c r="E1192" s="41" t="n">
        <f aca="false">IFERROR(INDEX(المكونات!$C$2:$C$500,MATCH($B1192,المكونات!$A$2:$A$500,0)),"")</f>
        <v>0.18</v>
      </c>
      <c r="F1192" s="42" t="n">
        <f aca="false">IFERROR($C1192*$E1192,"")</f>
        <v>0.36</v>
      </c>
    </row>
    <row r="1193" customFormat="false" ht="15" hidden="false" customHeight="true" outlineLevel="0" collapsed="false">
      <c r="A1193" s="39" t="s">
        <v>319</v>
      </c>
      <c r="B1193" s="39" t="s">
        <v>257</v>
      </c>
      <c r="C1193" s="39" t="n">
        <v>1</v>
      </c>
      <c r="D1193" s="40" t="str">
        <f aca="false">IFERROR(INDEX(المكونات!$B$2:$B$500,MATCH($B1193,المكونات!$A$2:$A$500,0)),"")</f>
        <v>قطعة (كيس)</v>
      </c>
      <c r="E1193" s="41" t="n">
        <f aca="false">IFERROR(INDEX(المكونات!$C$2:$C$500,MATCH($B1193,المكونات!$A$2:$A$500,0)),"")</f>
        <v>0.9995</v>
      </c>
      <c r="F1193" s="42" t="n">
        <f aca="false">IFERROR($C1193*$E1193,"")</f>
        <v>0.9995</v>
      </c>
    </row>
    <row r="1194" customFormat="false" ht="15" hidden="false" customHeight="true" outlineLevel="0" collapsed="false">
      <c r="A1194" s="39" t="s">
        <v>319</v>
      </c>
      <c r="B1194" s="39" t="s">
        <v>242</v>
      </c>
      <c r="C1194" s="39" t="n">
        <v>0.1</v>
      </c>
      <c r="D1194" s="40" t="str">
        <f aca="false">IFERROR(INDEX(المكونات!$B$2:$B$500,MATCH($B1194,المكونات!$A$2:$A$500,0)),"")</f>
        <v>كجم</v>
      </c>
      <c r="E1194" s="41" t="n">
        <f aca="false">IFERROR(INDEX(المكونات!$C$2:$C$500,MATCH($B1194,المكونات!$A$2:$A$500,0)),"")</f>
        <v>151.2027</v>
      </c>
      <c r="F1194" s="42" t="n">
        <f aca="false">IFERROR($C1194*$E1194,"")</f>
        <v>15.12027</v>
      </c>
    </row>
    <row r="1195" customFormat="false" ht="15" hidden="false" customHeight="true" outlineLevel="0" collapsed="false">
      <c r="A1195" s="39" t="s">
        <v>317</v>
      </c>
      <c r="B1195" s="39" t="s">
        <v>200</v>
      </c>
      <c r="C1195" s="39" t="n">
        <v>1.5</v>
      </c>
      <c r="D1195" s="40" t="str">
        <f aca="false">IFERROR(INDEX(المكونات!$B$2:$B$500,MATCH($B1195,المكونات!$A$2:$A$500,0)),"")</f>
        <v>قطعة</v>
      </c>
      <c r="E1195" s="41" t="n">
        <f aca="false">IFERROR(INDEX(المكونات!$C$2:$C$500,MATCH($B1195,المكونات!$A$2:$A$500,0)),"")</f>
        <v>4</v>
      </c>
      <c r="F1195" s="42" t="n">
        <f aca="false">IFERROR($C1195*$E1195,"")</f>
        <v>6</v>
      </c>
    </row>
    <row r="1196" customFormat="false" ht="15" hidden="false" customHeight="true" outlineLevel="0" collapsed="false">
      <c r="A1196" s="39" t="s">
        <v>317</v>
      </c>
      <c r="B1196" s="39" t="s">
        <v>196</v>
      </c>
      <c r="C1196" s="39" t="n">
        <v>0.045</v>
      </c>
      <c r="D1196" s="40" t="str">
        <f aca="false">IFERROR(INDEX(المكونات!$B$2:$B$500,MATCH($B1196,المكونات!$A$2:$A$500,0)),"")</f>
        <v>كجم</v>
      </c>
      <c r="E1196" s="41" t="n">
        <f aca="false">IFERROR(INDEX(المكونات!$C$2:$C$500,MATCH($B1196,المكونات!$A$2:$A$500,0)),"")</f>
        <v>21</v>
      </c>
      <c r="F1196" s="42" t="n">
        <f aca="false">IFERROR($C1196*$E1196,"")</f>
        <v>0.945</v>
      </c>
    </row>
    <row r="1197" customFormat="false" ht="15" hidden="false" customHeight="true" outlineLevel="0" collapsed="false">
      <c r="A1197" s="39" t="s">
        <v>317</v>
      </c>
      <c r="B1197" s="39" t="s">
        <v>219</v>
      </c>
      <c r="C1197" s="39" t="n">
        <v>0.03</v>
      </c>
      <c r="D1197" s="40" t="str">
        <f aca="false">IFERROR(INDEX(المكونات!$B$2:$B$500,MATCH($B1197,المكونات!$A$2:$A$500,0)),"")</f>
        <v>كجم</v>
      </c>
      <c r="E1197" s="41" t="n">
        <f aca="false">IFERROR(INDEX(المكونات!$C$2:$C$500,MATCH($B1197,المكونات!$A$2:$A$500,0)),"")</f>
        <v>27</v>
      </c>
      <c r="F1197" s="42" t="n">
        <f aca="false">IFERROR($C1197*$E1197,"")</f>
        <v>0.81</v>
      </c>
    </row>
    <row r="1198" customFormat="false" ht="15" hidden="false" customHeight="true" outlineLevel="0" collapsed="false">
      <c r="A1198" s="39" t="s">
        <v>317</v>
      </c>
      <c r="B1198" s="39" t="s">
        <v>162</v>
      </c>
      <c r="C1198" s="39" t="n">
        <v>0.03</v>
      </c>
      <c r="D1198" s="40" t="str">
        <f aca="false">IFERROR(INDEX(المكونات!$B$2:$B$500,MATCH($B1198,المكونات!$A$2:$A$500,0)),"")</f>
        <v>كجم</v>
      </c>
      <c r="E1198" s="41" t="n">
        <f aca="false">IFERROR(INDEX(المكونات!$C$2:$C$500,MATCH($B1198,المكونات!$A$2:$A$500,0)),"")</f>
        <v>95</v>
      </c>
      <c r="F1198" s="42" t="n">
        <f aca="false">IFERROR($C1198*$E1198,"")</f>
        <v>2.85</v>
      </c>
    </row>
    <row r="1199" customFormat="false" ht="15" hidden="false" customHeight="true" outlineLevel="0" collapsed="false">
      <c r="A1199" s="39" t="s">
        <v>317</v>
      </c>
      <c r="B1199" s="39" t="s">
        <v>112</v>
      </c>
      <c r="C1199" s="39" t="n">
        <v>1</v>
      </c>
      <c r="D1199" s="40" t="str">
        <f aca="false">IFERROR(INDEX(المكونات!$B$2:$B$500,MATCH($B1199,المكونات!$A$2:$A$500,0)),"")</f>
        <v>قطعة</v>
      </c>
      <c r="E1199" s="41" t="n">
        <f aca="false">IFERROR(INDEX(المكونات!$C$2:$C$500,MATCH($B1199,المكونات!$A$2:$A$500,0)),"")</f>
        <v>25</v>
      </c>
      <c r="F1199" s="42" t="n">
        <f aca="false">IFERROR($C1199*$E1199,"")</f>
        <v>25</v>
      </c>
    </row>
    <row r="1200" customFormat="false" ht="15" hidden="false" customHeight="true" outlineLevel="0" collapsed="false">
      <c r="A1200" s="39" t="s">
        <v>317</v>
      </c>
      <c r="B1200" s="39" t="s">
        <v>204</v>
      </c>
      <c r="C1200" s="39" t="n">
        <v>1</v>
      </c>
      <c r="D1200" s="40" t="str">
        <f aca="false">IFERROR(INDEX(المكونات!$B$2:$B$500,MATCH($B1200,المكونات!$A$2:$A$500,0)),"")</f>
        <v>قطعة</v>
      </c>
      <c r="E1200" s="41" t="n">
        <f aca="false">IFERROR(INDEX(المكونات!$C$2:$C$500,MATCH($B1200,المكونات!$A$2:$A$500,0)),"")</f>
        <v>5.5</v>
      </c>
      <c r="F1200" s="42" t="n">
        <f aca="false">IFERROR($C1200*$E1200,"")</f>
        <v>5.5</v>
      </c>
    </row>
    <row r="1201" customFormat="false" ht="15" hidden="false" customHeight="true" outlineLevel="0" collapsed="false">
      <c r="A1201" s="39" t="s">
        <v>317</v>
      </c>
      <c r="B1201" s="39" t="s">
        <v>225</v>
      </c>
      <c r="C1201" s="39" t="n">
        <v>3</v>
      </c>
      <c r="D1201" s="40" t="str">
        <f aca="false">IFERROR(INDEX(المكونات!$B$2:$B$500,MATCH($B1201,المكونات!$A$2:$A$500,0)),"")</f>
        <v>قطعة</v>
      </c>
      <c r="E1201" s="41" t="n">
        <f aca="false">IFERROR(INDEX(المكونات!$C$2:$C$500,MATCH($B1201,المكونات!$A$2:$A$500,0)),"")</f>
        <v>0.3</v>
      </c>
      <c r="F1201" s="42" t="n">
        <f aca="false">IFERROR($C1201*$E1201,"")</f>
        <v>0.9</v>
      </c>
    </row>
    <row r="1202" customFormat="false" ht="15" hidden="false" customHeight="true" outlineLevel="0" collapsed="false">
      <c r="A1202" s="39" t="s">
        <v>317</v>
      </c>
      <c r="B1202" s="39" t="s">
        <v>254</v>
      </c>
      <c r="C1202" s="39" t="n">
        <v>1</v>
      </c>
      <c r="D1202" s="40" t="str">
        <f aca="false">IFERROR(INDEX(المكونات!$B$2:$B$500,MATCH($B1202,المكونات!$A$2:$A$500,0)),"")</f>
        <v>قطعة (ورقة)</v>
      </c>
      <c r="E1202" s="41" t="n">
        <f aca="false">IFERROR(INDEX(المكونات!$C$2:$C$500,MATCH($B1202,المكونات!$A$2:$A$500,0)),"")</f>
        <v>0.3665</v>
      </c>
      <c r="F1202" s="42" t="n">
        <f aca="false">IFERROR($C1202*$E1202,"")</f>
        <v>0.3665</v>
      </c>
    </row>
    <row r="1203" customFormat="false" ht="15" hidden="false" customHeight="true" outlineLevel="0" collapsed="false">
      <c r="A1203" s="39" t="s">
        <v>317</v>
      </c>
      <c r="B1203" s="39" t="s">
        <v>67</v>
      </c>
      <c r="C1203" s="39" t="n">
        <v>1</v>
      </c>
      <c r="D1203" s="40" t="str">
        <f aca="false">IFERROR(INDEX(المكونات!$B$2:$B$500,MATCH($B1203,المكونات!$A$2:$A$500,0)),"")</f>
        <v>قطعة (كيس)</v>
      </c>
      <c r="E1203" s="41" t="n">
        <f aca="false">IFERROR(INDEX(المكونات!$C$2:$C$500,MATCH($B1203,المكونات!$A$2:$A$500,0)),"")</f>
        <v>1.4</v>
      </c>
      <c r="F1203" s="42" t="n">
        <f aca="false">IFERROR($C1203*$E1203,"")</f>
        <v>1.4</v>
      </c>
    </row>
    <row r="1204" customFormat="false" ht="15" hidden="false" customHeight="true" outlineLevel="0" collapsed="false">
      <c r="A1204" s="39" t="s">
        <v>317</v>
      </c>
      <c r="B1204" s="39" t="s">
        <v>228</v>
      </c>
      <c r="C1204" s="39" t="n">
        <v>1</v>
      </c>
      <c r="D1204" s="40" t="str">
        <f aca="false">IFERROR(INDEX(المكونات!$B$2:$B$500,MATCH($B1204,المكونات!$A$2:$A$500,0)),"")</f>
        <v>قطعة</v>
      </c>
      <c r="E1204" s="41" t="n">
        <f aca="false">IFERROR(INDEX(المكونات!$C$2:$C$500,MATCH($B1204,المكونات!$A$2:$A$500,0)),"")</f>
        <v>0.5</v>
      </c>
      <c r="F1204" s="42" t="n">
        <f aca="false">IFERROR($C1204*$E1204,"")</f>
        <v>0.5</v>
      </c>
    </row>
    <row r="1205" customFormat="false" ht="15" hidden="false" customHeight="true" outlineLevel="0" collapsed="false">
      <c r="A1205" s="39" t="s">
        <v>317</v>
      </c>
      <c r="B1205" s="39" t="s">
        <v>145</v>
      </c>
      <c r="C1205" s="39" t="n">
        <v>2</v>
      </c>
      <c r="D1205" s="40" t="str">
        <f aca="false">IFERROR(INDEX(المكونات!$B$2:$B$500,MATCH($B1205,المكونات!$A$2:$A$500,0)),"")</f>
        <v>قطعة (جلفز)</v>
      </c>
      <c r="E1205" s="41" t="n">
        <f aca="false">IFERROR(INDEX(المكونات!$C$2:$C$500,MATCH($B1205,المكونات!$A$2:$A$500,0)),"")</f>
        <v>0.18</v>
      </c>
      <c r="F1205" s="42" t="n">
        <f aca="false">IFERROR($C1205*$E1205,"")</f>
        <v>0.36</v>
      </c>
    </row>
    <row r="1206" customFormat="false" ht="15" hidden="false" customHeight="true" outlineLevel="0" collapsed="false">
      <c r="A1206" s="39" t="s">
        <v>317</v>
      </c>
      <c r="B1206" s="39" t="s">
        <v>257</v>
      </c>
      <c r="C1206" s="39" t="n">
        <v>1</v>
      </c>
      <c r="D1206" s="40" t="str">
        <f aca="false">IFERROR(INDEX(المكونات!$B$2:$B$500,MATCH($B1206,المكونات!$A$2:$A$500,0)),"")</f>
        <v>قطعة (كيس)</v>
      </c>
      <c r="E1206" s="41" t="n">
        <f aca="false">IFERROR(INDEX(المكونات!$C$2:$C$500,MATCH($B1206,المكونات!$A$2:$A$500,0)),"")</f>
        <v>0.9995</v>
      </c>
      <c r="F1206" s="42" t="n">
        <f aca="false">IFERROR($C1206*$E1206,"")</f>
        <v>0.9995</v>
      </c>
    </row>
    <row r="1207" customFormat="false" ht="15" hidden="false" customHeight="true" outlineLevel="0" collapsed="false">
      <c r="A1207" s="39" t="s">
        <v>317</v>
      </c>
      <c r="B1207" s="39" t="s">
        <v>242</v>
      </c>
      <c r="C1207" s="39" t="n">
        <v>0.15</v>
      </c>
      <c r="D1207" s="40" t="str">
        <f aca="false">IFERROR(INDEX(المكونات!$B$2:$B$500,MATCH($B1207,المكونات!$A$2:$A$500,0)),"")</f>
        <v>كجم</v>
      </c>
      <c r="E1207" s="41" t="n">
        <f aca="false">IFERROR(INDEX(المكونات!$C$2:$C$500,MATCH($B1207,المكونات!$A$2:$A$500,0)),"")</f>
        <v>151.2027</v>
      </c>
      <c r="F1207" s="42" t="n">
        <f aca="false">IFERROR($C1207*$E1207,"")</f>
        <v>22.680405</v>
      </c>
    </row>
    <row r="1208" customFormat="false" ht="15" hidden="false" customHeight="true" outlineLevel="0" collapsed="false">
      <c r="A1208" s="39" t="s">
        <v>451</v>
      </c>
      <c r="B1208" s="39" t="s">
        <v>200</v>
      </c>
      <c r="C1208" s="39" t="n">
        <v>1</v>
      </c>
      <c r="D1208" s="40" t="str">
        <f aca="false">IFERROR(INDEX(المكونات!$B$2:$B$500,MATCH($B1208,المكونات!$A$2:$A$500,0)),"")</f>
        <v>قطعة</v>
      </c>
      <c r="E1208" s="41" t="n">
        <f aca="false">IFERROR(INDEX(المكونات!$C$2:$C$500,MATCH($B1208,المكونات!$A$2:$A$500,0)),"")</f>
        <v>4</v>
      </c>
      <c r="F1208" s="42" t="n">
        <f aca="false">IFERROR($C1208*$E1208,"")</f>
        <v>4</v>
      </c>
    </row>
    <row r="1209" customFormat="false" ht="15" hidden="false" customHeight="true" outlineLevel="0" collapsed="false">
      <c r="A1209" s="39" t="s">
        <v>451</v>
      </c>
      <c r="B1209" s="39" t="s">
        <v>196</v>
      </c>
      <c r="C1209" s="39" t="n">
        <v>0.03</v>
      </c>
      <c r="D1209" s="40" t="str">
        <f aca="false">IFERROR(INDEX(المكونات!$B$2:$B$500,MATCH($B1209,المكونات!$A$2:$A$500,0)),"")</f>
        <v>كجم</v>
      </c>
      <c r="E1209" s="41" t="n">
        <f aca="false">IFERROR(INDEX(المكونات!$C$2:$C$500,MATCH($B1209,المكونات!$A$2:$A$500,0)),"")</f>
        <v>21</v>
      </c>
      <c r="F1209" s="42" t="n">
        <f aca="false">IFERROR($C1209*$E1209,"")</f>
        <v>0.63</v>
      </c>
    </row>
    <row r="1210" customFormat="false" ht="15" hidden="false" customHeight="true" outlineLevel="0" collapsed="false">
      <c r="A1210" s="39" t="s">
        <v>451</v>
      </c>
      <c r="B1210" s="39" t="s">
        <v>219</v>
      </c>
      <c r="C1210" s="39" t="n">
        <v>0.02</v>
      </c>
      <c r="D1210" s="40" t="str">
        <f aca="false">IFERROR(INDEX(المكونات!$B$2:$B$500,MATCH($B1210,المكونات!$A$2:$A$500,0)),"")</f>
        <v>كجم</v>
      </c>
      <c r="E1210" s="41" t="n">
        <f aca="false">IFERROR(INDEX(المكونات!$C$2:$C$500,MATCH($B1210,المكونات!$A$2:$A$500,0)),"")</f>
        <v>27</v>
      </c>
      <c r="F1210" s="42" t="n">
        <f aca="false">IFERROR($C1210*$E1210,"")</f>
        <v>0.54</v>
      </c>
    </row>
    <row r="1211" customFormat="false" ht="15" hidden="false" customHeight="true" outlineLevel="0" collapsed="false">
      <c r="A1211" s="39" t="s">
        <v>451</v>
      </c>
      <c r="B1211" s="39" t="s">
        <v>162</v>
      </c>
      <c r="C1211" s="39" t="n">
        <v>0.02</v>
      </c>
      <c r="D1211" s="40" t="str">
        <f aca="false">IFERROR(INDEX(المكونات!$B$2:$B$500,MATCH($B1211,المكونات!$A$2:$A$500,0)),"")</f>
        <v>كجم</v>
      </c>
      <c r="E1211" s="41" t="n">
        <f aca="false">IFERROR(INDEX(المكونات!$C$2:$C$500,MATCH($B1211,المكونات!$A$2:$A$500,0)),"")</f>
        <v>95</v>
      </c>
      <c r="F1211" s="42" t="n">
        <f aca="false">IFERROR($C1211*$E1211,"")</f>
        <v>1.9</v>
      </c>
    </row>
    <row r="1212" customFormat="false" ht="15" hidden="false" customHeight="true" outlineLevel="0" collapsed="false">
      <c r="A1212" s="39" t="s">
        <v>451</v>
      </c>
      <c r="B1212" s="39" t="s">
        <v>110</v>
      </c>
      <c r="C1212" s="39" t="n">
        <v>1</v>
      </c>
      <c r="D1212" s="40" t="str">
        <f aca="false">IFERROR(INDEX(المكونات!$B$2:$B$500,MATCH($B1212,المكونات!$A$2:$A$500,0)),"")</f>
        <v>قطعة</v>
      </c>
      <c r="E1212" s="41" t="n">
        <f aca="false">IFERROR(INDEX(المكونات!$C$2:$C$500,MATCH($B1212,المكونات!$A$2:$A$500,0)),"")</f>
        <v>17.5</v>
      </c>
      <c r="F1212" s="42" t="n">
        <f aca="false">IFERROR($C1212*$E1212,"")</f>
        <v>17.5</v>
      </c>
    </row>
    <row r="1213" customFormat="false" ht="15" hidden="false" customHeight="true" outlineLevel="0" collapsed="false">
      <c r="A1213" s="39" t="s">
        <v>451</v>
      </c>
      <c r="B1213" s="39" t="s">
        <v>206</v>
      </c>
      <c r="C1213" s="39" t="n">
        <v>1</v>
      </c>
      <c r="D1213" s="40" t="str">
        <f aca="false">IFERROR(INDEX(المكونات!$B$2:$B$500,MATCH($B1213,المكونات!$A$2:$A$500,0)),"")</f>
        <v>قطعة</v>
      </c>
      <c r="E1213" s="41" t="n">
        <f aca="false">IFERROR(INDEX(المكونات!$C$2:$C$500,MATCH($B1213,المكونات!$A$2:$A$500,0)),"")</f>
        <v>4.5</v>
      </c>
      <c r="F1213" s="42" t="n">
        <f aca="false">IFERROR($C1213*$E1213,"")</f>
        <v>4.5</v>
      </c>
    </row>
    <row r="1214" customFormat="false" ht="15" hidden="false" customHeight="true" outlineLevel="0" collapsed="false">
      <c r="A1214" s="39" t="s">
        <v>451</v>
      </c>
      <c r="B1214" s="39" t="s">
        <v>225</v>
      </c>
      <c r="C1214" s="39" t="n">
        <v>2</v>
      </c>
      <c r="D1214" s="40" t="str">
        <f aca="false">IFERROR(INDEX(المكونات!$B$2:$B$500,MATCH($B1214,المكونات!$A$2:$A$500,0)),"")</f>
        <v>قطعة</v>
      </c>
      <c r="E1214" s="41" t="n">
        <f aca="false">IFERROR(INDEX(المكونات!$C$2:$C$500,MATCH($B1214,المكونات!$A$2:$A$500,0)),"")</f>
        <v>0.3</v>
      </c>
      <c r="F1214" s="42" t="n">
        <f aca="false">IFERROR($C1214*$E1214,"")</f>
        <v>0.6</v>
      </c>
    </row>
    <row r="1215" customFormat="false" ht="15" hidden="false" customHeight="true" outlineLevel="0" collapsed="false">
      <c r="A1215" s="39" t="s">
        <v>451</v>
      </c>
      <c r="B1215" s="39" t="s">
        <v>254</v>
      </c>
      <c r="C1215" s="39" t="n">
        <v>1</v>
      </c>
      <c r="D1215" s="40" t="str">
        <f aca="false">IFERROR(INDEX(المكونات!$B$2:$B$500,MATCH($B1215,المكونات!$A$2:$A$500,0)),"")</f>
        <v>قطعة (ورقة)</v>
      </c>
      <c r="E1215" s="41" t="n">
        <f aca="false">IFERROR(INDEX(المكونات!$C$2:$C$500,MATCH($B1215,المكونات!$A$2:$A$500,0)),"")</f>
        <v>0.3665</v>
      </c>
      <c r="F1215" s="42" t="n">
        <f aca="false">IFERROR($C1215*$E1215,"")</f>
        <v>0.3665</v>
      </c>
    </row>
    <row r="1216" customFormat="false" ht="15" hidden="false" customHeight="true" outlineLevel="0" collapsed="false">
      <c r="A1216" s="39" t="s">
        <v>451</v>
      </c>
      <c r="B1216" s="39" t="s">
        <v>67</v>
      </c>
      <c r="C1216" s="39" t="n">
        <v>1</v>
      </c>
      <c r="D1216" s="40" t="str">
        <f aca="false">IFERROR(INDEX(المكونات!$B$2:$B$500,MATCH($B1216,المكونات!$A$2:$A$500,0)),"")</f>
        <v>قطعة (كيس)</v>
      </c>
      <c r="E1216" s="41" t="n">
        <f aca="false">IFERROR(INDEX(المكونات!$C$2:$C$500,MATCH($B1216,المكونات!$A$2:$A$500,0)),"")</f>
        <v>1.4</v>
      </c>
      <c r="F1216" s="42" t="n">
        <f aca="false">IFERROR($C1216*$E1216,"")</f>
        <v>1.4</v>
      </c>
    </row>
    <row r="1217" customFormat="false" ht="15" hidden="false" customHeight="true" outlineLevel="0" collapsed="false">
      <c r="A1217" s="39" t="s">
        <v>451</v>
      </c>
      <c r="B1217" s="39" t="s">
        <v>228</v>
      </c>
      <c r="C1217" s="39" t="n">
        <v>1</v>
      </c>
      <c r="D1217" s="40" t="str">
        <f aca="false">IFERROR(INDEX(المكونات!$B$2:$B$500,MATCH($B1217,المكونات!$A$2:$A$500,0)),"")</f>
        <v>قطعة</v>
      </c>
      <c r="E1217" s="41" t="n">
        <f aca="false">IFERROR(INDEX(المكونات!$C$2:$C$500,MATCH($B1217,المكونات!$A$2:$A$500,0)),"")</f>
        <v>0.5</v>
      </c>
      <c r="F1217" s="42" t="n">
        <f aca="false">IFERROR($C1217*$E1217,"")</f>
        <v>0.5</v>
      </c>
    </row>
    <row r="1218" customFormat="false" ht="15" hidden="false" customHeight="true" outlineLevel="0" collapsed="false">
      <c r="A1218" s="39" t="s">
        <v>451</v>
      </c>
      <c r="B1218" s="39" t="s">
        <v>145</v>
      </c>
      <c r="C1218" s="39" t="n">
        <v>2</v>
      </c>
      <c r="D1218" s="40" t="str">
        <f aca="false">IFERROR(INDEX(المكونات!$B$2:$B$500,MATCH($B1218,المكونات!$A$2:$A$500,0)),"")</f>
        <v>قطعة (جلفز)</v>
      </c>
      <c r="E1218" s="41" t="n">
        <f aca="false">IFERROR(INDEX(المكونات!$C$2:$C$500,MATCH($B1218,المكونات!$A$2:$A$500,0)),"")</f>
        <v>0.18</v>
      </c>
      <c r="F1218" s="42" t="n">
        <f aca="false">IFERROR($C1218*$E1218,"")</f>
        <v>0.36</v>
      </c>
    </row>
    <row r="1219" customFormat="false" ht="15" hidden="false" customHeight="true" outlineLevel="0" collapsed="false">
      <c r="A1219" s="39" t="s">
        <v>451</v>
      </c>
      <c r="B1219" s="39" t="s">
        <v>257</v>
      </c>
      <c r="C1219" s="39" t="n">
        <v>1</v>
      </c>
      <c r="D1219" s="40" t="str">
        <f aca="false">IFERROR(INDEX(المكونات!$B$2:$B$500,MATCH($B1219,المكونات!$A$2:$A$500,0)),"")</f>
        <v>قطعة (كيس)</v>
      </c>
      <c r="E1219" s="41" t="n">
        <f aca="false">IFERROR(INDEX(المكونات!$C$2:$C$500,MATCH($B1219,المكونات!$A$2:$A$500,0)),"")</f>
        <v>0.9995</v>
      </c>
      <c r="F1219" s="42" t="n">
        <f aca="false">IFERROR($C1219*$E1219,"")</f>
        <v>0.9995</v>
      </c>
    </row>
    <row r="1220" customFormat="false" ht="15" hidden="false" customHeight="true" outlineLevel="0" collapsed="false">
      <c r="A1220" s="39" t="s">
        <v>451</v>
      </c>
      <c r="B1220" s="39" t="s">
        <v>271</v>
      </c>
      <c r="C1220" s="39" t="n">
        <v>0.12</v>
      </c>
      <c r="D1220" s="40" t="str">
        <f aca="false">IFERROR(INDEX(المكونات!$B$2:$B$500,MATCH($B1220,المكونات!$A$2:$A$500,0)),"")</f>
        <v>كجم</v>
      </c>
      <c r="E1220" s="41" t="n">
        <f aca="false">IFERROR(INDEX(المكونات!$C$2:$C$500,MATCH($B1220,المكونات!$A$2:$A$500,0)),"")</f>
        <v>220.02</v>
      </c>
      <c r="F1220" s="42" t="n">
        <f aca="false">IFERROR($C1220*$E1220,"")</f>
        <v>26.4024</v>
      </c>
    </row>
    <row r="1221" customFormat="false" ht="15" hidden="false" customHeight="true" outlineLevel="0" collapsed="false">
      <c r="A1221" s="39" t="s">
        <v>428</v>
      </c>
      <c r="B1221" s="39" t="s">
        <v>200</v>
      </c>
      <c r="C1221" s="39" t="n">
        <v>1.5</v>
      </c>
      <c r="D1221" s="40" t="str">
        <f aca="false">IFERROR(INDEX(المكونات!$B$2:$B$500,MATCH($B1221,المكونات!$A$2:$A$500,0)),"")</f>
        <v>قطعة</v>
      </c>
      <c r="E1221" s="41" t="n">
        <f aca="false">IFERROR(INDEX(المكونات!$C$2:$C$500,MATCH($B1221,المكونات!$A$2:$A$500,0)),"")</f>
        <v>4</v>
      </c>
      <c r="F1221" s="42" t="n">
        <f aca="false">IFERROR($C1221*$E1221,"")</f>
        <v>6</v>
      </c>
    </row>
    <row r="1222" customFormat="false" ht="15" hidden="false" customHeight="true" outlineLevel="0" collapsed="false">
      <c r="A1222" s="39" t="s">
        <v>428</v>
      </c>
      <c r="B1222" s="39" t="s">
        <v>196</v>
      </c>
      <c r="C1222" s="39" t="n">
        <v>0.045</v>
      </c>
      <c r="D1222" s="40" t="str">
        <f aca="false">IFERROR(INDEX(المكونات!$B$2:$B$500,MATCH($B1222,المكونات!$A$2:$A$500,0)),"")</f>
        <v>كجم</v>
      </c>
      <c r="E1222" s="41" t="n">
        <f aca="false">IFERROR(INDEX(المكونات!$C$2:$C$500,MATCH($B1222,المكونات!$A$2:$A$500,0)),"")</f>
        <v>21</v>
      </c>
      <c r="F1222" s="42" t="n">
        <f aca="false">IFERROR($C1222*$E1222,"")</f>
        <v>0.945</v>
      </c>
    </row>
    <row r="1223" customFormat="false" ht="15" hidden="false" customHeight="true" outlineLevel="0" collapsed="false">
      <c r="A1223" s="39" t="s">
        <v>428</v>
      </c>
      <c r="B1223" s="39" t="s">
        <v>219</v>
      </c>
      <c r="C1223" s="39" t="n">
        <v>0.03</v>
      </c>
      <c r="D1223" s="40" t="str">
        <f aca="false">IFERROR(INDEX(المكونات!$B$2:$B$500,MATCH($B1223,المكونات!$A$2:$A$500,0)),"")</f>
        <v>كجم</v>
      </c>
      <c r="E1223" s="41" t="n">
        <f aca="false">IFERROR(INDEX(المكونات!$C$2:$C$500,MATCH($B1223,المكونات!$A$2:$A$500,0)),"")</f>
        <v>27</v>
      </c>
      <c r="F1223" s="42" t="n">
        <f aca="false">IFERROR($C1223*$E1223,"")</f>
        <v>0.81</v>
      </c>
    </row>
    <row r="1224" customFormat="false" ht="15" hidden="false" customHeight="true" outlineLevel="0" collapsed="false">
      <c r="A1224" s="39" t="s">
        <v>428</v>
      </c>
      <c r="B1224" s="39" t="s">
        <v>162</v>
      </c>
      <c r="C1224" s="39" t="n">
        <v>0.03</v>
      </c>
      <c r="D1224" s="40" t="str">
        <f aca="false">IFERROR(INDEX(المكونات!$B$2:$B$500,MATCH($B1224,المكونات!$A$2:$A$500,0)),"")</f>
        <v>كجم</v>
      </c>
      <c r="E1224" s="41" t="n">
        <f aca="false">IFERROR(INDEX(المكونات!$C$2:$C$500,MATCH($B1224,المكونات!$A$2:$A$500,0)),"")</f>
        <v>95</v>
      </c>
      <c r="F1224" s="42" t="n">
        <f aca="false">IFERROR($C1224*$E1224,"")</f>
        <v>2.85</v>
      </c>
    </row>
    <row r="1225" customFormat="false" ht="15" hidden="false" customHeight="true" outlineLevel="0" collapsed="false">
      <c r="A1225" s="39" t="s">
        <v>428</v>
      </c>
      <c r="B1225" s="39" t="s">
        <v>112</v>
      </c>
      <c r="C1225" s="39" t="n">
        <v>1</v>
      </c>
      <c r="D1225" s="40" t="str">
        <f aca="false">IFERROR(INDEX(المكونات!$B$2:$B$500,MATCH($B1225,المكونات!$A$2:$A$500,0)),"")</f>
        <v>قطعة</v>
      </c>
      <c r="E1225" s="41" t="n">
        <f aca="false">IFERROR(INDEX(المكونات!$C$2:$C$500,MATCH($B1225,المكونات!$A$2:$A$500,0)),"")</f>
        <v>25</v>
      </c>
      <c r="F1225" s="42" t="n">
        <f aca="false">IFERROR($C1225*$E1225,"")</f>
        <v>25</v>
      </c>
    </row>
    <row r="1226" customFormat="false" ht="15" hidden="false" customHeight="true" outlineLevel="0" collapsed="false">
      <c r="A1226" s="39" t="s">
        <v>428</v>
      </c>
      <c r="B1226" s="39" t="s">
        <v>204</v>
      </c>
      <c r="C1226" s="39" t="n">
        <v>1</v>
      </c>
      <c r="D1226" s="40" t="str">
        <f aca="false">IFERROR(INDEX(المكونات!$B$2:$B$500,MATCH($B1226,المكونات!$A$2:$A$500,0)),"")</f>
        <v>قطعة</v>
      </c>
      <c r="E1226" s="41" t="n">
        <f aca="false">IFERROR(INDEX(المكونات!$C$2:$C$500,MATCH($B1226,المكونات!$A$2:$A$500,0)),"")</f>
        <v>5.5</v>
      </c>
      <c r="F1226" s="42" t="n">
        <f aca="false">IFERROR($C1226*$E1226,"")</f>
        <v>5.5</v>
      </c>
    </row>
    <row r="1227" customFormat="false" ht="15" hidden="false" customHeight="true" outlineLevel="0" collapsed="false">
      <c r="A1227" s="39" t="s">
        <v>428</v>
      </c>
      <c r="B1227" s="39" t="s">
        <v>225</v>
      </c>
      <c r="C1227" s="39" t="n">
        <v>3</v>
      </c>
      <c r="D1227" s="40" t="str">
        <f aca="false">IFERROR(INDEX(المكونات!$B$2:$B$500,MATCH($B1227,المكونات!$A$2:$A$500,0)),"")</f>
        <v>قطعة</v>
      </c>
      <c r="E1227" s="41" t="n">
        <f aca="false">IFERROR(INDEX(المكونات!$C$2:$C$500,MATCH($B1227,المكونات!$A$2:$A$500,0)),"")</f>
        <v>0.3</v>
      </c>
      <c r="F1227" s="42" t="n">
        <f aca="false">IFERROR($C1227*$E1227,"")</f>
        <v>0.9</v>
      </c>
    </row>
    <row r="1228" customFormat="false" ht="15" hidden="false" customHeight="true" outlineLevel="0" collapsed="false">
      <c r="A1228" s="39" t="s">
        <v>428</v>
      </c>
      <c r="B1228" s="39" t="s">
        <v>254</v>
      </c>
      <c r="C1228" s="39" t="n">
        <v>1</v>
      </c>
      <c r="D1228" s="40" t="str">
        <f aca="false">IFERROR(INDEX(المكونات!$B$2:$B$500,MATCH($B1228,المكونات!$A$2:$A$500,0)),"")</f>
        <v>قطعة (ورقة)</v>
      </c>
      <c r="E1228" s="41" t="n">
        <f aca="false">IFERROR(INDEX(المكونات!$C$2:$C$500,MATCH($B1228,المكونات!$A$2:$A$500,0)),"")</f>
        <v>0.3665</v>
      </c>
      <c r="F1228" s="42" t="n">
        <f aca="false">IFERROR($C1228*$E1228,"")</f>
        <v>0.3665</v>
      </c>
    </row>
    <row r="1229" customFormat="false" ht="15" hidden="false" customHeight="true" outlineLevel="0" collapsed="false">
      <c r="A1229" s="39" t="s">
        <v>428</v>
      </c>
      <c r="B1229" s="39" t="s">
        <v>67</v>
      </c>
      <c r="C1229" s="39" t="n">
        <v>1</v>
      </c>
      <c r="D1229" s="40" t="str">
        <f aca="false">IFERROR(INDEX(المكونات!$B$2:$B$500,MATCH($B1229,المكونات!$A$2:$A$500,0)),"")</f>
        <v>قطعة (كيس)</v>
      </c>
      <c r="E1229" s="41" t="n">
        <f aca="false">IFERROR(INDEX(المكونات!$C$2:$C$500,MATCH($B1229,المكونات!$A$2:$A$500,0)),"")</f>
        <v>1.4</v>
      </c>
      <c r="F1229" s="42" t="n">
        <f aca="false">IFERROR($C1229*$E1229,"")</f>
        <v>1.4</v>
      </c>
    </row>
    <row r="1230" customFormat="false" ht="15" hidden="false" customHeight="true" outlineLevel="0" collapsed="false">
      <c r="A1230" s="39" t="s">
        <v>428</v>
      </c>
      <c r="B1230" s="39" t="s">
        <v>228</v>
      </c>
      <c r="C1230" s="39" t="n">
        <v>1</v>
      </c>
      <c r="D1230" s="40" t="str">
        <f aca="false">IFERROR(INDEX(المكونات!$B$2:$B$500,MATCH($B1230,المكونات!$A$2:$A$500,0)),"")</f>
        <v>قطعة</v>
      </c>
      <c r="E1230" s="41" t="n">
        <f aca="false">IFERROR(INDEX(المكونات!$C$2:$C$500,MATCH($B1230,المكونات!$A$2:$A$500,0)),"")</f>
        <v>0.5</v>
      </c>
      <c r="F1230" s="42" t="n">
        <f aca="false">IFERROR($C1230*$E1230,"")</f>
        <v>0.5</v>
      </c>
    </row>
    <row r="1231" customFormat="false" ht="15" hidden="false" customHeight="true" outlineLevel="0" collapsed="false">
      <c r="A1231" s="39" t="s">
        <v>428</v>
      </c>
      <c r="B1231" s="39" t="s">
        <v>145</v>
      </c>
      <c r="C1231" s="39" t="n">
        <v>2</v>
      </c>
      <c r="D1231" s="40" t="str">
        <f aca="false">IFERROR(INDEX(المكونات!$B$2:$B$500,MATCH($B1231,المكونات!$A$2:$A$500,0)),"")</f>
        <v>قطعة (جلفز)</v>
      </c>
      <c r="E1231" s="41" t="n">
        <f aca="false">IFERROR(INDEX(المكونات!$C$2:$C$500,MATCH($B1231,المكونات!$A$2:$A$500,0)),"")</f>
        <v>0.18</v>
      </c>
      <c r="F1231" s="42" t="n">
        <f aca="false">IFERROR($C1231*$E1231,"")</f>
        <v>0.36</v>
      </c>
    </row>
    <row r="1232" customFormat="false" ht="15" hidden="false" customHeight="true" outlineLevel="0" collapsed="false">
      <c r="A1232" s="39" t="s">
        <v>428</v>
      </c>
      <c r="B1232" s="39" t="s">
        <v>257</v>
      </c>
      <c r="C1232" s="39" t="n">
        <v>1</v>
      </c>
      <c r="D1232" s="40" t="str">
        <f aca="false">IFERROR(INDEX(المكونات!$B$2:$B$500,MATCH($B1232,المكونات!$A$2:$A$500,0)),"")</f>
        <v>قطعة (كيس)</v>
      </c>
      <c r="E1232" s="41" t="n">
        <f aca="false">IFERROR(INDEX(المكونات!$C$2:$C$500,MATCH($B1232,المكونات!$A$2:$A$500,0)),"")</f>
        <v>0.9995</v>
      </c>
      <c r="F1232" s="42" t="n">
        <f aca="false">IFERROR($C1232*$E1232,"")</f>
        <v>0.9995</v>
      </c>
    </row>
    <row r="1233" customFormat="false" ht="15" hidden="false" customHeight="true" outlineLevel="0" collapsed="false">
      <c r="A1233" s="39" t="s">
        <v>428</v>
      </c>
      <c r="B1233" s="39" t="s">
        <v>271</v>
      </c>
      <c r="C1233" s="39" t="n">
        <v>0.18</v>
      </c>
      <c r="D1233" s="40" t="str">
        <f aca="false">IFERROR(INDEX(المكونات!$B$2:$B$500,MATCH($B1233,المكونات!$A$2:$A$500,0)),"")</f>
        <v>كجم</v>
      </c>
      <c r="E1233" s="41" t="n">
        <f aca="false">IFERROR(INDEX(المكونات!$C$2:$C$500,MATCH($B1233,المكونات!$A$2:$A$500,0)),"")</f>
        <v>220.02</v>
      </c>
      <c r="F1233" s="42" t="n">
        <f aca="false">IFERROR($C1233*$E1233,"")</f>
        <v>39.6036</v>
      </c>
    </row>
    <row r="1234" customFormat="false" ht="15" hidden="false" customHeight="true" outlineLevel="0" collapsed="false">
      <c r="A1234" s="39" t="s">
        <v>440</v>
      </c>
      <c r="B1234" s="39" t="s">
        <v>200</v>
      </c>
      <c r="C1234" s="39" t="n">
        <v>1</v>
      </c>
      <c r="D1234" s="40" t="str">
        <f aca="false">IFERROR(INDEX(المكونات!$B$2:$B$500,MATCH($B1234,المكونات!$A$2:$A$500,0)),"")</f>
        <v>قطعة</v>
      </c>
      <c r="E1234" s="41" t="n">
        <f aca="false">IFERROR(INDEX(المكونات!$C$2:$C$500,MATCH($B1234,المكونات!$A$2:$A$500,0)),"")</f>
        <v>4</v>
      </c>
      <c r="F1234" s="42" t="n">
        <f aca="false">IFERROR($C1234*$E1234,"")</f>
        <v>4</v>
      </c>
    </row>
    <row r="1235" customFormat="false" ht="15" hidden="false" customHeight="true" outlineLevel="0" collapsed="false">
      <c r="A1235" s="39" t="s">
        <v>440</v>
      </c>
      <c r="B1235" s="39" t="s">
        <v>196</v>
      </c>
      <c r="C1235" s="39" t="n">
        <v>0.03</v>
      </c>
      <c r="D1235" s="40" t="str">
        <f aca="false">IFERROR(INDEX(المكونات!$B$2:$B$500,MATCH($B1235,المكونات!$A$2:$A$500,0)),"")</f>
        <v>كجم</v>
      </c>
      <c r="E1235" s="41" t="n">
        <f aca="false">IFERROR(INDEX(المكونات!$C$2:$C$500,MATCH($B1235,المكونات!$A$2:$A$500,0)),"")</f>
        <v>21</v>
      </c>
      <c r="F1235" s="42" t="n">
        <f aca="false">IFERROR($C1235*$E1235,"")</f>
        <v>0.63</v>
      </c>
    </row>
    <row r="1236" customFormat="false" ht="15" hidden="false" customHeight="true" outlineLevel="0" collapsed="false">
      <c r="A1236" s="39" t="s">
        <v>440</v>
      </c>
      <c r="B1236" s="39" t="s">
        <v>219</v>
      </c>
      <c r="C1236" s="39" t="n">
        <v>0.02</v>
      </c>
      <c r="D1236" s="40" t="str">
        <f aca="false">IFERROR(INDEX(المكونات!$B$2:$B$500,MATCH($B1236,المكونات!$A$2:$A$500,0)),"")</f>
        <v>كجم</v>
      </c>
      <c r="E1236" s="41" t="n">
        <f aca="false">IFERROR(INDEX(المكونات!$C$2:$C$500,MATCH($B1236,المكونات!$A$2:$A$500,0)),"")</f>
        <v>27</v>
      </c>
      <c r="F1236" s="42" t="n">
        <f aca="false">IFERROR($C1236*$E1236,"")</f>
        <v>0.54</v>
      </c>
    </row>
    <row r="1237" customFormat="false" ht="15" hidden="false" customHeight="true" outlineLevel="0" collapsed="false">
      <c r="A1237" s="39" t="s">
        <v>440</v>
      </c>
      <c r="B1237" s="39" t="s">
        <v>162</v>
      </c>
      <c r="C1237" s="39" t="n">
        <v>0.02</v>
      </c>
      <c r="D1237" s="40" t="str">
        <f aca="false">IFERROR(INDEX(المكونات!$B$2:$B$500,MATCH($B1237,المكونات!$A$2:$A$500,0)),"")</f>
        <v>كجم</v>
      </c>
      <c r="E1237" s="41" t="n">
        <f aca="false">IFERROR(INDEX(المكونات!$C$2:$C$500,MATCH($B1237,المكونات!$A$2:$A$500,0)),"")</f>
        <v>95</v>
      </c>
      <c r="F1237" s="42" t="n">
        <f aca="false">IFERROR($C1237*$E1237,"")</f>
        <v>1.9</v>
      </c>
    </row>
    <row r="1238" customFormat="false" ht="15" hidden="false" customHeight="true" outlineLevel="0" collapsed="false">
      <c r="A1238" s="39" t="s">
        <v>440</v>
      </c>
      <c r="B1238" s="39" t="s">
        <v>110</v>
      </c>
      <c r="C1238" s="39" t="n">
        <v>1</v>
      </c>
      <c r="D1238" s="40" t="str">
        <f aca="false">IFERROR(INDEX(المكونات!$B$2:$B$500,MATCH($B1238,المكونات!$A$2:$A$500,0)),"")</f>
        <v>قطعة</v>
      </c>
      <c r="E1238" s="41" t="n">
        <f aca="false">IFERROR(INDEX(المكونات!$C$2:$C$500,MATCH($B1238,المكونات!$A$2:$A$500,0)),"")</f>
        <v>17.5</v>
      </c>
      <c r="F1238" s="42" t="n">
        <f aca="false">IFERROR($C1238*$E1238,"")</f>
        <v>17.5</v>
      </c>
    </row>
    <row r="1239" customFormat="false" ht="15" hidden="false" customHeight="true" outlineLevel="0" collapsed="false">
      <c r="A1239" s="39" t="s">
        <v>440</v>
      </c>
      <c r="B1239" s="39" t="s">
        <v>206</v>
      </c>
      <c r="C1239" s="39" t="n">
        <v>1</v>
      </c>
      <c r="D1239" s="40" t="str">
        <f aca="false">IFERROR(INDEX(المكونات!$B$2:$B$500,MATCH($B1239,المكونات!$A$2:$A$500,0)),"")</f>
        <v>قطعة</v>
      </c>
      <c r="E1239" s="41" t="n">
        <f aca="false">IFERROR(INDEX(المكونات!$C$2:$C$500,MATCH($B1239,المكونات!$A$2:$A$500,0)),"")</f>
        <v>4.5</v>
      </c>
      <c r="F1239" s="42" t="n">
        <f aca="false">IFERROR($C1239*$E1239,"")</f>
        <v>4.5</v>
      </c>
    </row>
    <row r="1240" customFormat="false" ht="15" hidden="false" customHeight="true" outlineLevel="0" collapsed="false">
      <c r="A1240" s="39" t="s">
        <v>440</v>
      </c>
      <c r="B1240" s="39" t="s">
        <v>225</v>
      </c>
      <c r="C1240" s="39" t="n">
        <v>2</v>
      </c>
      <c r="D1240" s="40" t="str">
        <f aca="false">IFERROR(INDEX(المكونات!$B$2:$B$500,MATCH($B1240,المكونات!$A$2:$A$500,0)),"")</f>
        <v>قطعة</v>
      </c>
      <c r="E1240" s="41" t="n">
        <f aca="false">IFERROR(INDEX(المكونات!$C$2:$C$500,MATCH($B1240,المكونات!$A$2:$A$500,0)),"")</f>
        <v>0.3</v>
      </c>
      <c r="F1240" s="42" t="n">
        <f aca="false">IFERROR($C1240*$E1240,"")</f>
        <v>0.6</v>
      </c>
    </row>
    <row r="1241" customFormat="false" ht="15" hidden="false" customHeight="true" outlineLevel="0" collapsed="false">
      <c r="A1241" s="39" t="s">
        <v>440</v>
      </c>
      <c r="B1241" s="39" t="s">
        <v>254</v>
      </c>
      <c r="C1241" s="39" t="n">
        <v>1</v>
      </c>
      <c r="D1241" s="40" t="str">
        <f aca="false">IFERROR(INDEX(المكونات!$B$2:$B$500,MATCH($B1241,المكونات!$A$2:$A$500,0)),"")</f>
        <v>قطعة (ورقة)</v>
      </c>
      <c r="E1241" s="41" t="n">
        <f aca="false">IFERROR(INDEX(المكونات!$C$2:$C$500,MATCH($B1241,المكونات!$A$2:$A$500,0)),"")</f>
        <v>0.3665</v>
      </c>
      <c r="F1241" s="42" t="n">
        <f aca="false">IFERROR($C1241*$E1241,"")</f>
        <v>0.3665</v>
      </c>
    </row>
    <row r="1242" customFormat="false" ht="15" hidden="false" customHeight="true" outlineLevel="0" collapsed="false">
      <c r="A1242" s="39" t="s">
        <v>440</v>
      </c>
      <c r="B1242" s="39" t="s">
        <v>67</v>
      </c>
      <c r="C1242" s="39" t="n">
        <v>1</v>
      </c>
      <c r="D1242" s="40" t="str">
        <f aca="false">IFERROR(INDEX(المكونات!$B$2:$B$500,MATCH($B1242,المكونات!$A$2:$A$500,0)),"")</f>
        <v>قطعة (كيس)</v>
      </c>
      <c r="E1242" s="41" t="n">
        <f aca="false">IFERROR(INDEX(المكونات!$C$2:$C$500,MATCH($B1242,المكونات!$A$2:$A$500,0)),"")</f>
        <v>1.4</v>
      </c>
      <c r="F1242" s="42" t="n">
        <f aca="false">IFERROR($C1242*$E1242,"")</f>
        <v>1.4</v>
      </c>
    </row>
    <row r="1243" customFormat="false" ht="15" hidden="false" customHeight="true" outlineLevel="0" collapsed="false">
      <c r="A1243" s="39" t="s">
        <v>440</v>
      </c>
      <c r="B1243" s="39" t="s">
        <v>228</v>
      </c>
      <c r="C1243" s="39" t="n">
        <v>1</v>
      </c>
      <c r="D1243" s="40" t="str">
        <f aca="false">IFERROR(INDEX(المكونات!$B$2:$B$500,MATCH($B1243,المكونات!$A$2:$A$500,0)),"")</f>
        <v>قطعة</v>
      </c>
      <c r="E1243" s="41" t="n">
        <f aca="false">IFERROR(INDEX(المكونات!$C$2:$C$500,MATCH($B1243,المكونات!$A$2:$A$500,0)),"")</f>
        <v>0.5</v>
      </c>
      <c r="F1243" s="42" t="n">
        <f aca="false">IFERROR($C1243*$E1243,"")</f>
        <v>0.5</v>
      </c>
    </row>
    <row r="1244" customFormat="false" ht="15" hidden="false" customHeight="true" outlineLevel="0" collapsed="false">
      <c r="A1244" s="39" t="s">
        <v>440</v>
      </c>
      <c r="B1244" s="39" t="s">
        <v>145</v>
      </c>
      <c r="C1244" s="39" t="n">
        <v>2</v>
      </c>
      <c r="D1244" s="40" t="str">
        <f aca="false">IFERROR(INDEX(المكونات!$B$2:$B$500,MATCH($B1244,المكونات!$A$2:$A$500,0)),"")</f>
        <v>قطعة (جلفز)</v>
      </c>
      <c r="E1244" s="41" t="n">
        <f aca="false">IFERROR(INDEX(المكونات!$C$2:$C$500,MATCH($B1244,المكونات!$A$2:$A$500,0)),"")</f>
        <v>0.18</v>
      </c>
      <c r="F1244" s="42" t="n">
        <f aca="false">IFERROR($C1244*$E1244,"")</f>
        <v>0.36</v>
      </c>
    </row>
    <row r="1245" customFormat="false" ht="15" hidden="false" customHeight="true" outlineLevel="0" collapsed="false">
      <c r="A1245" s="39" t="s">
        <v>440</v>
      </c>
      <c r="B1245" s="39" t="s">
        <v>257</v>
      </c>
      <c r="C1245" s="39" t="n">
        <v>1</v>
      </c>
      <c r="D1245" s="40" t="str">
        <f aca="false">IFERROR(INDEX(المكونات!$B$2:$B$500,MATCH($B1245,المكونات!$A$2:$A$500,0)),"")</f>
        <v>قطعة (كيس)</v>
      </c>
      <c r="E1245" s="41" t="n">
        <f aca="false">IFERROR(INDEX(المكونات!$C$2:$C$500,MATCH($B1245,المكونات!$A$2:$A$500,0)),"")</f>
        <v>0.9995</v>
      </c>
      <c r="F1245" s="42" t="n">
        <f aca="false">IFERROR($C1245*$E1245,"")</f>
        <v>0.9995</v>
      </c>
    </row>
    <row r="1246" customFormat="false" ht="15" hidden="false" customHeight="true" outlineLevel="0" collapsed="false">
      <c r="A1246" s="39" t="s">
        <v>440</v>
      </c>
      <c r="B1246" s="39" t="s">
        <v>273</v>
      </c>
      <c r="C1246" s="39" t="n">
        <v>0.14</v>
      </c>
      <c r="D1246" s="40" t="str">
        <f aca="false">IFERROR(INDEX(المكونات!$B$2:$B$500,MATCH($B1246,المكونات!$A$2:$A$500,0)),"")</f>
        <v>كجم</v>
      </c>
      <c r="E1246" s="41" t="n">
        <f aca="false">IFERROR(INDEX(المكونات!$C$2:$C$500,MATCH($B1246,المكونات!$A$2:$A$500,0)),"")</f>
        <v>219.23</v>
      </c>
      <c r="F1246" s="42" t="n">
        <f aca="false">IFERROR($C1246*$E1246,"")</f>
        <v>30.6922</v>
      </c>
    </row>
    <row r="1247" customFormat="false" ht="15" hidden="false" customHeight="true" outlineLevel="0" collapsed="false">
      <c r="A1247" s="39" t="s">
        <v>421</v>
      </c>
      <c r="B1247" s="39" t="s">
        <v>200</v>
      </c>
      <c r="C1247" s="39" t="n">
        <v>1.5</v>
      </c>
      <c r="D1247" s="40" t="str">
        <f aca="false">IFERROR(INDEX(المكونات!$B$2:$B$500,MATCH($B1247,المكونات!$A$2:$A$500,0)),"")</f>
        <v>قطعة</v>
      </c>
      <c r="E1247" s="41" t="n">
        <f aca="false">IFERROR(INDEX(المكونات!$C$2:$C$500,MATCH($B1247,المكونات!$A$2:$A$500,0)),"")</f>
        <v>4</v>
      </c>
      <c r="F1247" s="42" t="n">
        <f aca="false">IFERROR($C1247*$E1247,"")</f>
        <v>6</v>
      </c>
    </row>
    <row r="1248" customFormat="false" ht="15" hidden="false" customHeight="true" outlineLevel="0" collapsed="false">
      <c r="A1248" s="39" t="s">
        <v>421</v>
      </c>
      <c r="B1248" s="39" t="s">
        <v>196</v>
      </c>
      <c r="C1248" s="39" t="n">
        <v>0.045</v>
      </c>
      <c r="D1248" s="40" t="str">
        <f aca="false">IFERROR(INDEX(المكونات!$B$2:$B$500,MATCH($B1248,المكونات!$A$2:$A$500,0)),"")</f>
        <v>كجم</v>
      </c>
      <c r="E1248" s="41" t="n">
        <f aca="false">IFERROR(INDEX(المكونات!$C$2:$C$500,MATCH($B1248,المكونات!$A$2:$A$500,0)),"")</f>
        <v>21</v>
      </c>
      <c r="F1248" s="42" t="n">
        <f aca="false">IFERROR($C1248*$E1248,"")</f>
        <v>0.945</v>
      </c>
    </row>
    <row r="1249" customFormat="false" ht="15" hidden="false" customHeight="true" outlineLevel="0" collapsed="false">
      <c r="A1249" s="39" t="s">
        <v>421</v>
      </c>
      <c r="B1249" s="39" t="s">
        <v>219</v>
      </c>
      <c r="C1249" s="39" t="n">
        <v>0.03</v>
      </c>
      <c r="D1249" s="40" t="str">
        <f aca="false">IFERROR(INDEX(المكونات!$B$2:$B$500,MATCH($B1249,المكونات!$A$2:$A$500,0)),"")</f>
        <v>كجم</v>
      </c>
      <c r="E1249" s="41" t="n">
        <f aca="false">IFERROR(INDEX(المكونات!$C$2:$C$500,MATCH($B1249,المكونات!$A$2:$A$500,0)),"")</f>
        <v>27</v>
      </c>
      <c r="F1249" s="42" t="n">
        <f aca="false">IFERROR($C1249*$E1249,"")</f>
        <v>0.81</v>
      </c>
    </row>
    <row r="1250" customFormat="false" ht="15" hidden="false" customHeight="true" outlineLevel="0" collapsed="false">
      <c r="A1250" s="39" t="s">
        <v>421</v>
      </c>
      <c r="B1250" s="39" t="s">
        <v>162</v>
      </c>
      <c r="C1250" s="39" t="n">
        <v>0.03</v>
      </c>
      <c r="D1250" s="40" t="str">
        <f aca="false">IFERROR(INDEX(المكونات!$B$2:$B$500,MATCH($B1250,المكونات!$A$2:$A$500,0)),"")</f>
        <v>كجم</v>
      </c>
      <c r="E1250" s="41" t="n">
        <f aca="false">IFERROR(INDEX(المكونات!$C$2:$C$500,MATCH($B1250,المكونات!$A$2:$A$500,0)),"")</f>
        <v>95</v>
      </c>
      <c r="F1250" s="42" t="n">
        <f aca="false">IFERROR($C1250*$E1250,"")</f>
        <v>2.85</v>
      </c>
    </row>
    <row r="1251" customFormat="false" ht="15" hidden="false" customHeight="true" outlineLevel="0" collapsed="false">
      <c r="A1251" s="39" t="s">
        <v>421</v>
      </c>
      <c r="B1251" s="39" t="s">
        <v>112</v>
      </c>
      <c r="C1251" s="39" t="n">
        <v>1</v>
      </c>
      <c r="D1251" s="40" t="str">
        <f aca="false">IFERROR(INDEX(المكونات!$B$2:$B$500,MATCH($B1251,المكونات!$A$2:$A$500,0)),"")</f>
        <v>قطعة</v>
      </c>
      <c r="E1251" s="41" t="n">
        <f aca="false">IFERROR(INDEX(المكونات!$C$2:$C$500,MATCH($B1251,المكونات!$A$2:$A$500,0)),"")</f>
        <v>25</v>
      </c>
      <c r="F1251" s="42" t="n">
        <f aca="false">IFERROR($C1251*$E1251,"")</f>
        <v>25</v>
      </c>
    </row>
    <row r="1252" customFormat="false" ht="15" hidden="false" customHeight="true" outlineLevel="0" collapsed="false">
      <c r="A1252" s="39" t="s">
        <v>421</v>
      </c>
      <c r="B1252" s="39" t="s">
        <v>204</v>
      </c>
      <c r="C1252" s="39" t="n">
        <v>1</v>
      </c>
      <c r="D1252" s="40" t="str">
        <f aca="false">IFERROR(INDEX(المكونات!$B$2:$B$500,MATCH($B1252,المكونات!$A$2:$A$500,0)),"")</f>
        <v>قطعة</v>
      </c>
      <c r="E1252" s="41" t="n">
        <f aca="false">IFERROR(INDEX(المكونات!$C$2:$C$500,MATCH($B1252,المكونات!$A$2:$A$500,0)),"")</f>
        <v>5.5</v>
      </c>
      <c r="F1252" s="42" t="n">
        <f aca="false">IFERROR($C1252*$E1252,"")</f>
        <v>5.5</v>
      </c>
    </row>
    <row r="1253" customFormat="false" ht="15" hidden="false" customHeight="true" outlineLevel="0" collapsed="false">
      <c r="A1253" s="39" t="s">
        <v>421</v>
      </c>
      <c r="B1253" s="39" t="s">
        <v>225</v>
      </c>
      <c r="C1253" s="39" t="n">
        <v>3</v>
      </c>
      <c r="D1253" s="40" t="str">
        <f aca="false">IFERROR(INDEX(المكونات!$B$2:$B$500,MATCH($B1253,المكونات!$A$2:$A$500,0)),"")</f>
        <v>قطعة</v>
      </c>
      <c r="E1253" s="41" t="n">
        <f aca="false">IFERROR(INDEX(المكونات!$C$2:$C$500,MATCH($B1253,المكونات!$A$2:$A$500,0)),"")</f>
        <v>0.3</v>
      </c>
      <c r="F1253" s="42" t="n">
        <f aca="false">IFERROR($C1253*$E1253,"")</f>
        <v>0.9</v>
      </c>
    </row>
    <row r="1254" customFormat="false" ht="15" hidden="false" customHeight="true" outlineLevel="0" collapsed="false">
      <c r="A1254" s="39" t="s">
        <v>421</v>
      </c>
      <c r="B1254" s="39" t="s">
        <v>254</v>
      </c>
      <c r="C1254" s="39" t="n">
        <v>1</v>
      </c>
      <c r="D1254" s="40" t="str">
        <f aca="false">IFERROR(INDEX(المكونات!$B$2:$B$500,MATCH($B1254,المكونات!$A$2:$A$500,0)),"")</f>
        <v>قطعة (ورقة)</v>
      </c>
      <c r="E1254" s="41" t="n">
        <f aca="false">IFERROR(INDEX(المكونات!$C$2:$C$500,MATCH($B1254,المكونات!$A$2:$A$500,0)),"")</f>
        <v>0.3665</v>
      </c>
      <c r="F1254" s="42" t="n">
        <f aca="false">IFERROR($C1254*$E1254,"")</f>
        <v>0.3665</v>
      </c>
    </row>
    <row r="1255" customFormat="false" ht="15" hidden="false" customHeight="true" outlineLevel="0" collapsed="false">
      <c r="A1255" s="39" t="s">
        <v>421</v>
      </c>
      <c r="B1255" s="39" t="s">
        <v>67</v>
      </c>
      <c r="C1255" s="39" t="n">
        <v>1</v>
      </c>
      <c r="D1255" s="40" t="str">
        <f aca="false">IFERROR(INDEX(المكونات!$B$2:$B$500,MATCH($B1255,المكونات!$A$2:$A$500,0)),"")</f>
        <v>قطعة (كيس)</v>
      </c>
      <c r="E1255" s="41" t="n">
        <f aca="false">IFERROR(INDEX(المكونات!$C$2:$C$500,MATCH($B1255,المكونات!$A$2:$A$500,0)),"")</f>
        <v>1.4</v>
      </c>
      <c r="F1255" s="42" t="n">
        <f aca="false">IFERROR($C1255*$E1255,"")</f>
        <v>1.4</v>
      </c>
    </row>
    <row r="1256" customFormat="false" ht="15" hidden="false" customHeight="true" outlineLevel="0" collapsed="false">
      <c r="A1256" s="39" t="s">
        <v>421</v>
      </c>
      <c r="B1256" s="39" t="s">
        <v>228</v>
      </c>
      <c r="C1256" s="39" t="n">
        <v>1</v>
      </c>
      <c r="D1256" s="40" t="str">
        <f aca="false">IFERROR(INDEX(المكونات!$B$2:$B$500,MATCH($B1256,المكونات!$A$2:$A$500,0)),"")</f>
        <v>قطعة</v>
      </c>
      <c r="E1256" s="41" t="n">
        <f aca="false">IFERROR(INDEX(المكونات!$C$2:$C$500,MATCH($B1256,المكونات!$A$2:$A$500,0)),"")</f>
        <v>0.5</v>
      </c>
      <c r="F1256" s="42" t="n">
        <f aca="false">IFERROR($C1256*$E1256,"")</f>
        <v>0.5</v>
      </c>
    </row>
    <row r="1257" customFormat="false" ht="15" hidden="false" customHeight="true" outlineLevel="0" collapsed="false">
      <c r="A1257" s="39" t="s">
        <v>421</v>
      </c>
      <c r="B1257" s="39" t="s">
        <v>145</v>
      </c>
      <c r="C1257" s="39" t="n">
        <v>2</v>
      </c>
      <c r="D1257" s="40" t="str">
        <f aca="false">IFERROR(INDEX(المكونات!$B$2:$B$500,MATCH($B1257,المكونات!$A$2:$A$500,0)),"")</f>
        <v>قطعة (جلفز)</v>
      </c>
      <c r="E1257" s="41" t="n">
        <f aca="false">IFERROR(INDEX(المكونات!$C$2:$C$500,MATCH($B1257,المكونات!$A$2:$A$500,0)),"")</f>
        <v>0.18</v>
      </c>
      <c r="F1257" s="42" t="n">
        <f aca="false">IFERROR($C1257*$E1257,"")</f>
        <v>0.36</v>
      </c>
    </row>
    <row r="1258" customFormat="false" ht="15" hidden="false" customHeight="true" outlineLevel="0" collapsed="false">
      <c r="A1258" s="39" t="s">
        <v>421</v>
      </c>
      <c r="B1258" s="39" t="s">
        <v>257</v>
      </c>
      <c r="C1258" s="39" t="n">
        <v>1</v>
      </c>
      <c r="D1258" s="40" t="str">
        <f aca="false">IFERROR(INDEX(المكونات!$B$2:$B$500,MATCH($B1258,المكونات!$A$2:$A$500,0)),"")</f>
        <v>قطعة (كيس)</v>
      </c>
      <c r="E1258" s="41" t="n">
        <f aca="false">IFERROR(INDEX(المكونات!$C$2:$C$500,MATCH($B1258,المكونات!$A$2:$A$500,0)),"")</f>
        <v>0.9995</v>
      </c>
      <c r="F1258" s="42" t="n">
        <f aca="false">IFERROR($C1258*$E1258,"")</f>
        <v>0.9995</v>
      </c>
    </row>
    <row r="1259" customFormat="false" ht="15" hidden="false" customHeight="true" outlineLevel="0" collapsed="false">
      <c r="A1259" s="39" t="s">
        <v>421</v>
      </c>
      <c r="B1259" s="39" t="s">
        <v>273</v>
      </c>
      <c r="C1259" s="39" t="n">
        <v>0.21</v>
      </c>
      <c r="D1259" s="40" t="str">
        <f aca="false">IFERROR(INDEX(المكونات!$B$2:$B$500,MATCH($B1259,المكونات!$A$2:$A$500,0)),"")</f>
        <v>كجم</v>
      </c>
      <c r="E1259" s="41" t="n">
        <f aca="false">IFERROR(INDEX(المكونات!$C$2:$C$500,MATCH($B1259,المكونات!$A$2:$A$500,0)),"")</f>
        <v>219.23</v>
      </c>
      <c r="F1259" s="42" t="n">
        <f aca="false">IFERROR($C1259*$E1259,"")</f>
        <v>46.0383</v>
      </c>
    </row>
    <row r="1260" customFormat="false" ht="15" hidden="false" customHeight="true" outlineLevel="0" collapsed="false">
      <c r="A1260" s="39" t="s">
        <v>447</v>
      </c>
      <c r="B1260" s="39" t="s">
        <v>200</v>
      </c>
      <c r="C1260" s="39" t="n">
        <v>1</v>
      </c>
      <c r="D1260" s="40" t="str">
        <f aca="false">IFERROR(INDEX(المكونات!$B$2:$B$500,MATCH($B1260,المكونات!$A$2:$A$500,0)),"")</f>
        <v>قطعة</v>
      </c>
      <c r="E1260" s="41" t="n">
        <f aca="false">IFERROR(INDEX(المكونات!$C$2:$C$500,MATCH($B1260,المكونات!$A$2:$A$500,0)),"")</f>
        <v>4</v>
      </c>
      <c r="F1260" s="42" t="n">
        <f aca="false">IFERROR($C1260*$E1260,"")</f>
        <v>4</v>
      </c>
    </row>
    <row r="1261" customFormat="false" ht="15" hidden="false" customHeight="true" outlineLevel="0" collapsed="false">
      <c r="A1261" s="39" t="s">
        <v>447</v>
      </c>
      <c r="B1261" s="39" t="s">
        <v>196</v>
      </c>
      <c r="C1261" s="39" t="n">
        <v>0.03</v>
      </c>
      <c r="D1261" s="40" t="str">
        <f aca="false">IFERROR(INDEX(المكونات!$B$2:$B$500,MATCH($B1261,المكونات!$A$2:$A$500,0)),"")</f>
        <v>كجم</v>
      </c>
      <c r="E1261" s="41" t="n">
        <f aca="false">IFERROR(INDEX(المكونات!$C$2:$C$500,MATCH($B1261,المكونات!$A$2:$A$500,0)),"")</f>
        <v>21</v>
      </c>
      <c r="F1261" s="42" t="n">
        <f aca="false">IFERROR($C1261*$E1261,"")</f>
        <v>0.63</v>
      </c>
    </row>
    <row r="1262" customFormat="false" ht="15" hidden="false" customHeight="true" outlineLevel="0" collapsed="false">
      <c r="A1262" s="39" t="s">
        <v>447</v>
      </c>
      <c r="B1262" s="39" t="s">
        <v>219</v>
      </c>
      <c r="C1262" s="39" t="n">
        <v>0.02</v>
      </c>
      <c r="D1262" s="40" t="str">
        <f aca="false">IFERROR(INDEX(المكونات!$B$2:$B$500,MATCH($B1262,المكونات!$A$2:$A$500,0)),"")</f>
        <v>كجم</v>
      </c>
      <c r="E1262" s="41" t="n">
        <f aca="false">IFERROR(INDEX(المكونات!$C$2:$C$500,MATCH($B1262,المكونات!$A$2:$A$500,0)),"")</f>
        <v>27</v>
      </c>
      <c r="F1262" s="42" t="n">
        <f aca="false">IFERROR($C1262*$E1262,"")</f>
        <v>0.54</v>
      </c>
    </row>
    <row r="1263" customFormat="false" ht="15" hidden="false" customHeight="true" outlineLevel="0" collapsed="false">
      <c r="A1263" s="39" t="s">
        <v>447</v>
      </c>
      <c r="B1263" s="39" t="s">
        <v>162</v>
      </c>
      <c r="C1263" s="39" t="n">
        <v>0.02</v>
      </c>
      <c r="D1263" s="40" t="str">
        <f aca="false">IFERROR(INDEX(المكونات!$B$2:$B$500,MATCH($B1263,المكونات!$A$2:$A$500,0)),"")</f>
        <v>كجم</v>
      </c>
      <c r="E1263" s="41" t="n">
        <f aca="false">IFERROR(INDEX(المكونات!$C$2:$C$500,MATCH($B1263,المكونات!$A$2:$A$500,0)),"")</f>
        <v>95</v>
      </c>
      <c r="F1263" s="42" t="n">
        <f aca="false">IFERROR($C1263*$E1263,"")</f>
        <v>1.9</v>
      </c>
    </row>
    <row r="1264" customFormat="false" ht="15" hidden="false" customHeight="true" outlineLevel="0" collapsed="false">
      <c r="A1264" s="39" t="s">
        <v>447</v>
      </c>
      <c r="B1264" s="39" t="s">
        <v>110</v>
      </c>
      <c r="C1264" s="39" t="n">
        <v>1</v>
      </c>
      <c r="D1264" s="40" t="str">
        <f aca="false">IFERROR(INDEX(المكونات!$B$2:$B$500,MATCH($B1264,المكونات!$A$2:$A$500,0)),"")</f>
        <v>قطعة</v>
      </c>
      <c r="E1264" s="41" t="n">
        <f aca="false">IFERROR(INDEX(المكونات!$C$2:$C$500,MATCH($B1264,المكونات!$A$2:$A$500,0)),"")</f>
        <v>17.5</v>
      </c>
      <c r="F1264" s="42" t="n">
        <f aca="false">IFERROR($C1264*$E1264,"")</f>
        <v>17.5</v>
      </c>
    </row>
    <row r="1265" customFormat="false" ht="15" hidden="false" customHeight="true" outlineLevel="0" collapsed="false">
      <c r="A1265" s="39" t="s">
        <v>447</v>
      </c>
      <c r="B1265" s="39" t="s">
        <v>206</v>
      </c>
      <c r="C1265" s="39" t="n">
        <v>1</v>
      </c>
      <c r="D1265" s="40" t="str">
        <f aca="false">IFERROR(INDEX(المكونات!$B$2:$B$500,MATCH($B1265,المكونات!$A$2:$A$500,0)),"")</f>
        <v>قطعة</v>
      </c>
      <c r="E1265" s="41" t="n">
        <f aca="false">IFERROR(INDEX(المكونات!$C$2:$C$500,MATCH($B1265,المكونات!$A$2:$A$500,0)),"")</f>
        <v>4.5</v>
      </c>
      <c r="F1265" s="42" t="n">
        <f aca="false">IFERROR($C1265*$E1265,"")</f>
        <v>4.5</v>
      </c>
    </row>
    <row r="1266" customFormat="false" ht="15" hidden="false" customHeight="true" outlineLevel="0" collapsed="false">
      <c r="A1266" s="39" t="s">
        <v>447</v>
      </c>
      <c r="B1266" s="39" t="s">
        <v>225</v>
      </c>
      <c r="C1266" s="39" t="n">
        <v>2</v>
      </c>
      <c r="D1266" s="40" t="str">
        <f aca="false">IFERROR(INDEX(المكونات!$B$2:$B$500,MATCH($B1266,المكونات!$A$2:$A$500,0)),"")</f>
        <v>قطعة</v>
      </c>
      <c r="E1266" s="41" t="n">
        <f aca="false">IFERROR(INDEX(المكونات!$C$2:$C$500,MATCH($B1266,المكونات!$A$2:$A$500,0)),"")</f>
        <v>0.3</v>
      </c>
      <c r="F1266" s="42" t="n">
        <f aca="false">IFERROR($C1266*$E1266,"")</f>
        <v>0.6</v>
      </c>
    </row>
    <row r="1267" customFormat="false" ht="15" hidden="false" customHeight="true" outlineLevel="0" collapsed="false">
      <c r="A1267" s="39" t="s">
        <v>447</v>
      </c>
      <c r="B1267" s="39" t="s">
        <v>254</v>
      </c>
      <c r="C1267" s="39" t="n">
        <v>1</v>
      </c>
      <c r="D1267" s="40" t="str">
        <f aca="false">IFERROR(INDEX(المكونات!$B$2:$B$500,MATCH($B1267,المكونات!$A$2:$A$500,0)),"")</f>
        <v>قطعة (ورقة)</v>
      </c>
      <c r="E1267" s="41" t="n">
        <f aca="false">IFERROR(INDEX(المكونات!$C$2:$C$500,MATCH($B1267,المكونات!$A$2:$A$500,0)),"")</f>
        <v>0.3665</v>
      </c>
      <c r="F1267" s="42" t="n">
        <f aca="false">IFERROR($C1267*$E1267,"")</f>
        <v>0.3665</v>
      </c>
    </row>
    <row r="1268" customFormat="false" ht="15" hidden="false" customHeight="true" outlineLevel="0" collapsed="false">
      <c r="A1268" s="39" t="s">
        <v>447</v>
      </c>
      <c r="B1268" s="39" t="s">
        <v>67</v>
      </c>
      <c r="C1268" s="39" t="n">
        <v>1</v>
      </c>
      <c r="D1268" s="40" t="str">
        <f aca="false">IFERROR(INDEX(المكونات!$B$2:$B$500,MATCH($B1268,المكونات!$A$2:$A$500,0)),"")</f>
        <v>قطعة (كيس)</v>
      </c>
      <c r="E1268" s="41" t="n">
        <f aca="false">IFERROR(INDEX(المكونات!$C$2:$C$500,MATCH($B1268,المكونات!$A$2:$A$500,0)),"")</f>
        <v>1.4</v>
      </c>
      <c r="F1268" s="42" t="n">
        <f aca="false">IFERROR($C1268*$E1268,"")</f>
        <v>1.4</v>
      </c>
    </row>
    <row r="1269" customFormat="false" ht="15" hidden="false" customHeight="true" outlineLevel="0" collapsed="false">
      <c r="A1269" s="39" t="s">
        <v>447</v>
      </c>
      <c r="B1269" s="39" t="s">
        <v>228</v>
      </c>
      <c r="C1269" s="39" t="n">
        <v>1</v>
      </c>
      <c r="D1269" s="40" t="str">
        <f aca="false">IFERROR(INDEX(المكونات!$B$2:$B$500,MATCH($B1269,المكونات!$A$2:$A$500,0)),"")</f>
        <v>قطعة</v>
      </c>
      <c r="E1269" s="41" t="n">
        <f aca="false">IFERROR(INDEX(المكونات!$C$2:$C$500,MATCH($B1269,المكونات!$A$2:$A$500,0)),"")</f>
        <v>0.5</v>
      </c>
      <c r="F1269" s="42" t="n">
        <f aca="false">IFERROR($C1269*$E1269,"")</f>
        <v>0.5</v>
      </c>
    </row>
    <row r="1270" customFormat="false" ht="15" hidden="false" customHeight="true" outlineLevel="0" collapsed="false">
      <c r="A1270" s="39" t="s">
        <v>447</v>
      </c>
      <c r="B1270" s="39" t="s">
        <v>145</v>
      </c>
      <c r="C1270" s="39" t="n">
        <v>2</v>
      </c>
      <c r="D1270" s="40" t="str">
        <f aca="false">IFERROR(INDEX(المكونات!$B$2:$B$500,MATCH($B1270,المكونات!$A$2:$A$500,0)),"")</f>
        <v>قطعة (جلفز)</v>
      </c>
      <c r="E1270" s="41" t="n">
        <f aca="false">IFERROR(INDEX(المكونات!$C$2:$C$500,MATCH($B1270,المكونات!$A$2:$A$500,0)),"")</f>
        <v>0.18</v>
      </c>
      <c r="F1270" s="42" t="n">
        <f aca="false">IFERROR($C1270*$E1270,"")</f>
        <v>0.36</v>
      </c>
    </row>
    <row r="1271" customFormat="false" ht="15" hidden="false" customHeight="true" outlineLevel="0" collapsed="false">
      <c r="A1271" s="39" t="s">
        <v>447</v>
      </c>
      <c r="B1271" s="39" t="s">
        <v>257</v>
      </c>
      <c r="C1271" s="39" t="n">
        <v>1</v>
      </c>
      <c r="D1271" s="40" t="str">
        <f aca="false">IFERROR(INDEX(المكونات!$B$2:$B$500,MATCH($B1271,المكونات!$A$2:$A$500,0)),"")</f>
        <v>قطعة (كيس)</v>
      </c>
      <c r="E1271" s="41" t="n">
        <f aca="false">IFERROR(INDEX(المكونات!$C$2:$C$500,MATCH($B1271,المكونات!$A$2:$A$500,0)),"")</f>
        <v>0.9995</v>
      </c>
      <c r="F1271" s="42" t="n">
        <f aca="false">IFERROR($C1271*$E1271,"")</f>
        <v>0.9995</v>
      </c>
    </row>
    <row r="1272" customFormat="false" ht="15" hidden="false" customHeight="true" outlineLevel="0" collapsed="false">
      <c r="A1272" s="39" t="s">
        <v>447</v>
      </c>
      <c r="B1272" s="39" t="s">
        <v>271</v>
      </c>
      <c r="C1272" s="39" t="n">
        <v>0.06</v>
      </c>
      <c r="D1272" s="40" t="str">
        <f aca="false">IFERROR(INDEX(المكونات!$B$2:$B$500,MATCH($B1272,المكونات!$A$2:$A$500,0)),"")</f>
        <v>كجم</v>
      </c>
      <c r="E1272" s="41" t="n">
        <f aca="false">IFERROR(INDEX(المكونات!$C$2:$C$500,MATCH($B1272,المكونات!$A$2:$A$500,0)),"")</f>
        <v>220.02</v>
      </c>
      <c r="F1272" s="42" t="n">
        <f aca="false">IFERROR($C1272*$E1272,"")</f>
        <v>13.2012</v>
      </c>
    </row>
    <row r="1273" customFormat="false" ht="15" hidden="false" customHeight="true" outlineLevel="0" collapsed="false">
      <c r="A1273" s="39" t="s">
        <v>447</v>
      </c>
      <c r="B1273" s="39" t="s">
        <v>273</v>
      </c>
      <c r="C1273" s="39" t="n">
        <v>0.07</v>
      </c>
      <c r="D1273" s="40" t="str">
        <f aca="false">IFERROR(INDEX(المكونات!$B$2:$B$500,MATCH($B1273,المكونات!$A$2:$A$500,0)),"")</f>
        <v>كجم</v>
      </c>
      <c r="E1273" s="41" t="n">
        <f aca="false">IFERROR(INDEX(المكونات!$C$2:$C$500,MATCH($B1273,المكونات!$A$2:$A$500,0)),"")</f>
        <v>219.23</v>
      </c>
      <c r="F1273" s="42" t="n">
        <f aca="false">IFERROR($C1273*$E1273,"")</f>
        <v>15.3461</v>
      </c>
    </row>
    <row r="1274" customFormat="false" ht="15" hidden="false" customHeight="true" outlineLevel="0" collapsed="false">
      <c r="A1274" s="39" t="s">
        <v>423</v>
      </c>
      <c r="B1274" s="39" t="s">
        <v>200</v>
      </c>
      <c r="C1274" s="39" t="n">
        <v>1.5</v>
      </c>
      <c r="D1274" s="40" t="str">
        <f aca="false">IFERROR(INDEX(المكونات!$B$2:$B$500,MATCH($B1274,المكونات!$A$2:$A$500,0)),"")</f>
        <v>قطعة</v>
      </c>
      <c r="E1274" s="41" t="n">
        <f aca="false">IFERROR(INDEX(المكونات!$C$2:$C$500,MATCH($B1274,المكونات!$A$2:$A$500,0)),"")</f>
        <v>4</v>
      </c>
      <c r="F1274" s="42" t="n">
        <f aca="false">IFERROR($C1274*$E1274,"")</f>
        <v>6</v>
      </c>
    </row>
    <row r="1275" customFormat="false" ht="15" hidden="false" customHeight="true" outlineLevel="0" collapsed="false">
      <c r="A1275" s="39" t="s">
        <v>423</v>
      </c>
      <c r="B1275" s="39" t="s">
        <v>196</v>
      </c>
      <c r="C1275" s="39" t="n">
        <v>0.045</v>
      </c>
      <c r="D1275" s="40" t="str">
        <f aca="false">IFERROR(INDEX(المكونات!$B$2:$B$500,MATCH($B1275,المكونات!$A$2:$A$500,0)),"")</f>
        <v>كجم</v>
      </c>
      <c r="E1275" s="41" t="n">
        <f aca="false">IFERROR(INDEX(المكونات!$C$2:$C$500,MATCH($B1275,المكونات!$A$2:$A$500,0)),"")</f>
        <v>21</v>
      </c>
      <c r="F1275" s="42" t="n">
        <f aca="false">IFERROR($C1275*$E1275,"")</f>
        <v>0.945</v>
      </c>
    </row>
    <row r="1276" customFormat="false" ht="15" hidden="false" customHeight="true" outlineLevel="0" collapsed="false">
      <c r="A1276" s="39" t="s">
        <v>423</v>
      </c>
      <c r="B1276" s="39" t="s">
        <v>219</v>
      </c>
      <c r="C1276" s="39" t="n">
        <v>0.03</v>
      </c>
      <c r="D1276" s="40" t="str">
        <f aca="false">IFERROR(INDEX(المكونات!$B$2:$B$500,MATCH($B1276,المكونات!$A$2:$A$500,0)),"")</f>
        <v>كجم</v>
      </c>
      <c r="E1276" s="41" t="n">
        <f aca="false">IFERROR(INDEX(المكونات!$C$2:$C$500,MATCH($B1276,المكونات!$A$2:$A$500,0)),"")</f>
        <v>27</v>
      </c>
      <c r="F1276" s="42" t="n">
        <f aca="false">IFERROR($C1276*$E1276,"")</f>
        <v>0.81</v>
      </c>
    </row>
    <row r="1277" customFormat="false" ht="15" hidden="false" customHeight="true" outlineLevel="0" collapsed="false">
      <c r="A1277" s="39" t="s">
        <v>423</v>
      </c>
      <c r="B1277" s="39" t="s">
        <v>162</v>
      </c>
      <c r="C1277" s="39" t="n">
        <v>0.03</v>
      </c>
      <c r="D1277" s="40" t="str">
        <f aca="false">IFERROR(INDEX(المكونات!$B$2:$B$500,MATCH($B1277,المكونات!$A$2:$A$500,0)),"")</f>
        <v>كجم</v>
      </c>
      <c r="E1277" s="41" t="n">
        <f aca="false">IFERROR(INDEX(المكونات!$C$2:$C$500,MATCH($B1277,المكونات!$A$2:$A$500,0)),"")</f>
        <v>95</v>
      </c>
      <c r="F1277" s="42" t="n">
        <f aca="false">IFERROR($C1277*$E1277,"")</f>
        <v>2.85</v>
      </c>
    </row>
    <row r="1278" customFormat="false" ht="15" hidden="false" customHeight="true" outlineLevel="0" collapsed="false">
      <c r="A1278" s="39" t="s">
        <v>423</v>
      </c>
      <c r="B1278" s="39" t="s">
        <v>112</v>
      </c>
      <c r="C1278" s="39" t="n">
        <v>1</v>
      </c>
      <c r="D1278" s="40" t="str">
        <f aca="false">IFERROR(INDEX(المكونات!$B$2:$B$500,MATCH($B1278,المكونات!$A$2:$A$500,0)),"")</f>
        <v>قطعة</v>
      </c>
      <c r="E1278" s="41" t="n">
        <f aca="false">IFERROR(INDEX(المكونات!$C$2:$C$500,MATCH($B1278,المكونات!$A$2:$A$500,0)),"")</f>
        <v>25</v>
      </c>
      <c r="F1278" s="42" t="n">
        <f aca="false">IFERROR($C1278*$E1278,"")</f>
        <v>25</v>
      </c>
    </row>
    <row r="1279" customFormat="false" ht="15" hidden="false" customHeight="true" outlineLevel="0" collapsed="false">
      <c r="A1279" s="39" t="s">
        <v>423</v>
      </c>
      <c r="B1279" s="39" t="s">
        <v>204</v>
      </c>
      <c r="C1279" s="39" t="n">
        <v>1</v>
      </c>
      <c r="D1279" s="40" t="str">
        <f aca="false">IFERROR(INDEX(المكونات!$B$2:$B$500,MATCH($B1279,المكونات!$A$2:$A$500,0)),"")</f>
        <v>قطعة</v>
      </c>
      <c r="E1279" s="41" t="n">
        <f aca="false">IFERROR(INDEX(المكونات!$C$2:$C$500,MATCH($B1279,المكونات!$A$2:$A$500,0)),"")</f>
        <v>5.5</v>
      </c>
      <c r="F1279" s="42" t="n">
        <f aca="false">IFERROR($C1279*$E1279,"")</f>
        <v>5.5</v>
      </c>
    </row>
    <row r="1280" customFormat="false" ht="15" hidden="false" customHeight="true" outlineLevel="0" collapsed="false">
      <c r="A1280" s="39" t="s">
        <v>423</v>
      </c>
      <c r="B1280" s="39" t="s">
        <v>225</v>
      </c>
      <c r="C1280" s="39" t="n">
        <v>3</v>
      </c>
      <c r="D1280" s="40" t="str">
        <f aca="false">IFERROR(INDEX(المكونات!$B$2:$B$500,MATCH($B1280,المكونات!$A$2:$A$500,0)),"")</f>
        <v>قطعة</v>
      </c>
      <c r="E1280" s="41" t="n">
        <f aca="false">IFERROR(INDEX(المكونات!$C$2:$C$500,MATCH($B1280,المكونات!$A$2:$A$500,0)),"")</f>
        <v>0.3</v>
      </c>
      <c r="F1280" s="42" t="n">
        <f aca="false">IFERROR($C1280*$E1280,"")</f>
        <v>0.9</v>
      </c>
    </row>
    <row r="1281" customFormat="false" ht="15" hidden="false" customHeight="true" outlineLevel="0" collapsed="false">
      <c r="A1281" s="39" t="s">
        <v>423</v>
      </c>
      <c r="B1281" s="39" t="s">
        <v>254</v>
      </c>
      <c r="C1281" s="39" t="n">
        <v>1</v>
      </c>
      <c r="D1281" s="40" t="str">
        <f aca="false">IFERROR(INDEX(المكونات!$B$2:$B$500,MATCH($B1281,المكونات!$A$2:$A$500,0)),"")</f>
        <v>قطعة (ورقة)</v>
      </c>
      <c r="E1281" s="41" t="n">
        <f aca="false">IFERROR(INDEX(المكونات!$C$2:$C$500,MATCH($B1281,المكونات!$A$2:$A$500,0)),"")</f>
        <v>0.3665</v>
      </c>
      <c r="F1281" s="42" t="n">
        <f aca="false">IFERROR($C1281*$E1281,"")</f>
        <v>0.3665</v>
      </c>
    </row>
    <row r="1282" customFormat="false" ht="15" hidden="false" customHeight="true" outlineLevel="0" collapsed="false">
      <c r="A1282" s="39" t="s">
        <v>423</v>
      </c>
      <c r="B1282" s="39" t="s">
        <v>67</v>
      </c>
      <c r="C1282" s="39" t="n">
        <v>1</v>
      </c>
      <c r="D1282" s="40" t="str">
        <f aca="false">IFERROR(INDEX(المكونات!$B$2:$B$500,MATCH($B1282,المكونات!$A$2:$A$500,0)),"")</f>
        <v>قطعة (كيس)</v>
      </c>
      <c r="E1282" s="41" t="n">
        <f aca="false">IFERROR(INDEX(المكونات!$C$2:$C$500,MATCH($B1282,المكونات!$A$2:$A$500,0)),"")</f>
        <v>1.4</v>
      </c>
      <c r="F1282" s="42" t="n">
        <f aca="false">IFERROR($C1282*$E1282,"")</f>
        <v>1.4</v>
      </c>
    </row>
    <row r="1283" customFormat="false" ht="15" hidden="false" customHeight="true" outlineLevel="0" collapsed="false">
      <c r="A1283" s="39" t="s">
        <v>423</v>
      </c>
      <c r="B1283" s="39" t="s">
        <v>228</v>
      </c>
      <c r="C1283" s="39" t="n">
        <v>1</v>
      </c>
      <c r="D1283" s="40" t="str">
        <f aca="false">IFERROR(INDEX(المكونات!$B$2:$B$500,MATCH($B1283,المكونات!$A$2:$A$500,0)),"")</f>
        <v>قطعة</v>
      </c>
      <c r="E1283" s="41" t="n">
        <f aca="false">IFERROR(INDEX(المكونات!$C$2:$C$500,MATCH($B1283,المكونات!$A$2:$A$500,0)),"")</f>
        <v>0.5</v>
      </c>
      <c r="F1283" s="42" t="n">
        <f aca="false">IFERROR($C1283*$E1283,"")</f>
        <v>0.5</v>
      </c>
    </row>
    <row r="1284" customFormat="false" ht="15" hidden="false" customHeight="true" outlineLevel="0" collapsed="false">
      <c r="A1284" s="39" t="s">
        <v>423</v>
      </c>
      <c r="B1284" s="39" t="s">
        <v>145</v>
      </c>
      <c r="C1284" s="39" t="n">
        <v>2</v>
      </c>
      <c r="D1284" s="40" t="str">
        <f aca="false">IFERROR(INDEX(المكونات!$B$2:$B$500,MATCH($B1284,المكونات!$A$2:$A$500,0)),"")</f>
        <v>قطعة (جلفز)</v>
      </c>
      <c r="E1284" s="41" t="n">
        <f aca="false">IFERROR(INDEX(المكونات!$C$2:$C$500,MATCH($B1284,المكونات!$A$2:$A$500,0)),"")</f>
        <v>0.18</v>
      </c>
      <c r="F1284" s="42" t="n">
        <f aca="false">IFERROR($C1284*$E1284,"")</f>
        <v>0.36</v>
      </c>
    </row>
    <row r="1285" customFormat="false" ht="15" hidden="false" customHeight="true" outlineLevel="0" collapsed="false">
      <c r="A1285" s="39" t="s">
        <v>423</v>
      </c>
      <c r="B1285" s="39" t="s">
        <v>257</v>
      </c>
      <c r="C1285" s="39" t="n">
        <v>1</v>
      </c>
      <c r="D1285" s="40" t="str">
        <f aca="false">IFERROR(INDEX(المكونات!$B$2:$B$500,MATCH($B1285,المكونات!$A$2:$A$500,0)),"")</f>
        <v>قطعة (كيس)</v>
      </c>
      <c r="E1285" s="41" t="n">
        <f aca="false">IFERROR(INDEX(المكونات!$C$2:$C$500,MATCH($B1285,المكونات!$A$2:$A$500,0)),"")</f>
        <v>0.9995</v>
      </c>
      <c r="F1285" s="42" t="n">
        <f aca="false">IFERROR($C1285*$E1285,"")</f>
        <v>0.9995</v>
      </c>
    </row>
    <row r="1286" customFormat="false" ht="15" hidden="false" customHeight="true" outlineLevel="0" collapsed="false">
      <c r="A1286" s="39" t="s">
        <v>423</v>
      </c>
      <c r="B1286" s="39" t="s">
        <v>271</v>
      </c>
      <c r="C1286" s="39" t="n">
        <v>0.09</v>
      </c>
      <c r="D1286" s="40" t="str">
        <f aca="false">IFERROR(INDEX(المكونات!$B$2:$B$500,MATCH($B1286,المكونات!$A$2:$A$500,0)),"")</f>
        <v>كجم</v>
      </c>
      <c r="E1286" s="41" t="n">
        <f aca="false">IFERROR(INDEX(المكونات!$C$2:$C$500,MATCH($B1286,المكونات!$A$2:$A$500,0)),"")</f>
        <v>220.02</v>
      </c>
      <c r="F1286" s="42" t="n">
        <f aca="false">IFERROR($C1286*$E1286,"")</f>
        <v>19.8018</v>
      </c>
    </row>
    <row r="1287" customFormat="false" ht="15" hidden="false" customHeight="true" outlineLevel="0" collapsed="false">
      <c r="A1287" s="39" t="s">
        <v>423</v>
      </c>
      <c r="B1287" s="39" t="s">
        <v>273</v>
      </c>
      <c r="C1287" s="39" t="n">
        <v>0.105</v>
      </c>
      <c r="D1287" s="40" t="str">
        <f aca="false">IFERROR(INDEX(المكونات!$B$2:$B$500,MATCH($B1287,المكونات!$A$2:$A$500,0)),"")</f>
        <v>كجم</v>
      </c>
      <c r="E1287" s="41" t="n">
        <f aca="false">IFERROR(INDEX(المكونات!$C$2:$C$500,MATCH($B1287,المكونات!$A$2:$A$500,0)),"")</f>
        <v>219.23</v>
      </c>
      <c r="F1287" s="42" t="n">
        <f aca="false">IFERROR($C1287*$E1287,"")</f>
        <v>23.01915</v>
      </c>
    </row>
    <row r="1288" customFormat="false" ht="15" hidden="false" customHeight="true" outlineLevel="0" collapsed="false">
      <c r="A1288" s="39" t="s">
        <v>446</v>
      </c>
      <c r="B1288" s="39" t="s">
        <v>200</v>
      </c>
      <c r="C1288" s="39" t="n">
        <v>1</v>
      </c>
      <c r="D1288" s="40" t="str">
        <f aca="false">IFERROR(INDEX(المكونات!$B$2:$B$500,MATCH($B1288,المكونات!$A$2:$A$500,0)),"")</f>
        <v>قطعة</v>
      </c>
      <c r="E1288" s="41" t="n">
        <f aca="false">IFERROR(INDEX(المكونات!$C$2:$C$500,MATCH($B1288,المكونات!$A$2:$A$500,0)),"")</f>
        <v>4</v>
      </c>
      <c r="F1288" s="42" t="n">
        <f aca="false">IFERROR($C1288*$E1288,"")</f>
        <v>4</v>
      </c>
    </row>
    <row r="1289" customFormat="false" ht="15" hidden="false" customHeight="true" outlineLevel="0" collapsed="false">
      <c r="A1289" s="39" t="s">
        <v>446</v>
      </c>
      <c r="B1289" s="39" t="s">
        <v>196</v>
      </c>
      <c r="C1289" s="39" t="n">
        <v>0.03</v>
      </c>
      <c r="D1289" s="40" t="str">
        <f aca="false">IFERROR(INDEX(المكونات!$B$2:$B$500,MATCH($B1289,المكونات!$A$2:$A$500,0)),"")</f>
        <v>كجم</v>
      </c>
      <c r="E1289" s="41" t="n">
        <f aca="false">IFERROR(INDEX(المكونات!$C$2:$C$500,MATCH($B1289,المكونات!$A$2:$A$500,0)),"")</f>
        <v>21</v>
      </c>
      <c r="F1289" s="42" t="n">
        <f aca="false">IFERROR($C1289*$E1289,"")</f>
        <v>0.63</v>
      </c>
    </row>
    <row r="1290" customFormat="false" ht="15" hidden="false" customHeight="true" outlineLevel="0" collapsed="false">
      <c r="A1290" s="39" t="s">
        <v>446</v>
      </c>
      <c r="B1290" s="39" t="s">
        <v>219</v>
      </c>
      <c r="C1290" s="39" t="n">
        <v>0.02</v>
      </c>
      <c r="D1290" s="40" t="str">
        <f aca="false">IFERROR(INDEX(المكونات!$B$2:$B$500,MATCH($B1290,المكونات!$A$2:$A$500,0)),"")</f>
        <v>كجم</v>
      </c>
      <c r="E1290" s="41" t="n">
        <f aca="false">IFERROR(INDEX(المكونات!$C$2:$C$500,MATCH($B1290,المكونات!$A$2:$A$500,0)),"")</f>
        <v>27</v>
      </c>
      <c r="F1290" s="42" t="n">
        <f aca="false">IFERROR($C1290*$E1290,"")</f>
        <v>0.54</v>
      </c>
    </row>
    <row r="1291" customFormat="false" ht="15" hidden="false" customHeight="true" outlineLevel="0" collapsed="false">
      <c r="A1291" s="39" t="s">
        <v>446</v>
      </c>
      <c r="B1291" s="39" t="s">
        <v>162</v>
      </c>
      <c r="C1291" s="39" t="n">
        <v>0.02</v>
      </c>
      <c r="D1291" s="40" t="str">
        <f aca="false">IFERROR(INDEX(المكونات!$B$2:$B$500,MATCH($B1291,المكونات!$A$2:$A$500,0)),"")</f>
        <v>كجم</v>
      </c>
      <c r="E1291" s="41" t="n">
        <f aca="false">IFERROR(INDEX(المكونات!$C$2:$C$500,MATCH($B1291,المكونات!$A$2:$A$500,0)),"")</f>
        <v>95</v>
      </c>
      <c r="F1291" s="42" t="n">
        <f aca="false">IFERROR($C1291*$E1291,"")</f>
        <v>1.9</v>
      </c>
    </row>
    <row r="1292" customFormat="false" ht="15" hidden="false" customHeight="true" outlineLevel="0" collapsed="false">
      <c r="A1292" s="39" t="s">
        <v>446</v>
      </c>
      <c r="B1292" s="39" t="s">
        <v>110</v>
      </c>
      <c r="C1292" s="39" t="n">
        <v>1</v>
      </c>
      <c r="D1292" s="40" t="str">
        <f aca="false">IFERROR(INDEX(المكونات!$B$2:$B$500,MATCH($B1292,المكونات!$A$2:$A$500,0)),"")</f>
        <v>قطعة</v>
      </c>
      <c r="E1292" s="41" t="n">
        <f aca="false">IFERROR(INDEX(المكونات!$C$2:$C$500,MATCH($B1292,المكونات!$A$2:$A$500,0)),"")</f>
        <v>17.5</v>
      </c>
      <c r="F1292" s="42" t="n">
        <f aca="false">IFERROR($C1292*$E1292,"")</f>
        <v>17.5</v>
      </c>
    </row>
    <row r="1293" customFormat="false" ht="15" hidden="false" customHeight="true" outlineLevel="0" collapsed="false">
      <c r="A1293" s="39" t="s">
        <v>446</v>
      </c>
      <c r="B1293" s="39" t="s">
        <v>206</v>
      </c>
      <c r="C1293" s="39" t="n">
        <v>1</v>
      </c>
      <c r="D1293" s="40" t="str">
        <f aca="false">IFERROR(INDEX(المكونات!$B$2:$B$500,MATCH($B1293,المكونات!$A$2:$A$500,0)),"")</f>
        <v>قطعة</v>
      </c>
      <c r="E1293" s="41" t="n">
        <f aca="false">IFERROR(INDEX(المكونات!$C$2:$C$500,MATCH($B1293,المكونات!$A$2:$A$500,0)),"")</f>
        <v>4.5</v>
      </c>
      <c r="F1293" s="42" t="n">
        <f aca="false">IFERROR($C1293*$E1293,"")</f>
        <v>4.5</v>
      </c>
    </row>
    <row r="1294" customFormat="false" ht="15" hidden="false" customHeight="true" outlineLevel="0" collapsed="false">
      <c r="A1294" s="39" t="s">
        <v>446</v>
      </c>
      <c r="B1294" s="39" t="s">
        <v>225</v>
      </c>
      <c r="C1294" s="39" t="n">
        <v>2</v>
      </c>
      <c r="D1294" s="40" t="str">
        <f aca="false">IFERROR(INDEX(المكونات!$B$2:$B$500,MATCH($B1294,المكونات!$A$2:$A$500,0)),"")</f>
        <v>قطعة</v>
      </c>
      <c r="E1294" s="41" t="n">
        <f aca="false">IFERROR(INDEX(المكونات!$C$2:$C$500,MATCH($B1294,المكونات!$A$2:$A$500,0)),"")</f>
        <v>0.3</v>
      </c>
      <c r="F1294" s="42" t="n">
        <f aca="false">IFERROR($C1294*$E1294,"")</f>
        <v>0.6</v>
      </c>
    </row>
    <row r="1295" customFormat="false" ht="15" hidden="false" customHeight="true" outlineLevel="0" collapsed="false">
      <c r="A1295" s="39" t="s">
        <v>446</v>
      </c>
      <c r="B1295" s="39" t="s">
        <v>254</v>
      </c>
      <c r="C1295" s="39" t="n">
        <v>1</v>
      </c>
      <c r="D1295" s="40" t="str">
        <f aca="false">IFERROR(INDEX(المكونات!$B$2:$B$500,MATCH($B1295,المكونات!$A$2:$A$500,0)),"")</f>
        <v>قطعة (ورقة)</v>
      </c>
      <c r="E1295" s="41" t="n">
        <f aca="false">IFERROR(INDEX(المكونات!$C$2:$C$500,MATCH($B1295,المكونات!$A$2:$A$500,0)),"")</f>
        <v>0.3665</v>
      </c>
      <c r="F1295" s="42" t="n">
        <f aca="false">IFERROR($C1295*$E1295,"")</f>
        <v>0.3665</v>
      </c>
    </row>
    <row r="1296" customFormat="false" ht="15" hidden="false" customHeight="true" outlineLevel="0" collapsed="false">
      <c r="A1296" s="39" t="s">
        <v>446</v>
      </c>
      <c r="B1296" s="39" t="s">
        <v>67</v>
      </c>
      <c r="C1296" s="39" t="n">
        <v>1</v>
      </c>
      <c r="D1296" s="40" t="str">
        <f aca="false">IFERROR(INDEX(المكونات!$B$2:$B$500,MATCH($B1296,المكونات!$A$2:$A$500,0)),"")</f>
        <v>قطعة (كيس)</v>
      </c>
      <c r="E1296" s="41" t="n">
        <f aca="false">IFERROR(INDEX(المكونات!$C$2:$C$500,MATCH($B1296,المكونات!$A$2:$A$500,0)),"")</f>
        <v>1.4</v>
      </c>
      <c r="F1296" s="42" t="n">
        <f aca="false">IFERROR($C1296*$E1296,"")</f>
        <v>1.4</v>
      </c>
    </row>
    <row r="1297" customFormat="false" ht="15" hidden="false" customHeight="true" outlineLevel="0" collapsed="false">
      <c r="A1297" s="39" t="s">
        <v>446</v>
      </c>
      <c r="B1297" s="39" t="s">
        <v>228</v>
      </c>
      <c r="C1297" s="39" t="n">
        <v>1</v>
      </c>
      <c r="D1297" s="40" t="str">
        <f aca="false">IFERROR(INDEX(المكونات!$B$2:$B$500,MATCH($B1297,المكونات!$A$2:$A$500,0)),"")</f>
        <v>قطعة</v>
      </c>
      <c r="E1297" s="41" t="n">
        <f aca="false">IFERROR(INDEX(المكونات!$C$2:$C$500,MATCH($B1297,المكونات!$A$2:$A$500,0)),"")</f>
        <v>0.5</v>
      </c>
      <c r="F1297" s="42" t="n">
        <f aca="false">IFERROR($C1297*$E1297,"")</f>
        <v>0.5</v>
      </c>
    </row>
    <row r="1298" customFormat="false" ht="15" hidden="false" customHeight="true" outlineLevel="0" collapsed="false">
      <c r="A1298" s="39" t="s">
        <v>446</v>
      </c>
      <c r="B1298" s="39" t="s">
        <v>145</v>
      </c>
      <c r="C1298" s="39" t="n">
        <v>2</v>
      </c>
      <c r="D1298" s="40" t="str">
        <f aca="false">IFERROR(INDEX(المكونات!$B$2:$B$500,MATCH($B1298,المكونات!$A$2:$A$500,0)),"")</f>
        <v>قطعة (جلفز)</v>
      </c>
      <c r="E1298" s="41" t="n">
        <f aca="false">IFERROR(INDEX(المكونات!$C$2:$C$500,MATCH($B1298,المكونات!$A$2:$A$500,0)),"")</f>
        <v>0.18</v>
      </c>
      <c r="F1298" s="42" t="n">
        <f aca="false">IFERROR($C1298*$E1298,"")</f>
        <v>0.36</v>
      </c>
    </row>
    <row r="1299" customFormat="false" ht="15" hidden="false" customHeight="true" outlineLevel="0" collapsed="false">
      <c r="A1299" s="39" t="s">
        <v>446</v>
      </c>
      <c r="B1299" s="39" t="s">
        <v>257</v>
      </c>
      <c r="C1299" s="39" t="n">
        <v>1</v>
      </c>
      <c r="D1299" s="40" t="str">
        <f aca="false">IFERROR(INDEX(المكونات!$B$2:$B$500,MATCH($B1299,المكونات!$A$2:$A$500,0)),"")</f>
        <v>قطعة (كيس)</v>
      </c>
      <c r="E1299" s="41" t="n">
        <f aca="false">IFERROR(INDEX(المكونات!$C$2:$C$500,MATCH($B1299,المكونات!$A$2:$A$500,0)),"")</f>
        <v>0.9995</v>
      </c>
      <c r="F1299" s="42" t="n">
        <f aca="false">IFERROR($C1299*$E1299,"")</f>
        <v>0.9995</v>
      </c>
    </row>
    <row r="1300" customFormat="false" ht="15" hidden="false" customHeight="true" outlineLevel="0" collapsed="false">
      <c r="A1300" s="39" t="s">
        <v>446</v>
      </c>
      <c r="B1300" s="39" t="s">
        <v>141</v>
      </c>
      <c r="C1300" s="39" t="n">
        <v>0.1</v>
      </c>
      <c r="D1300" s="40" t="str">
        <f aca="false">IFERROR(INDEX(المكونات!$B$2:$B$500,MATCH($B1300,المكونات!$A$2:$A$500,0)),"")</f>
        <v>كجم</v>
      </c>
      <c r="E1300" s="41" t="n">
        <f aca="false">IFERROR(INDEX(المكونات!$C$2:$C$500,MATCH($B1300,المكونات!$A$2:$A$500,0)),"")</f>
        <v>105</v>
      </c>
      <c r="F1300" s="42" t="n">
        <f aca="false">IFERROR($C1300*$E1300,"")</f>
        <v>10.5</v>
      </c>
    </row>
    <row r="1301" customFormat="false" ht="15" hidden="false" customHeight="true" outlineLevel="0" collapsed="false">
      <c r="A1301" s="39" t="s">
        <v>415</v>
      </c>
      <c r="B1301" s="39" t="s">
        <v>200</v>
      </c>
      <c r="C1301" s="39" t="n">
        <v>1.5</v>
      </c>
      <c r="D1301" s="40" t="str">
        <f aca="false">IFERROR(INDEX(المكونات!$B$2:$B$500,MATCH($B1301,المكونات!$A$2:$A$500,0)),"")</f>
        <v>قطعة</v>
      </c>
      <c r="E1301" s="41" t="n">
        <f aca="false">IFERROR(INDEX(المكونات!$C$2:$C$500,MATCH($B1301,المكونات!$A$2:$A$500,0)),"")</f>
        <v>4</v>
      </c>
      <c r="F1301" s="42" t="n">
        <f aca="false">IFERROR($C1301*$E1301,"")</f>
        <v>6</v>
      </c>
    </row>
    <row r="1302" customFormat="false" ht="15" hidden="false" customHeight="true" outlineLevel="0" collapsed="false">
      <c r="A1302" s="39" t="s">
        <v>415</v>
      </c>
      <c r="B1302" s="39" t="s">
        <v>196</v>
      </c>
      <c r="C1302" s="39" t="n">
        <v>0.045</v>
      </c>
      <c r="D1302" s="40" t="str">
        <f aca="false">IFERROR(INDEX(المكونات!$B$2:$B$500,MATCH($B1302,المكونات!$A$2:$A$500,0)),"")</f>
        <v>كجم</v>
      </c>
      <c r="E1302" s="41" t="n">
        <f aca="false">IFERROR(INDEX(المكونات!$C$2:$C$500,MATCH($B1302,المكونات!$A$2:$A$500,0)),"")</f>
        <v>21</v>
      </c>
      <c r="F1302" s="42" t="n">
        <f aca="false">IFERROR($C1302*$E1302,"")</f>
        <v>0.945</v>
      </c>
    </row>
    <row r="1303" customFormat="false" ht="15" hidden="false" customHeight="true" outlineLevel="0" collapsed="false">
      <c r="A1303" s="39" t="s">
        <v>415</v>
      </c>
      <c r="B1303" s="39" t="s">
        <v>219</v>
      </c>
      <c r="C1303" s="39" t="n">
        <v>0.03</v>
      </c>
      <c r="D1303" s="40" t="str">
        <f aca="false">IFERROR(INDEX(المكونات!$B$2:$B$500,MATCH($B1303,المكونات!$A$2:$A$500,0)),"")</f>
        <v>كجم</v>
      </c>
      <c r="E1303" s="41" t="n">
        <f aca="false">IFERROR(INDEX(المكونات!$C$2:$C$500,MATCH($B1303,المكونات!$A$2:$A$500,0)),"")</f>
        <v>27</v>
      </c>
      <c r="F1303" s="42" t="n">
        <f aca="false">IFERROR($C1303*$E1303,"")</f>
        <v>0.81</v>
      </c>
    </row>
    <row r="1304" customFormat="false" ht="15" hidden="false" customHeight="true" outlineLevel="0" collapsed="false">
      <c r="A1304" s="39" t="s">
        <v>415</v>
      </c>
      <c r="B1304" s="39" t="s">
        <v>162</v>
      </c>
      <c r="C1304" s="39" t="n">
        <v>0.03</v>
      </c>
      <c r="D1304" s="40" t="str">
        <f aca="false">IFERROR(INDEX(المكونات!$B$2:$B$500,MATCH($B1304,المكونات!$A$2:$A$500,0)),"")</f>
        <v>كجم</v>
      </c>
      <c r="E1304" s="41" t="n">
        <f aca="false">IFERROR(INDEX(المكونات!$C$2:$C$500,MATCH($B1304,المكونات!$A$2:$A$500,0)),"")</f>
        <v>95</v>
      </c>
      <c r="F1304" s="42" t="n">
        <f aca="false">IFERROR($C1304*$E1304,"")</f>
        <v>2.85</v>
      </c>
    </row>
    <row r="1305" customFormat="false" ht="15" hidden="false" customHeight="true" outlineLevel="0" collapsed="false">
      <c r="A1305" s="39" t="s">
        <v>415</v>
      </c>
      <c r="B1305" s="39" t="s">
        <v>112</v>
      </c>
      <c r="C1305" s="39" t="n">
        <v>1</v>
      </c>
      <c r="D1305" s="40" t="str">
        <f aca="false">IFERROR(INDEX(المكونات!$B$2:$B$500,MATCH($B1305,المكونات!$A$2:$A$500,0)),"")</f>
        <v>قطعة</v>
      </c>
      <c r="E1305" s="41" t="n">
        <f aca="false">IFERROR(INDEX(المكونات!$C$2:$C$500,MATCH($B1305,المكونات!$A$2:$A$500,0)),"")</f>
        <v>25</v>
      </c>
      <c r="F1305" s="42" t="n">
        <f aca="false">IFERROR($C1305*$E1305,"")</f>
        <v>25</v>
      </c>
    </row>
    <row r="1306" customFormat="false" ht="15" hidden="false" customHeight="true" outlineLevel="0" collapsed="false">
      <c r="A1306" s="39" t="s">
        <v>415</v>
      </c>
      <c r="B1306" s="39" t="s">
        <v>204</v>
      </c>
      <c r="C1306" s="39" t="n">
        <v>1</v>
      </c>
      <c r="D1306" s="40" t="str">
        <f aca="false">IFERROR(INDEX(المكونات!$B$2:$B$500,MATCH($B1306,المكونات!$A$2:$A$500,0)),"")</f>
        <v>قطعة</v>
      </c>
      <c r="E1306" s="41" t="n">
        <f aca="false">IFERROR(INDEX(المكونات!$C$2:$C$500,MATCH($B1306,المكونات!$A$2:$A$500,0)),"")</f>
        <v>5.5</v>
      </c>
      <c r="F1306" s="42" t="n">
        <f aca="false">IFERROR($C1306*$E1306,"")</f>
        <v>5.5</v>
      </c>
    </row>
    <row r="1307" customFormat="false" ht="15" hidden="false" customHeight="true" outlineLevel="0" collapsed="false">
      <c r="A1307" s="39" t="s">
        <v>415</v>
      </c>
      <c r="B1307" s="39" t="s">
        <v>225</v>
      </c>
      <c r="C1307" s="39" t="n">
        <v>3</v>
      </c>
      <c r="D1307" s="40" t="str">
        <f aca="false">IFERROR(INDEX(المكونات!$B$2:$B$500,MATCH($B1307,المكونات!$A$2:$A$500,0)),"")</f>
        <v>قطعة</v>
      </c>
      <c r="E1307" s="41" t="n">
        <f aca="false">IFERROR(INDEX(المكونات!$C$2:$C$500,MATCH($B1307,المكونات!$A$2:$A$500,0)),"")</f>
        <v>0.3</v>
      </c>
      <c r="F1307" s="42" t="n">
        <f aca="false">IFERROR($C1307*$E1307,"")</f>
        <v>0.9</v>
      </c>
    </row>
    <row r="1308" customFormat="false" ht="15" hidden="false" customHeight="true" outlineLevel="0" collapsed="false">
      <c r="A1308" s="39" t="s">
        <v>415</v>
      </c>
      <c r="B1308" s="39" t="s">
        <v>254</v>
      </c>
      <c r="C1308" s="39" t="n">
        <v>1</v>
      </c>
      <c r="D1308" s="40" t="str">
        <f aca="false">IFERROR(INDEX(المكونات!$B$2:$B$500,MATCH($B1308,المكونات!$A$2:$A$500,0)),"")</f>
        <v>قطعة (ورقة)</v>
      </c>
      <c r="E1308" s="41" t="n">
        <f aca="false">IFERROR(INDEX(المكونات!$C$2:$C$500,MATCH($B1308,المكونات!$A$2:$A$500,0)),"")</f>
        <v>0.3665</v>
      </c>
      <c r="F1308" s="42" t="n">
        <f aca="false">IFERROR($C1308*$E1308,"")</f>
        <v>0.3665</v>
      </c>
    </row>
    <row r="1309" customFormat="false" ht="15" hidden="false" customHeight="true" outlineLevel="0" collapsed="false">
      <c r="A1309" s="39" t="s">
        <v>415</v>
      </c>
      <c r="B1309" s="39" t="s">
        <v>67</v>
      </c>
      <c r="C1309" s="39" t="n">
        <v>1</v>
      </c>
      <c r="D1309" s="40" t="str">
        <f aca="false">IFERROR(INDEX(المكونات!$B$2:$B$500,MATCH($B1309,المكونات!$A$2:$A$500,0)),"")</f>
        <v>قطعة (كيس)</v>
      </c>
      <c r="E1309" s="41" t="n">
        <f aca="false">IFERROR(INDEX(المكونات!$C$2:$C$500,MATCH($B1309,المكونات!$A$2:$A$500,0)),"")</f>
        <v>1.4</v>
      </c>
      <c r="F1309" s="42" t="n">
        <f aca="false">IFERROR($C1309*$E1309,"")</f>
        <v>1.4</v>
      </c>
    </row>
    <row r="1310" customFormat="false" ht="15" hidden="false" customHeight="true" outlineLevel="0" collapsed="false">
      <c r="A1310" s="39" t="s">
        <v>415</v>
      </c>
      <c r="B1310" s="39" t="s">
        <v>228</v>
      </c>
      <c r="C1310" s="39" t="n">
        <v>1</v>
      </c>
      <c r="D1310" s="40" t="str">
        <f aca="false">IFERROR(INDEX(المكونات!$B$2:$B$500,MATCH($B1310,المكونات!$A$2:$A$500,0)),"")</f>
        <v>قطعة</v>
      </c>
      <c r="E1310" s="41" t="n">
        <f aca="false">IFERROR(INDEX(المكونات!$C$2:$C$500,MATCH($B1310,المكونات!$A$2:$A$500,0)),"")</f>
        <v>0.5</v>
      </c>
      <c r="F1310" s="42" t="n">
        <f aca="false">IFERROR($C1310*$E1310,"")</f>
        <v>0.5</v>
      </c>
    </row>
    <row r="1311" customFormat="false" ht="15" hidden="false" customHeight="true" outlineLevel="0" collapsed="false">
      <c r="A1311" s="39" t="s">
        <v>415</v>
      </c>
      <c r="B1311" s="39" t="s">
        <v>145</v>
      </c>
      <c r="C1311" s="39" t="n">
        <v>2</v>
      </c>
      <c r="D1311" s="40" t="str">
        <f aca="false">IFERROR(INDEX(المكونات!$B$2:$B$500,MATCH($B1311,المكونات!$A$2:$A$500,0)),"")</f>
        <v>قطعة (جلفز)</v>
      </c>
      <c r="E1311" s="41" t="n">
        <f aca="false">IFERROR(INDEX(المكونات!$C$2:$C$500,MATCH($B1311,المكونات!$A$2:$A$500,0)),"")</f>
        <v>0.18</v>
      </c>
      <c r="F1311" s="42" t="n">
        <f aca="false">IFERROR($C1311*$E1311,"")</f>
        <v>0.36</v>
      </c>
    </row>
    <row r="1312" customFormat="false" ht="15" hidden="false" customHeight="true" outlineLevel="0" collapsed="false">
      <c r="A1312" s="39" t="s">
        <v>415</v>
      </c>
      <c r="B1312" s="39" t="s">
        <v>257</v>
      </c>
      <c r="C1312" s="39" t="n">
        <v>1</v>
      </c>
      <c r="D1312" s="40" t="str">
        <f aca="false">IFERROR(INDEX(المكونات!$B$2:$B$500,MATCH($B1312,المكونات!$A$2:$A$500,0)),"")</f>
        <v>قطعة (كيس)</v>
      </c>
      <c r="E1312" s="41" t="n">
        <f aca="false">IFERROR(INDEX(المكونات!$C$2:$C$500,MATCH($B1312,المكونات!$A$2:$A$500,0)),"")</f>
        <v>0.9995</v>
      </c>
      <c r="F1312" s="42" t="n">
        <f aca="false">IFERROR($C1312*$E1312,"")</f>
        <v>0.9995</v>
      </c>
    </row>
    <row r="1313" customFormat="false" ht="15" hidden="false" customHeight="true" outlineLevel="0" collapsed="false">
      <c r="A1313" s="39" t="s">
        <v>415</v>
      </c>
      <c r="B1313" s="39" t="s">
        <v>141</v>
      </c>
      <c r="C1313" s="39" t="n">
        <v>0.15</v>
      </c>
      <c r="D1313" s="40" t="str">
        <f aca="false">IFERROR(INDEX(المكونات!$B$2:$B$500,MATCH($B1313,المكونات!$A$2:$A$500,0)),"")</f>
        <v>كجم</v>
      </c>
      <c r="E1313" s="41" t="n">
        <f aca="false">IFERROR(INDEX(المكونات!$C$2:$C$500,MATCH($B1313,المكونات!$A$2:$A$500,0)),"")</f>
        <v>105</v>
      </c>
      <c r="F1313" s="42" t="n">
        <f aca="false">IFERROR($C1313*$E1313,"")</f>
        <v>15.75</v>
      </c>
    </row>
    <row r="1314" customFormat="false" ht="15" hidden="false" customHeight="true" outlineLevel="0" collapsed="false">
      <c r="A1314" s="39" t="s">
        <v>349</v>
      </c>
      <c r="B1314" s="39" t="s">
        <v>200</v>
      </c>
      <c r="C1314" s="39" t="n">
        <v>1</v>
      </c>
      <c r="D1314" s="40" t="str">
        <f aca="false">IFERROR(INDEX(المكونات!$B$2:$B$500,MATCH($B1314,المكونات!$A$2:$A$500,0)),"")</f>
        <v>قطعة</v>
      </c>
      <c r="E1314" s="41" t="n">
        <f aca="false">IFERROR(INDEX(المكونات!$C$2:$C$500,MATCH($B1314,المكونات!$A$2:$A$500,0)),"")</f>
        <v>4</v>
      </c>
      <c r="F1314" s="42" t="n">
        <f aca="false">IFERROR($C1314*$E1314,"")</f>
        <v>4</v>
      </c>
    </row>
    <row r="1315" customFormat="false" ht="15" hidden="false" customHeight="true" outlineLevel="0" collapsed="false">
      <c r="A1315" s="39" t="s">
        <v>349</v>
      </c>
      <c r="B1315" s="39" t="s">
        <v>196</v>
      </c>
      <c r="C1315" s="39" t="n">
        <v>0.03</v>
      </c>
      <c r="D1315" s="40" t="str">
        <f aca="false">IFERROR(INDEX(المكونات!$B$2:$B$500,MATCH($B1315,المكونات!$A$2:$A$500,0)),"")</f>
        <v>كجم</v>
      </c>
      <c r="E1315" s="41" t="n">
        <f aca="false">IFERROR(INDEX(المكونات!$C$2:$C$500,MATCH($B1315,المكونات!$A$2:$A$500,0)),"")</f>
        <v>21</v>
      </c>
      <c r="F1315" s="42" t="n">
        <f aca="false">IFERROR($C1315*$E1315,"")</f>
        <v>0.63</v>
      </c>
    </row>
    <row r="1316" customFormat="false" ht="15" hidden="false" customHeight="true" outlineLevel="0" collapsed="false">
      <c r="A1316" s="39" t="s">
        <v>349</v>
      </c>
      <c r="B1316" s="39" t="s">
        <v>219</v>
      </c>
      <c r="C1316" s="39" t="n">
        <v>0.02</v>
      </c>
      <c r="D1316" s="40" t="str">
        <f aca="false">IFERROR(INDEX(المكونات!$B$2:$B$500,MATCH($B1316,المكونات!$A$2:$A$500,0)),"")</f>
        <v>كجم</v>
      </c>
      <c r="E1316" s="41" t="n">
        <f aca="false">IFERROR(INDEX(المكونات!$C$2:$C$500,MATCH($B1316,المكونات!$A$2:$A$500,0)),"")</f>
        <v>27</v>
      </c>
      <c r="F1316" s="42" t="n">
        <f aca="false">IFERROR($C1316*$E1316,"")</f>
        <v>0.54</v>
      </c>
    </row>
    <row r="1317" customFormat="false" ht="15" hidden="false" customHeight="true" outlineLevel="0" collapsed="false">
      <c r="A1317" s="39" t="s">
        <v>349</v>
      </c>
      <c r="B1317" s="39" t="s">
        <v>162</v>
      </c>
      <c r="C1317" s="39" t="n">
        <v>0.02</v>
      </c>
      <c r="D1317" s="40" t="str">
        <f aca="false">IFERROR(INDEX(المكونات!$B$2:$B$500,MATCH($B1317,المكونات!$A$2:$A$500,0)),"")</f>
        <v>كجم</v>
      </c>
      <c r="E1317" s="41" t="n">
        <f aca="false">IFERROR(INDEX(المكونات!$C$2:$C$500,MATCH($B1317,المكونات!$A$2:$A$500,0)),"")</f>
        <v>95</v>
      </c>
      <c r="F1317" s="42" t="n">
        <f aca="false">IFERROR($C1317*$E1317,"")</f>
        <v>1.9</v>
      </c>
    </row>
    <row r="1318" customFormat="false" ht="15" hidden="false" customHeight="true" outlineLevel="0" collapsed="false">
      <c r="A1318" s="39" t="s">
        <v>349</v>
      </c>
      <c r="B1318" s="39" t="s">
        <v>110</v>
      </c>
      <c r="C1318" s="39" t="n">
        <v>1</v>
      </c>
      <c r="D1318" s="40" t="str">
        <f aca="false">IFERROR(INDEX(المكونات!$B$2:$B$500,MATCH($B1318,المكونات!$A$2:$A$500,0)),"")</f>
        <v>قطعة</v>
      </c>
      <c r="E1318" s="41" t="n">
        <f aca="false">IFERROR(INDEX(المكونات!$C$2:$C$500,MATCH($B1318,المكونات!$A$2:$A$500,0)),"")</f>
        <v>17.5</v>
      </c>
      <c r="F1318" s="42" t="n">
        <f aca="false">IFERROR($C1318*$E1318,"")</f>
        <v>17.5</v>
      </c>
    </row>
    <row r="1319" customFormat="false" ht="15" hidden="false" customHeight="true" outlineLevel="0" collapsed="false">
      <c r="A1319" s="39" t="s">
        <v>349</v>
      </c>
      <c r="B1319" s="39" t="s">
        <v>206</v>
      </c>
      <c r="C1319" s="39" t="n">
        <v>1</v>
      </c>
      <c r="D1319" s="40" t="str">
        <f aca="false">IFERROR(INDEX(المكونات!$B$2:$B$500,MATCH($B1319,المكونات!$A$2:$A$500,0)),"")</f>
        <v>قطعة</v>
      </c>
      <c r="E1319" s="41" t="n">
        <f aca="false">IFERROR(INDEX(المكونات!$C$2:$C$500,MATCH($B1319,المكونات!$A$2:$A$500,0)),"")</f>
        <v>4.5</v>
      </c>
      <c r="F1319" s="42" t="n">
        <f aca="false">IFERROR($C1319*$E1319,"")</f>
        <v>4.5</v>
      </c>
    </row>
    <row r="1320" customFormat="false" ht="15" hidden="false" customHeight="true" outlineLevel="0" collapsed="false">
      <c r="A1320" s="39" t="s">
        <v>349</v>
      </c>
      <c r="B1320" s="39" t="s">
        <v>225</v>
      </c>
      <c r="C1320" s="39" t="n">
        <v>2</v>
      </c>
      <c r="D1320" s="40" t="str">
        <f aca="false">IFERROR(INDEX(المكونات!$B$2:$B$500,MATCH($B1320,المكونات!$A$2:$A$500,0)),"")</f>
        <v>قطعة</v>
      </c>
      <c r="E1320" s="41" t="n">
        <f aca="false">IFERROR(INDEX(المكونات!$C$2:$C$500,MATCH($B1320,المكونات!$A$2:$A$500,0)),"")</f>
        <v>0.3</v>
      </c>
      <c r="F1320" s="42" t="n">
        <f aca="false">IFERROR($C1320*$E1320,"")</f>
        <v>0.6</v>
      </c>
    </row>
    <row r="1321" customFormat="false" ht="15" hidden="false" customHeight="true" outlineLevel="0" collapsed="false">
      <c r="A1321" s="39" t="s">
        <v>349</v>
      </c>
      <c r="B1321" s="39" t="s">
        <v>254</v>
      </c>
      <c r="C1321" s="39" t="n">
        <v>1</v>
      </c>
      <c r="D1321" s="40" t="str">
        <f aca="false">IFERROR(INDEX(المكونات!$B$2:$B$500,MATCH($B1321,المكونات!$A$2:$A$500,0)),"")</f>
        <v>قطعة (ورقة)</v>
      </c>
      <c r="E1321" s="41" t="n">
        <f aca="false">IFERROR(INDEX(المكونات!$C$2:$C$500,MATCH($B1321,المكونات!$A$2:$A$500,0)),"")</f>
        <v>0.3665</v>
      </c>
      <c r="F1321" s="42" t="n">
        <f aca="false">IFERROR($C1321*$E1321,"")</f>
        <v>0.3665</v>
      </c>
    </row>
    <row r="1322" customFormat="false" ht="15" hidden="false" customHeight="true" outlineLevel="0" collapsed="false">
      <c r="A1322" s="39" t="s">
        <v>349</v>
      </c>
      <c r="B1322" s="39" t="s">
        <v>67</v>
      </c>
      <c r="C1322" s="39" t="n">
        <v>1</v>
      </c>
      <c r="D1322" s="40" t="str">
        <f aca="false">IFERROR(INDEX(المكونات!$B$2:$B$500,MATCH($B1322,المكونات!$A$2:$A$500,0)),"")</f>
        <v>قطعة (كيس)</v>
      </c>
      <c r="E1322" s="41" t="n">
        <f aca="false">IFERROR(INDEX(المكونات!$C$2:$C$500,MATCH($B1322,المكونات!$A$2:$A$500,0)),"")</f>
        <v>1.4</v>
      </c>
      <c r="F1322" s="42" t="n">
        <f aca="false">IFERROR($C1322*$E1322,"")</f>
        <v>1.4</v>
      </c>
    </row>
    <row r="1323" customFormat="false" ht="15" hidden="false" customHeight="true" outlineLevel="0" collapsed="false">
      <c r="A1323" s="39" t="s">
        <v>349</v>
      </c>
      <c r="B1323" s="39" t="s">
        <v>228</v>
      </c>
      <c r="C1323" s="39" t="n">
        <v>1</v>
      </c>
      <c r="D1323" s="40" t="str">
        <f aca="false">IFERROR(INDEX(المكونات!$B$2:$B$500,MATCH($B1323,المكونات!$A$2:$A$500,0)),"")</f>
        <v>قطعة</v>
      </c>
      <c r="E1323" s="41" t="n">
        <f aca="false">IFERROR(INDEX(المكونات!$C$2:$C$500,MATCH($B1323,المكونات!$A$2:$A$500,0)),"")</f>
        <v>0.5</v>
      </c>
      <c r="F1323" s="42" t="n">
        <f aca="false">IFERROR($C1323*$E1323,"")</f>
        <v>0.5</v>
      </c>
    </row>
    <row r="1324" customFormat="false" ht="15" hidden="false" customHeight="true" outlineLevel="0" collapsed="false">
      <c r="A1324" s="39" t="s">
        <v>349</v>
      </c>
      <c r="B1324" s="39" t="s">
        <v>145</v>
      </c>
      <c r="C1324" s="39" t="n">
        <v>2</v>
      </c>
      <c r="D1324" s="40" t="str">
        <f aca="false">IFERROR(INDEX(المكونات!$B$2:$B$500,MATCH($B1324,المكونات!$A$2:$A$500,0)),"")</f>
        <v>قطعة (جلفز)</v>
      </c>
      <c r="E1324" s="41" t="n">
        <f aca="false">IFERROR(INDEX(المكونات!$C$2:$C$500,MATCH($B1324,المكونات!$A$2:$A$500,0)),"")</f>
        <v>0.18</v>
      </c>
      <c r="F1324" s="42" t="n">
        <f aca="false">IFERROR($C1324*$E1324,"")</f>
        <v>0.36</v>
      </c>
    </row>
    <row r="1325" customFormat="false" ht="15" hidden="false" customHeight="true" outlineLevel="0" collapsed="false">
      <c r="A1325" s="39" t="s">
        <v>349</v>
      </c>
      <c r="B1325" s="39" t="s">
        <v>257</v>
      </c>
      <c r="C1325" s="39" t="n">
        <v>1</v>
      </c>
      <c r="D1325" s="40" t="str">
        <f aca="false">IFERROR(INDEX(المكونات!$B$2:$B$500,MATCH($B1325,المكونات!$A$2:$A$500,0)),"")</f>
        <v>قطعة (كيس)</v>
      </c>
      <c r="E1325" s="41" t="n">
        <f aca="false">IFERROR(INDEX(المكونات!$C$2:$C$500,MATCH($B1325,المكونات!$A$2:$A$500,0)),"")</f>
        <v>0.9995</v>
      </c>
      <c r="F1325" s="42" t="n">
        <f aca="false">IFERROR($C1325*$E1325,"")</f>
        <v>0.9995</v>
      </c>
    </row>
    <row r="1326" customFormat="false" ht="15" hidden="false" customHeight="true" outlineLevel="0" collapsed="false">
      <c r="A1326" s="39" t="s">
        <v>349</v>
      </c>
      <c r="B1326" s="39" t="s">
        <v>217</v>
      </c>
      <c r="C1326" s="39" t="n">
        <v>0.14</v>
      </c>
      <c r="D1326" s="40" t="str">
        <f aca="false">IFERROR(INDEX(المكونات!$B$2:$B$500,MATCH($B1326,المكونات!$A$2:$A$500,0)),"")</f>
        <v>كجم</v>
      </c>
      <c r="E1326" s="41" t="n">
        <f aca="false">IFERROR(INDEX(المكونات!$C$2:$C$500,MATCH($B1326,المكونات!$A$2:$A$500,0)),"")</f>
        <v>150</v>
      </c>
      <c r="F1326" s="42" t="n">
        <f aca="false">IFERROR($C1326*$E1326,"")</f>
        <v>21</v>
      </c>
    </row>
    <row r="1327" customFormat="false" ht="15" hidden="false" customHeight="true" outlineLevel="0" collapsed="false">
      <c r="A1327" s="39" t="s">
        <v>349</v>
      </c>
      <c r="B1327" s="39" t="s">
        <v>188</v>
      </c>
      <c r="C1327" s="39" t="n">
        <v>0.1</v>
      </c>
      <c r="D1327" s="40" t="str">
        <f aca="false">IFERROR(INDEX(المكونات!$B$2:$B$500,MATCH($B1327,المكونات!$A$2:$A$500,0)),"")</f>
        <v>كجم</v>
      </c>
      <c r="E1327" s="41" t="n">
        <f aca="false">IFERROR(INDEX(المكونات!$C$2:$C$500,MATCH($B1327,المكونات!$A$2:$A$500,0)),"")</f>
        <v>70</v>
      </c>
      <c r="F1327" s="42" t="n">
        <f aca="false">IFERROR($C1327*$E1327,"")</f>
        <v>7</v>
      </c>
    </row>
    <row r="1328" customFormat="false" ht="15" hidden="false" customHeight="true" outlineLevel="0" collapsed="false">
      <c r="A1328" s="39" t="s">
        <v>350</v>
      </c>
      <c r="B1328" s="39" t="s">
        <v>200</v>
      </c>
      <c r="C1328" s="39" t="n">
        <v>1.5</v>
      </c>
      <c r="D1328" s="40" t="str">
        <f aca="false">IFERROR(INDEX(المكونات!$B$2:$B$500,MATCH($B1328,المكونات!$A$2:$A$500,0)),"")</f>
        <v>قطعة</v>
      </c>
      <c r="E1328" s="41" t="n">
        <f aca="false">IFERROR(INDEX(المكونات!$C$2:$C$500,MATCH($B1328,المكونات!$A$2:$A$500,0)),"")</f>
        <v>4</v>
      </c>
      <c r="F1328" s="42" t="n">
        <f aca="false">IFERROR($C1328*$E1328,"")</f>
        <v>6</v>
      </c>
    </row>
    <row r="1329" customFormat="false" ht="15" hidden="false" customHeight="true" outlineLevel="0" collapsed="false">
      <c r="A1329" s="39" t="s">
        <v>350</v>
      </c>
      <c r="B1329" s="39" t="s">
        <v>196</v>
      </c>
      <c r="C1329" s="39" t="n">
        <v>0.045</v>
      </c>
      <c r="D1329" s="40" t="str">
        <f aca="false">IFERROR(INDEX(المكونات!$B$2:$B$500,MATCH($B1329,المكونات!$A$2:$A$500,0)),"")</f>
        <v>كجم</v>
      </c>
      <c r="E1329" s="41" t="n">
        <f aca="false">IFERROR(INDEX(المكونات!$C$2:$C$500,MATCH($B1329,المكونات!$A$2:$A$500,0)),"")</f>
        <v>21</v>
      </c>
      <c r="F1329" s="42" t="n">
        <f aca="false">IFERROR($C1329*$E1329,"")</f>
        <v>0.945</v>
      </c>
    </row>
    <row r="1330" customFormat="false" ht="15" hidden="false" customHeight="true" outlineLevel="0" collapsed="false">
      <c r="A1330" s="39" t="s">
        <v>350</v>
      </c>
      <c r="B1330" s="39" t="s">
        <v>219</v>
      </c>
      <c r="C1330" s="39" t="n">
        <v>0.03</v>
      </c>
      <c r="D1330" s="40" t="str">
        <f aca="false">IFERROR(INDEX(المكونات!$B$2:$B$500,MATCH($B1330,المكونات!$A$2:$A$500,0)),"")</f>
        <v>كجم</v>
      </c>
      <c r="E1330" s="41" t="n">
        <f aca="false">IFERROR(INDEX(المكونات!$C$2:$C$500,MATCH($B1330,المكونات!$A$2:$A$500,0)),"")</f>
        <v>27</v>
      </c>
      <c r="F1330" s="42" t="n">
        <f aca="false">IFERROR($C1330*$E1330,"")</f>
        <v>0.81</v>
      </c>
    </row>
    <row r="1331" customFormat="false" ht="15" hidden="false" customHeight="true" outlineLevel="0" collapsed="false">
      <c r="A1331" s="39" t="s">
        <v>350</v>
      </c>
      <c r="B1331" s="39" t="s">
        <v>162</v>
      </c>
      <c r="C1331" s="39" t="n">
        <v>0.03</v>
      </c>
      <c r="D1331" s="40" t="str">
        <f aca="false">IFERROR(INDEX(المكونات!$B$2:$B$500,MATCH($B1331,المكونات!$A$2:$A$500,0)),"")</f>
        <v>كجم</v>
      </c>
      <c r="E1331" s="41" t="n">
        <f aca="false">IFERROR(INDEX(المكونات!$C$2:$C$500,MATCH($B1331,المكونات!$A$2:$A$500,0)),"")</f>
        <v>95</v>
      </c>
      <c r="F1331" s="42" t="n">
        <f aca="false">IFERROR($C1331*$E1331,"")</f>
        <v>2.85</v>
      </c>
    </row>
    <row r="1332" customFormat="false" ht="15" hidden="false" customHeight="true" outlineLevel="0" collapsed="false">
      <c r="A1332" s="39" t="s">
        <v>350</v>
      </c>
      <c r="B1332" s="39" t="s">
        <v>112</v>
      </c>
      <c r="C1332" s="39" t="n">
        <v>1</v>
      </c>
      <c r="D1332" s="40" t="str">
        <f aca="false">IFERROR(INDEX(المكونات!$B$2:$B$500,MATCH($B1332,المكونات!$A$2:$A$500,0)),"")</f>
        <v>قطعة</v>
      </c>
      <c r="E1332" s="41" t="n">
        <f aca="false">IFERROR(INDEX(المكونات!$C$2:$C$500,MATCH($B1332,المكونات!$A$2:$A$500,0)),"")</f>
        <v>25</v>
      </c>
      <c r="F1332" s="42" t="n">
        <f aca="false">IFERROR($C1332*$E1332,"")</f>
        <v>25</v>
      </c>
    </row>
    <row r="1333" customFormat="false" ht="15" hidden="false" customHeight="true" outlineLevel="0" collapsed="false">
      <c r="A1333" s="39" t="s">
        <v>350</v>
      </c>
      <c r="B1333" s="39" t="s">
        <v>204</v>
      </c>
      <c r="C1333" s="39" t="n">
        <v>1</v>
      </c>
      <c r="D1333" s="40" t="str">
        <f aca="false">IFERROR(INDEX(المكونات!$B$2:$B$500,MATCH($B1333,المكونات!$A$2:$A$500,0)),"")</f>
        <v>قطعة</v>
      </c>
      <c r="E1333" s="41" t="n">
        <f aca="false">IFERROR(INDEX(المكونات!$C$2:$C$500,MATCH($B1333,المكونات!$A$2:$A$500,0)),"")</f>
        <v>5.5</v>
      </c>
      <c r="F1333" s="42" t="n">
        <f aca="false">IFERROR($C1333*$E1333,"")</f>
        <v>5.5</v>
      </c>
    </row>
    <row r="1334" customFormat="false" ht="15" hidden="false" customHeight="true" outlineLevel="0" collapsed="false">
      <c r="A1334" s="39" t="s">
        <v>350</v>
      </c>
      <c r="B1334" s="39" t="s">
        <v>225</v>
      </c>
      <c r="C1334" s="39" t="n">
        <v>3</v>
      </c>
      <c r="D1334" s="40" t="str">
        <f aca="false">IFERROR(INDEX(المكونات!$B$2:$B$500,MATCH($B1334,المكونات!$A$2:$A$500,0)),"")</f>
        <v>قطعة</v>
      </c>
      <c r="E1334" s="41" t="n">
        <f aca="false">IFERROR(INDEX(المكونات!$C$2:$C$500,MATCH($B1334,المكونات!$A$2:$A$500,0)),"")</f>
        <v>0.3</v>
      </c>
      <c r="F1334" s="42" t="n">
        <f aca="false">IFERROR($C1334*$E1334,"")</f>
        <v>0.9</v>
      </c>
    </row>
    <row r="1335" customFormat="false" ht="15" hidden="false" customHeight="true" outlineLevel="0" collapsed="false">
      <c r="A1335" s="39" t="s">
        <v>350</v>
      </c>
      <c r="B1335" s="39" t="s">
        <v>254</v>
      </c>
      <c r="C1335" s="39" t="n">
        <v>1</v>
      </c>
      <c r="D1335" s="40" t="str">
        <f aca="false">IFERROR(INDEX(المكونات!$B$2:$B$500,MATCH($B1335,المكونات!$A$2:$A$500,0)),"")</f>
        <v>قطعة (ورقة)</v>
      </c>
      <c r="E1335" s="41" t="n">
        <f aca="false">IFERROR(INDEX(المكونات!$C$2:$C$500,MATCH($B1335,المكونات!$A$2:$A$500,0)),"")</f>
        <v>0.3665</v>
      </c>
      <c r="F1335" s="42" t="n">
        <f aca="false">IFERROR($C1335*$E1335,"")</f>
        <v>0.3665</v>
      </c>
    </row>
    <row r="1336" customFormat="false" ht="15" hidden="false" customHeight="true" outlineLevel="0" collapsed="false">
      <c r="A1336" s="39" t="s">
        <v>350</v>
      </c>
      <c r="B1336" s="39" t="s">
        <v>67</v>
      </c>
      <c r="C1336" s="39" t="n">
        <v>1</v>
      </c>
      <c r="D1336" s="40" t="str">
        <f aca="false">IFERROR(INDEX(المكونات!$B$2:$B$500,MATCH($B1336,المكونات!$A$2:$A$500,0)),"")</f>
        <v>قطعة (كيس)</v>
      </c>
      <c r="E1336" s="41" t="n">
        <f aca="false">IFERROR(INDEX(المكونات!$C$2:$C$500,MATCH($B1336,المكونات!$A$2:$A$500,0)),"")</f>
        <v>1.4</v>
      </c>
      <c r="F1336" s="42" t="n">
        <f aca="false">IFERROR($C1336*$E1336,"")</f>
        <v>1.4</v>
      </c>
    </row>
    <row r="1337" customFormat="false" ht="15" hidden="false" customHeight="true" outlineLevel="0" collapsed="false">
      <c r="A1337" s="39" t="s">
        <v>350</v>
      </c>
      <c r="B1337" s="39" t="s">
        <v>228</v>
      </c>
      <c r="C1337" s="39" t="n">
        <v>1</v>
      </c>
      <c r="D1337" s="40" t="str">
        <f aca="false">IFERROR(INDEX(المكونات!$B$2:$B$500,MATCH($B1337,المكونات!$A$2:$A$500,0)),"")</f>
        <v>قطعة</v>
      </c>
      <c r="E1337" s="41" t="n">
        <f aca="false">IFERROR(INDEX(المكونات!$C$2:$C$500,MATCH($B1337,المكونات!$A$2:$A$500,0)),"")</f>
        <v>0.5</v>
      </c>
      <c r="F1337" s="42" t="n">
        <f aca="false">IFERROR($C1337*$E1337,"")</f>
        <v>0.5</v>
      </c>
    </row>
    <row r="1338" customFormat="false" ht="15" hidden="false" customHeight="true" outlineLevel="0" collapsed="false">
      <c r="A1338" s="39" t="s">
        <v>350</v>
      </c>
      <c r="B1338" s="39" t="s">
        <v>145</v>
      </c>
      <c r="C1338" s="39" t="n">
        <v>2</v>
      </c>
      <c r="D1338" s="40" t="str">
        <f aca="false">IFERROR(INDEX(المكونات!$B$2:$B$500,MATCH($B1338,المكونات!$A$2:$A$500,0)),"")</f>
        <v>قطعة (جلفز)</v>
      </c>
      <c r="E1338" s="41" t="n">
        <f aca="false">IFERROR(INDEX(المكونات!$C$2:$C$500,MATCH($B1338,المكونات!$A$2:$A$500,0)),"")</f>
        <v>0.18</v>
      </c>
      <c r="F1338" s="42" t="n">
        <f aca="false">IFERROR($C1338*$E1338,"")</f>
        <v>0.36</v>
      </c>
    </row>
    <row r="1339" customFormat="false" ht="15" hidden="false" customHeight="true" outlineLevel="0" collapsed="false">
      <c r="A1339" s="39" t="s">
        <v>350</v>
      </c>
      <c r="B1339" s="39" t="s">
        <v>257</v>
      </c>
      <c r="C1339" s="39" t="n">
        <v>1</v>
      </c>
      <c r="D1339" s="40" t="str">
        <f aca="false">IFERROR(INDEX(المكونات!$B$2:$B$500,MATCH($B1339,المكونات!$A$2:$A$500,0)),"")</f>
        <v>قطعة (كيس)</v>
      </c>
      <c r="E1339" s="41" t="n">
        <f aca="false">IFERROR(INDEX(المكونات!$C$2:$C$500,MATCH($B1339,المكونات!$A$2:$A$500,0)),"")</f>
        <v>0.9995</v>
      </c>
      <c r="F1339" s="42" t="n">
        <f aca="false">IFERROR($C1339*$E1339,"")</f>
        <v>0.9995</v>
      </c>
    </row>
    <row r="1340" customFormat="false" ht="15" hidden="false" customHeight="true" outlineLevel="0" collapsed="false">
      <c r="A1340" s="39" t="s">
        <v>350</v>
      </c>
      <c r="B1340" s="39" t="s">
        <v>217</v>
      </c>
      <c r="C1340" s="39" t="n">
        <v>0.21</v>
      </c>
      <c r="D1340" s="40" t="str">
        <f aca="false">IFERROR(INDEX(المكونات!$B$2:$B$500,MATCH($B1340,المكونات!$A$2:$A$500,0)),"")</f>
        <v>كجم</v>
      </c>
      <c r="E1340" s="41" t="n">
        <f aca="false">IFERROR(INDEX(المكونات!$C$2:$C$500,MATCH($B1340,المكونات!$A$2:$A$500,0)),"")</f>
        <v>150</v>
      </c>
      <c r="F1340" s="42" t="n">
        <f aca="false">IFERROR($C1340*$E1340,"")</f>
        <v>31.5</v>
      </c>
    </row>
    <row r="1341" customFormat="false" ht="15" hidden="false" customHeight="true" outlineLevel="0" collapsed="false">
      <c r="A1341" s="39" t="s">
        <v>350</v>
      </c>
      <c r="B1341" s="39" t="s">
        <v>188</v>
      </c>
      <c r="C1341" s="39" t="n">
        <v>0.15</v>
      </c>
      <c r="D1341" s="40" t="str">
        <f aca="false">IFERROR(INDEX(المكونات!$B$2:$B$500,MATCH($B1341,المكونات!$A$2:$A$500,0)),"")</f>
        <v>كجم</v>
      </c>
      <c r="E1341" s="41" t="n">
        <f aca="false">IFERROR(INDEX(المكونات!$C$2:$C$500,MATCH($B1341,المكونات!$A$2:$A$500,0)),"")</f>
        <v>70</v>
      </c>
      <c r="F1341" s="42" t="n">
        <f aca="false">IFERROR($C1341*$E1341,"")</f>
        <v>10.5</v>
      </c>
    </row>
    <row r="1342" customFormat="false" ht="15" hidden="false" customHeight="true" outlineLevel="0" collapsed="false">
      <c r="A1342" s="39" t="s">
        <v>431</v>
      </c>
      <c r="B1342" s="39" t="s">
        <v>200</v>
      </c>
      <c r="C1342" s="39" t="n">
        <v>1</v>
      </c>
      <c r="D1342" s="40" t="str">
        <f aca="false">IFERROR(INDEX(المكونات!$B$2:$B$500,MATCH($B1342,المكونات!$A$2:$A$500,0)),"")</f>
        <v>قطعة</v>
      </c>
      <c r="E1342" s="41" t="n">
        <f aca="false">IFERROR(INDEX(المكونات!$C$2:$C$500,MATCH($B1342,المكونات!$A$2:$A$500,0)),"")</f>
        <v>4</v>
      </c>
      <c r="F1342" s="42" t="n">
        <f aca="false">IFERROR($C1342*$E1342,"")</f>
        <v>4</v>
      </c>
    </row>
    <row r="1343" customFormat="false" ht="15" hidden="false" customHeight="true" outlineLevel="0" collapsed="false">
      <c r="A1343" s="39" t="s">
        <v>431</v>
      </c>
      <c r="B1343" s="39" t="s">
        <v>196</v>
      </c>
      <c r="C1343" s="39" t="n">
        <v>0.03</v>
      </c>
      <c r="D1343" s="40" t="str">
        <f aca="false">IFERROR(INDEX(المكونات!$B$2:$B$500,MATCH($B1343,المكونات!$A$2:$A$500,0)),"")</f>
        <v>كجم</v>
      </c>
      <c r="E1343" s="41" t="n">
        <f aca="false">IFERROR(INDEX(المكونات!$C$2:$C$500,MATCH($B1343,المكونات!$A$2:$A$500,0)),"")</f>
        <v>21</v>
      </c>
      <c r="F1343" s="42" t="n">
        <f aca="false">IFERROR($C1343*$E1343,"")</f>
        <v>0.63</v>
      </c>
    </row>
    <row r="1344" customFormat="false" ht="15" hidden="false" customHeight="true" outlineLevel="0" collapsed="false">
      <c r="A1344" s="39" t="s">
        <v>431</v>
      </c>
      <c r="B1344" s="39" t="s">
        <v>219</v>
      </c>
      <c r="C1344" s="39" t="n">
        <v>0.02</v>
      </c>
      <c r="D1344" s="40" t="str">
        <f aca="false">IFERROR(INDEX(المكونات!$B$2:$B$500,MATCH($B1344,المكونات!$A$2:$A$500,0)),"")</f>
        <v>كجم</v>
      </c>
      <c r="E1344" s="41" t="n">
        <f aca="false">IFERROR(INDEX(المكونات!$C$2:$C$500,MATCH($B1344,المكونات!$A$2:$A$500,0)),"")</f>
        <v>27</v>
      </c>
      <c r="F1344" s="42" t="n">
        <f aca="false">IFERROR($C1344*$E1344,"")</f>
        <v>0.54</v>
      </c>
    </row>
    <row r="1345" customFormat="false" ht="15" hidden="false" customHeight="true" outlineLevel="0" collapsed="false">
      <c r="A1345" s="39" t="s">
        <v>431</v>
      </c>
      <c r="B1345" s="39" t="s">
        <v>162</v>
      </c>
      <c r="C1345" s="39" t="n">
        <v>0.02</v>
      </c>
      <c r="D1345" s="40" t="str">
        <f aca="false">IFERROR(INDEX(المكونات!$B$2:$B$500,MATCH($B1345,المكونات!$A$2:$A$500,0)),"")</f>
        <v>كجم</v>
      </c>
      <c r="E1345" s="41" t="n">
        <f aca="false">IFERROR(INDEX(المكونات!$C$2:$C$500,MATCH($B1345,المكونات!$A$2:$A$500,0)),"")</f>
        <v>95</v>
      </c>
      <c r="F1345" s="42" t="n">
        <f aca="false">IFERROR($C1345*$E1345,"")</f>
        <v>1.9</v>
      </c>
    </row>
    <row r="1346" customFormat="false" ht="15" hidden="false" customHeight="true" outlineLevel="0" collapsed="false">
      <c r="A1346" s="39" t="s">
        <v>431</v>
      </c>
      <c r="B1346" s="39" t="s">
        <v>110</v>
      </c>
      <c r="C1346" s="39" t="n">
        <v>1</v>
      </c>
      <c r="D1346" s="40" t="str">
        <f aca="false">IFERROR(INDEX(المكونات!$B$2:$B$500,MATCH($B1346,المكونات!$A$2:$A$500,0)),"")</f>
        <v>قطعة</v>
      </c>
      <c r="E1346" s="41" t="n">
        <f aca="false">IFERROR(INDEX(المكونات!$C$2:$C$500,MATCH($B1346,المكونات!$A$2:$A$500,0)),"")</f>
        <v>17.5</v>
      </c>
      <c r="F1346" s="42" t="n">
        <f aca="false">IFERROR($C1346*$E1346,"")</f>
        <v>17.5</v>
      </c>
    </row>
    <row r="1347" customFormat="false" ht="15" hidden="false" customHeight="true" outlineLevel="0" collapsed="false">
      <c r="A1347" s="39" t="s">
        <v>431</v>
      </c>
      <c r="B1347" s="39" t="s">
        <v>206</v>
      </c>
      <c r="C1347" s="39" t="n">
        <v>1</v>
      </c>
      <c r="D1347" s="40" t="str">
        <f aca="false">IFERROR(INDEX(المكونات!$B$2:$B$500,MATCH($B1347,المكونات!$A$2:$A$500,0)),"")</f>
        <v>قطعة</v>
      </c>
      <c r="E1347" s="41" t="n">
        <f aca="false">IFERROR(INDEX(المكونات!$C$2:$C$500,MATCH($B1347,المكونات!$A$2:$A$500,0)),"")</f>
        <v>4.5</v>
      </c>
      <c r="F1347" s="42" t="n">
        <f aca="false">IFERROR($C1347*$E1347,"")</f>
        <v>4.5</v>
      </c>
    </row>
    <row r="1348" customFormat="false" ht="15" hidden="false" customHeight="true" outlineLevel="0" collapsed="false">
      <c r="A1348" s="39" t="s">
        <v>431</v>
      </c>
      <c r="B1348" s="39" t="s">
        <v>225</v>
      </c>
      <c r="C1348" s="39" t="n">
        <v>2</v>
      </c>
      <c r="D1348" s="40" t="str">
        <f aca="false">IFERROR(INDEX(المكونات!$B$2:$B$500,MATCH($B1348,المكونات!$A$2:$A$500,0)),"")</f>
        <v>قطعة</v>
      </c>
      <c r="E1348" s="41" t="n">
        <f aca="false">IFERROR(INDEX(المكونات!$C$2:$C$500,MATCH($B1348,المكونات!$A$2:$A$500,0)),"")</f>
        <v>0.3</v>
      </c>
      <c r="F1348" s="42" t="n">
        <f aca="false">IFERROR($C1348*$E1348,"")</f>
        <v>0.6</v>
      </c>
    </row>
    <row r="1349" customFormat="false" ht="15" hidden="false" customHeight="true" outlineLevel="0" collapsed="false">
      <c r="A1349" s="39" t="s">
        <v>431</v>
      </c>
      <c r="B1349" s="39" t="s">
        <v>254</v>
      </c>
      <c r="C1349" s="39" t="n">
        <v>1</v>
      </c>
      <c r="D1349" s="40" t="str">
        <f aca="false">IFERROR(INDEX(المكونات!$B$2:$B$500,MATCH($B1349,المكونات!$A$2:$A$500,0)),"")</f>
        <v>قطعة (ورقة)</v>
      </c>
      <c r="E1349" s="41" t="n">
        <f aca="false">IFERROR(INDEX(المكونات!$C$2:$C$500,MATCH($B1349,المكونات!$A$2:$A$500,0)),"")</f>
        <v>0.3665</v>
      </c>
      <c r="F1349" s="42" t="n">
        <f aca="false">IFERROR($C1349*$E1349,"")</f>
        <v>0.3665</v>
      </c>
    </row>
    <row r="1350" customFormat="false" ht="15" hidden="false" customHeight="true" outlineLevel="0" collapsed="false">
      <c r="A1350" s="39" t="s">
        <v>431</v>
      </c>
      <c r="B1350" s="39" t="s">
        <v>67</v>
      </c>
      <c r="C1350" s="39" t="n">
        <v>1</v>
      </c>
      <c r="D1350" s="40" t="str">
        <f aca="false">IFERROR(INDEX(المكونات!$B$2:$B$500,MATCH($B1350,المكونات!$A$2:$A$500,0)),"")</f>
        <v>قطعة (كيس)</v>
      </c>
      <c r="E1350" s="41" t="n">
        <f aca="false">IFERROR(INDEX(المكونات!$C$2:$C$500,MATCH($B1350,المكونات!$A$2:$A$500,0)),"")</f>
        <v>1.4</v>
      </c>
      <c r="F1350" s="42" t="n">
        <f aca="false">IFERROR($C1350*$E1350,"")</f>
        <v>1.4</v>
      </c>
    </row>
    <row r="1351" customFormat="false" ht="15" hidden="false" customHeight="true" outlineLevel="0" collapsed="false">
      <c r="A1351" s="39" t="s">
        <v>431</v>
      </c>
      <c r="B1351" s="39" t="s">
        <v>228</v>
      </c>
      <c r="C1351" s="39" t="n">
        <v>1</v>
      </c>
      <c r="D1351" s="40" t="str">
        <f aca="false">IFERROR(INDEX(المكونات!$B$2:$B$500,MATCH($B1351,المكونات!$A$2:$A$500,0)),"")</f>
        <v>قطعة</v>
      </c>
      <c r="E1351" s="41" t="n">
        <f aca="false">IFERROR(INDEX(المكونات!$C$2:$C$500,MATCH($B1351,المكونات!$A$2:$A$500,0)),"")</f>
        <v>0.5</v>
      </c>
      <c r="F1351" s="42" t="n">
        <f aca="false">IFERROR($C1351*$E1351,"")</f>
        <v>0.5</v>
      </c>
    </row>
    <row r="1352" customFormat="false" ht="15" hidden="false" customHeight="true" outlineLevel="0" collapsed="false">
      <c r="A1352" s="39" t="s">
        <v>431</v>
      </c>
      <c r="B1352" s="39" t="s">
        <v>145</v>
      </c>
      <c r="C1352" s="39" t="n">
        <v>2</v>
      </c>
      <c r="D1352" s="40" t="str">
        <f aca="false">IFERROR(INDEX(المكونات!$B$2:$B$500,MATCH($B1352,المكونات!$A$2:$A$500,0)),"")</f>
        <v>قطعة (جلفز)</v>
      </c>
      <c r="E1352" s="41" t="n">
        <f aca="false">IFERROR(INDEX(المكونات!$C$2:$C$500,MATCH($B1352,المكونات!$A$2:$A$500,0)),"")</f>
        <v>0.18</v>
      </c>
      <c r="F1352" s="42" t="n">
        <f aca="false">IFERROR($C1352*$E1352,"")</f>
        <v>0.36</v>
      </c>
    </row>
    <row r="1353" customFormat="false" ht="15" hidden="false" customHeight="true" outlineLevel="0" collapsed="false">
      <c r="A1353" s="39" t="s">
        <v>431</v>
      </c>
      <c r="B1353" s="39" t="s">
        <v>257</v>
      </c>
      <c r="C1353" s="39" t="n">
        <v>1</v>
      </c>
      <c r="D1353" s="40" t="str">
        <f aca="false">IFERROR(INDEX(المكونات!$B$2:$B$500,MATCH($B1353,المكونات!$A$2:$A$500,0)),"")</f>
        <v>قطعة (كيس)</v>
      </c>
      <c r="E1353" s="41" t="n">
        <f aca="false">IFERROR(INDEX(المكونات!$C$2:$C$500,MATCH($B1353,المكونات!$A$2:$A$500,0)),"")</f>
        <v>0.9995</v>
      </c>
      <c r="F1353" s="42" t="n">
        <f aca="false">IFERROR($C1353*$E1353,"")</f>
        <v>0.9995</v>
      </c>
    </row>
    <row r="1354" customFormat="false" ht="15" hidden="false" customHeight="true" outlineLevel="0" collapsed="false">
      <c r="A1354" s="39" t="s">
        <v>431</v>
      </c>
      <c r="B1354" s="39" t="s">
        <v>84</v>
      </c>
      <c r="C1354" s="39" t="n">
        <v>1</v>
      </c>
      <c r="D1354" s="40" t="str">
        <f aca="false">IFERROR(INDEX(المكونات!$B$2:$B$500,MATCH($B1354,المكونات!$A$2:$A$500,0)),"")</f>
        <v>قطعة</v>
      </c>
      <c r="E1354" s="41" t="n">
        <f aca="false">IFERROR(INDEX(المكونات!$C$2:$C$500,MATCH($B1354,المكونات!$A$2:$A$500,0)),"")</f>
        <v>95</v>
      </c>
      <c r="F1354" s="42" t="n">
        <f aca="false">IFERROR($C1354*$E1354,"")</f>
        <v>95</v>
      </c>
    </row>
    <row r="1355" customFormat="false" ht="15" hidden="false" customHeight="true" outlineLevel="0" collapsed="false">
      <c r="A1355" s="39" t="s">
        <v>420</v>
      </c>
      <c r="B1355" s="39" t="s">
        <v>200</v>
      </c>
      <c r="C1355" s="39" t="n">
        <v>1.5</v>
      </c>
      <c r="D1355" s="40" t="str">
        <f aca="false">IFERROR(INDEX(المكونات!$B$2:$B$500,MATCH($B1355,المكونات!$A$2:$A$500,0)),"")</f>
        <v>قطعة</v>
      </c>
      <c r="E1355" s="41" t="n">
        <f aca="false">IFERROR(INDEX(المكونات!$C$2:$C$500,MATCH($B1355,المكونات!$A$2:$A$500,0)),"")</f>
        <v>4</v>
      </c>
      <c r="F1355" s="42" t="n">
        <f aca="false">IFERROR($C1355*$E1355,"")</f>
        <v>6</v>
      </c>
    </row>
    <row r="1356" customFormat="false" ht="15" hidden="false" customHeight="true" outlineLevel="0" collapsed="false">
      <c r="A1356" s="39" t="s">
        <v>420</v>
      </c>
      <c r="B1356" s="39" t="s">
        <v>196</v>
      </c>
      <c r="C1356" s="39" t="n">
        <v>0.045</v>
      </c>
      <c r="D1356" s="40" t="str">
        <f aca="false">IFERROR(INDEX(المكونات!$B$2:$B$500,MATCH($B1356,المكونات!$A$2:$A$500,0)),"")</f>
        <v>كجم</v>
      </c>
      <c r="E1356" s="41" t="n">
        <f aca="false">IFERROR(INDEX(المكونات!$C$2:$C$500,MATCH($B1356,المكونات!$A$2:$A$500,0)),"")</f>
        <v>21</v>
      </c>
      <c r="F1356" s="42" t="n">
        <f aca="false">IFERROR($C1356*$E1356,"")</f>
        <v>0.945</v>
      </c>
    </row>
    <row r="1357" customFormat="false" ht="15" hidden="false" customHeight="true" outlineLevel="0" collapsed="false">
      <c r="A1357" s="39" t="s">
        <v>420</v>
      </c>
      <c r="B1357" s="39" t="s">
        <v>219</v>
      </c>
      <c r="C1357" s="39" t="n">
        <v>0.03</v>
      </c>
      <c r="D1357" s="40" t="str">
        <f aca="false">IFERROR(INDEX(المكونات!$B$2:$B$500,MATCH($B1357,المكونات!$A$2:$A$500,0)),"")</f>
        <v>كجم</v>
      </c>
      <c r="E1357" s="41" t="n">
        <f aca="false">IFERROR(INDEX(المكونات!$C$2:$C$500,MATCH($B1357,المكونات!$A$2:$A$500,0)),"")</f>
        <v>27</v>
      </c>
      <c r="F1357" s="42" t="n">
        <f aca="false">IFERROR($C1357*$E1357,"")</f>
        <v>0.81</v>
      </c>
    </row>
    <row r="1358" customFormat="false" ht="15" hidden="false" customHeight="true" outlineLevel="0" collapsed="false">
      <c r="A1358" s="39" t="s">
        <v>420</v>
      </c>
      <c r="B1358" s="39" t="s">
        <v>162</v>
      </c>
      <c r="C1358" s="39" t="n">
        <v>0.03</v>
      </c>
      <c r="D1358" s="40" t="str">
        <f aca="false">IFERROR(INDEX(المكونات!$B$2:$B$500,MATCH($B1358,المكونات!$A$2:$A$500,0)),"")</f>
        <v>كجم</v>
      </c>
      <c r="E1358" s="41" t="n">
        <f aca="false">IFERROR(INDEX(المكونات!$C$2:$C$500,MATCH($B1358,المكونات!$A$2:$A$500,0)),"")</f>
        <v>95</v>
      </c>
      <c r="F1358" s="42" t="n">
        <f aca="false">IFERROR($C1358*$E1358,"")</f>
        <v>2.85</v>
      </c>
    </row>
    <row r="1359" customFormat="false" ht="15" hidden="false" customHeight="true" outlineLevel="0" collapsed="false">
      <c r="A1359" s="39" t="s">
        <v>420</v>
      </c>
      <c r="B1359" s="39" t="s">
        <v>112</v>
      </c>
      <c r="C1359" s="39" t="n">
        <v>1</v>
      </c>
      <c r="D1359" s="40" t="str">
        <f aca="false">IFERROR(INDEX(المكونات!$B$2:$B$500,MATCH($B1359,المكونات!$A$2:$A$500,0)),"")</f>
        <v>قطعة</v>
      </c>
      <c r="E1359" s="41" t="n">
        <f aca="false">IFERROR(INDEX(المكونات!$C$2:$C$500,MATCH($B1359,المكونات!$A$2:$A$500,0)),"")</f>
        <v>25</v>
      </c>
      <c r="F1359" s="42" t="n">
        <f aca="false">IFERROR($C1359*$E1359,"")</f>
        <v>25</v>
      </c>
    </row>
    <row r="1360" customFormat="false" ht="15" hidden="false" customHeight="true" outlineLevel="0" collapsed="false">
      <c r="A1360" s="39" t="s">
        <v>420</v>
      </c>
      <c r="B1360" s="39" t="s">
        <v>204</v>
      </c>
      <c r="C1360" s="39" t="n">
        <v>1</v>
      </c>
      <c r="D1360" s="40" t="str">
        <f aca="false">IFERROR(INDEX(المكونات!$B$2:$B$500,MATCH($B1360,المكونات!$A$2:$A$500,0)),"")</f>
        <v>قطعة</v>
      </c>
      <c r="E1360" s="41" t="n">
        <f aca="false">IFERROR(INDEX(المكونات!$C$2:$C$500,MATCH($B1360,المكونات!$A$2:$A$500,0)),"")</f>
        <v>5.5</v>
      </c>
      <c r="F1360" s="42" t="n">
        <f aca="false">IFERROR($C1360*$E1360,"")</f>
        <v>5.5</v>
      </c>
    </row>
    <row r="1361" customFormat="false" ht="15" hidden="false" customHeight="true" outlineLevel="0" collapsed="false">
      <c r="A1361" s="39" t="s">
        <v>420</v>
      </c>
      <c r="B1361" s="39" t="s">
        <v>225</v>
      </c>
      <c r="C1361" s="39" t="n">
        <v>3</v>
      </c>
      <c r="D1361" s="40" t="str">
        <f aca="false">IFERROR(INDEX(المكونات!$B$2:$B$500,MATCH($B1361,المكونات!$A$2:$A$500,0)),"")</f>
        <v>قطعة</v>
      </c>
      <c r="E1361" s="41" t="n">
        <f aca="false">IFERROR(INDEX(المكونات!$C$2:$C$500,MATCH($B1361,المكونات!$A$2:$A$500,0)),"")</f>
        <v>0.3</v>
      </c>
      <c r="F1361" s="42" t="n">
        <f aca="false">IFERROR($C1361*$E1361,"")</f>
        <v>0.9</v>
      </c>
    </row>
    <row r="1362" customFormat="false" ht="15" hidden="false" customHeight="true" outlineLevel="0" collapsed="false">
      <c r="A1362" s="39" t="s">
        <v>420</v>
      </c>
      <c r="B1362" s="39" t="s">
        <v>254</v>
      </c>
      <c r="C1362" s="39" t="n">
        <v>1</v>
      </c>
      <c r="D1362" s="40" t="str">
        <f aca="false">IFERROR(INDEX(المكونات!$B$2:$B$500,MATCH($B1362,المكونات!$A$2:$A$500,0)),"")</f>
        <v>قطعة (ورقة)</v>
      </c>
      <c r="E1362" s="41" t="n">
        <f aca="false">IFERROR(INDEX(المكونات!$C$2:$C$500,MATCH($B1362,المكونات!$A$2:$A$500,0)),"")</f>
        <v>0.3665</v>
      </c>
      <c r="F1362" s="42" t="n">
        <f aca="false">IFERROR($C1362*$E1362,"")</f>
        <v>0.3665</v>
      </c>
    </row>
    <row r="1363" customFormat="false" ht="15" hidden="false" customHeight="true" outlineLevel="0" collapsed="false">
      <c r="A1363" s="39" t="s">
        <v>420</v>
      </c>
      <c r="B1363" s="39" t="s">
        <v>67</v>
      </c>
      <c r="C1363" s="39" t="n">
        <v>1</v>
      </c>
      <c r="D1363" s="40" t="str">
        <f aca="false">IFERROR(INDEX(المكونات!$B$2:$B$500,MATCH($B1363,المكونات!$A$2:$A$500,0)),"")</f>
        <v>قطعة (كيس)</v>
      </c>
      <c r="E1363" s="41" t="n">
        <f aca="false">IFERROR(INDEX(المكونات!$C$2:$C$500,MATCH($B1363,المكونات!$A$2:$A$500,0)),"")</f>
        <v>1.4</v>
      </c>
      <c r="F1363" s="42" t="n">
        <f aca="false">IFERROR($C1363*$E1363,"")</f>
        <v>1.4</v>
      </c>
    </row>
    <row r="1364" customFormat="false" ht="15" hidden="false" customHeight="true" outlineLevel="0" collapsed="false">
      <c r="A1364" s="39" t="s">
        <v>420</v>
      </c>
      <c r="B1364" s="39" t="s">
        <v>228</v>
      </c>
      <c r="C1364" s="39" t="n">
        <v>1</v>
      </c>
      <c r="D1364" s="40" t="str">
        <f aca="false">IFERROR(INDEX(المكونات!$B$2:$B$500,MATCH($B1364,المكونات!$A$2:$A$500,0)),"")</f>
        <v>قطعة</v>
      </c>
      <c r="E1364" s="41" t="n">
        <f aca="false">IFERROR(INDEX(المكونات!$C$2:$C$500,MATCH($B1364,المكونات!$A$2:$A$500,0)),"")</f>
        <v>0.5</v>
      </c>
      <c r="F1364" s="42" t="n">
        <f aca="false">IFERROR($C1364*$E1364,"")</f>
        <v>0.5</v>
      </c>
    </row>
    <row r="1365" customFormat="false" ht="15" hidden="false" customHeight="true" outlineLevel="0" collapsed="false">
      <c r="A1365" s="39" t="s">
        <v>420</v>
      </c>
      <c r="B1365" s="39" t="s">
        <v>145</v>
      </c>
      <c r="C1365" s="39" t="n">
        <v>2</v>
      </c>
      <c r="D1365" s="40" t="str">
        <f aca="false">IFERROR(INDEX(المكونات!$B$2:$B$500,MATCH($B1365,المكونات!$A$2:$A$500,0)),"")</f>
        <v>قطعة (جلفز)</v>
      </c>
      <c r="E1365" s="41" t="n">
        <f aca="false">IFERROR(INDEX(المكونات!$C$2:$C$500,MATCH($B1365,المكونات!$A$2:$A$500,0)),"")</f>
        <v>0.18</v>
      </c>
      <c r="F1365" s="42" t="n">
        <f aca="false">IFERROR($C1365*$E1365,"")</f>
        <v>0.36</v>
      </c>
    </row>
    <row r="1366" customFormat="false" ht="15" hidden="false" customHeight="true" outlineLevel="0" collapsed="false">
      <c r="A1366" s="39" t="s">
        <v>420</v>
      </c>
      <c r="B1366" s="39" t="s">
        <v>257</v>
      </c>
      <c r="C1366" s="39" t="n">
        <v>1</v>
      </c>
      <c r="D1366" s="40" t="str">
        <f aca="false">IFERROR(INDEX(المكونات!$B$2:$B$500,MATCH($B1366,المكونات!$A$2:$A$500,0)),"")</f>
        <v>قطعة (كيس)</v>
      </c>
      <c r="E1366" s="41" t="n">
        <f aca="false">IFERROR(INDEX(المكونات!$C$2:$C$500,MATCH($B1366,المكونات!$A$2:$A$500,0)),"")</f>
        <v>0.9995</v>
      </c>
      <c r="F1366" s="42" t="n">
        <f aca="false">IFERROR($C1366*$E1366,"")</f>
        <v>0.9995</v>
      </c>
    </row>
    <row r="1367" customFormat="false" ht="15" hidden="false" customHeight="true" outlineLevel="0" collapsed="false">
      <c r="A1367" s="39" t="s">
        <v>420</v>
      </c>
      <c r="B1367" s="39" t="s">
        <v>84</v>
      </c>
      <c r="C1367" s="39" t="n">
        <v>1.5</v>
      </c>
      <c r="D1367" s="40" t="str">
        <f aca="false">IFERROR(INDEX(المكونات!$B$2:$B$500,MATCH($B1367,المكونات!$A$2:$A$500,0)),"")</f>
        <v>قطعة</v>
      </c>
      <c r="E1367" s="41" t="n">
        <f aca="false">IFERROR(INDEX(المكونات!$C$2:$C$500,MATCH($B1367,المكونات!$A$2:$A$500,0)),"")</f>
        <v>95</v>
      </c>
      <c r="F1367" s="42" t="n">
        <f aca="false">IFERROR($C1367*$E1367,"")</f>
        <v>142.5</v>
      </c>
    </row>
    <row r="1368" customFormat="false" ht="15" hidden="false" customHeight="true" outlineLevel="0" collapsed="false">
      <c r="A1368" s="39" t="s">
        <v>455</v>
      </c>
      <c r="B1368" s="39" t="s">
        <v>200</v>
      </c>
      <c r="C1368" s="39" t="n">
        <v>1</v>
      </c>
      <c r="D1368" s="40" t="str">
        <f aca="false">IFERROR(INDEX(المكونات!$B$2:$B$500,MATCH($B1368,المكونات!$A$2:$A$500,0)),"")</f>
        <v>قطعة</v>
      </c>
      <c r="E1368" s="41" t="n">
        <f aca="false">IFERROR(INDEX(المكونات!$C$2:$C$500,MATCH($B1368,المكونات!$A$2:$A$500,0)),"")</f>
        <v>4</v>
      </c>
      <c r="F1368" s="42" t="n">
        <f aca="false">IFERROR($C1368*$E1368,"")</f>
        <v>4</v>
      </c>
    </row>
    <row r="1369" customFormat="false" ht="15" hidden="false" customHeight="true" outlineLevel="0" collapsed="false">
      <c r="A1369" s="39" t="s">
        <v>455</v>
      </c>
      <c r="B1369" s="39" t="s">
        <v>196</v>
      </c>
      <c r="C1369" s="39" t="n">
        <v>0.03</v>
      </c>
      <c r="D1369" s="40" t="str">
        <f aca="false">IFERROR(INDEX(المكونات!$B$2:$B$500,MATCH($B1369,المكونات!$A$2:$A$500,0)),"")</f>
        <v>كجم</v>
      </c>
      <c r="E1369" s="41" t="n">
        <f aca="false">IFERROR(INDEX(المكونات!$C$2:$C$500,MATCH($B1369,المكونات!$A$2:$A$500,0)),"")</f>
        <v>21</v>
      </c>
      <c r="F1369" s="42" t="n">
        <f aca="false">IFERROR($C1369*$E1369,"")</f>
        <v>0.63</v>
      </c>
    </row>
    <row r="1370" customFormat="false" ht="15" hidden="false" customHeight="true" outlineLevel="0" collapsed="false">
      <c r="A1370" s="39" t="s">
        <v>455</v>
      </c>
      <c r="B1370" s="39" t="s">
        <v>219</v>
      </c>
      <c r="C1370" s="39" t="n">
        <v>0.02</v>
      </c>
      <c r="D1370" s="40" t="str">
        <f aca="false">IFERROR(INDEX(المكونات!$B$2:$B$500,MATCH($B1370,المكونات!$A$2:$A$500,0)),"")</f>
        <v>كجم</v>
      </c>
      <c r="E1370" s="41" t="n">
        <f aca="false">IFERROR(INDEX(المكونات!$C$2:$C$500,MATCH($B1370,المكونات!$A$2:$A$500,0)),"")</f>
        <v>27</v>
      </c>
      <c r="F1370" s="42" t="n">
        <f aca="false">IFERROR($C1370*$E1370,"")</f>
        <v>0.54</v>
      </c>
    </row>
    <row r="1371" customFormat="false" ht="15" hidden="false" customHeight="true" outlineLevel="0" collapsed="false">
      <c r="A1371" s="39" t="s">
        <v>455</v>
      </c>
      <c r="B1371" s="39" t="s">
        <v>162</v>
      </c>
      <c r="C1371" s="39" t="n">
        <v>0.02</v>
      </c>
      <c r="D1371" s="40" t="str">
        <f aca="false">IFERROR(INDEX(المكونات!$B$2:$B$500,MATCH($B1371,المكونات!$A$2:$A$500,0)),"")</f>
        <v>كجم</v>
      </c>
      <c r="E1371" s="41" t="n">
        <f aca="false">IFERROR(INDEX(المكونات!$C$2:$C$500,MATCH($B1371,المكونات!$A$2:$A$500,0)),"")</f>
        <v>95</v>
      </c>
      <c r="F1371" s="42" t="n">
        <f aca="false">IFERROR($C1371*$E1371,"")</f>
        <v>1.9</v>
      </c>
    </row>
    <row r="1372" customFormat="false" ht="15" hidden="false" customHeight="true" outlineLevel="0" collapsed="false">
      <c r="A1372" s="39" t="s">
        <v>455</v>
      </c>
      <c r="B1372" s="39" t="s">
        <v>110</v>
      </c>
      <c r="C1372" s="39" t="n">
        <v>1</v>
      </c>
      <c r="D1372" s="40" t="str">
        <f aca="false">IFERROR(INDEX(المكونات!$B$2:$B$500,MATCH($B1372,المكونات!$A$2:$A$500,0)),"")</f>
        <v>قطعة</v>
      </c>
      <c r="E1372" s="41" t="n">
        <f aca="false">IFERROR(INDEX(المكونات!$C$2:$C$500,MATCH($B1372,المكونات!$A$2:$A$500,0)),"")</f>
        <v>17.5</v>
      </c>
      <c r="F1372" s="42" t="n">
        <f aca="false">IFERROR($C1372*$E1372,"")</f>
        <v>17.5</v>
      </c>
    </row>
    <row r="1373" customFormat="false" ht="15" hidden="false" customHeight="true" outlineLevel="0" collapsed="false">
      <c r="A1373" s="39" t="s">
        <v>455</v>
      </c>
      <c r="B1373" s="39" t="s">
        <v>206</v>
      </c>
      <c r="C1373" s="39" t="n">
        <v>1</v>
      </c>
      <c r="D1373" s="40" t="str">
        <f aca="false">IFERROR(INDEX(المكونات!$B$2:$B$500,MATCH($B1373,المكونات!$A$2:$A$500,0)),"")</f>
        <v>قطعة</v>
      </c>
      <c r="E1373" s="41" t="n">
        <f aca="false">IFERROR(INDEX(المكونات!$C$2:$C$500,MATCH($B1373,المكونات!$A$2:$A$500,0)),"")</f>
        <v>4.5</v>
      </c>
      <c r="F1373" s="42" t="n">
        <f aca="false">IFERROR($C1373*$E1373,"")</f>
        <v>4.5</v>
      </c>
    </row>
    <row r="1374" customFormat="false" ht="15" hidden="false" customHeight="true" outlineLevel="0" collapsed="false">
      <c r="A1374" s="39" t="s">
        <v>455</v>
      </c>
      <c r="B1374" s="39" t="s">
        <v>225</v>
      </c>
      <c r="C1374" s="39" t="n">
        <v>2</v>
      </c>
      <c r="D1374" s="40" t="str">
        <f aca="false">IFERROR(INDEX(المكونات!$B$2:$B$500,MATCH($B1374,المكونات!$A$2:$A$500,0)),"")</f>
        <v>قطعة</v>
      </c>
      <c r="E1374" s="41" t="n">
        <f aca="false">IFERROR(INDEX(المكونات!$C$2:$C$500,MATCH($B1374,المكونات!$A$2:$A$500,0)),"")</f>
        <v>0.3</v>
      </c>
      <c r="F1374" s="42" t="n">
        <f aca="false">IFERROR($C1374*$E1374,"")</f>
        <v>0.6</v>
      </c>
    </row>
    <row r="1375" customFormat="false" ht="15" hidden="false" customHeight="true" outlineLevel="0" collapsed="false">
      <c r="A1375" s="39" t="s">
        <v>455</v>
      </c>
      <c r="B1375" s="39" t="s">
        <v>254</v>
      </c>
      <c r="C1375" s="39" t="n">
        <v>1</v>
      </c>
      <c r="D1375" s="40" t="str">
        <f aca="false">IFERROR(INDEX(المكونات!$B$2:$B$500,MATCH($B1375,المكونات!$A$2:$A$500,0)),"")</f>
        <v>قطعة (ورقة)</v>
      </c>
      <c r="E1375" s="41" t="n">
        <f aca="false">IFERROR(INDEX(المكونات!$C$2:$C$500,MATCH($B1375,المكونات!$A$2:$A$500,0)),"")</f>
        <v>0.3665</v>
      </c>
      <c r="F1375" s="42" t="n">
        <f aca="false">IFERROR($C1375*$E1375,"")</f>
        <v>0.3665</v>
      </c>
    </row>
    <row r="1376" customFormat="false" ht="15" hidden="false" customHeight="true" outlineLevel="0" collapsed="false">
      <c r="A1376" s="39" t="s">
        <v>455</v>
      </c>
      <c r="B1376" s="39" t="s">
        <v>67</v>
      </c>
      <c r="C1376" s="39" t="n">
        <v>1</v>
      </c>
      <c r="D1376" s="40" t="str">
        <f aca="false">IFERROR(INDEX(المكونات!$B$2:$B$500,MATCH($B1376,المكونات!$A$2:$A$500,0)),"")</f>
        <v>قطعة (كيس)</v>
      </c>
      <c r="E1376" s="41" t="n">
        <f aca="false">IFERROR(INDEX(المكونات!$C$2:$C$500,MATCH($B1376,المكونات!$A$2:$A$500,0)),"")</f>
        <v>1.4</v>
      </c>
      <c r="F1376" s="42" t="n">
        <f aca="false">IFERROR($C1376*$E1376,"")</f>
        <v>1.4</v>
      </c>
    </row>
    <row r="1377" customFormat="false" ht="15" hidden="false" customHeight="true" outlineLevel="0" collapsed="false">
      <c r="A1377" s="39" t="s">
        <v>455</v>
      </c>
      <c r="B1377" s="39" t="s">
        <v>228</v>
      </c>
      <c r="C1377" s="39" t="n">
        <v>1</v>
      </c>
      <c r="D1377" s="40" t="str">
        <f aca="false">IFERROR(INDEX(المكونات!$B$2:$B$500,MATCH($B1377,المكونات!$A$2:$A$500,0)),"")</f>
        <v>قطعة</v>
      </c>
      <c r="E1377" s="41" t="n">
        <f aca="false">IFERROR(INDEX(المكونات!$C$2:$C$500,MATCH($B1377,المكونات!$A$2:$A$500,0)),"")</f>
        <v>0.5</v>
      </c>
      <c r="F1377" s="42" t="n">
        <f aca="false">IFERROR($C1377*$E1377,"")</f>
        <v>0.5</v>
      </c>
    </row>
    <row r="1378" customFormat="false" ht="15" hidden="false" customHeight="true" outlineLevel="0" collapsed="false">
      <c r="A1378" s="39" t="s">
        <v>455</v>
      </c>
      <c r="B1378" s="39" t="s">
        <v>145</v>
      </c>
      <c r="C1378" s="39" t="n">
        <v>2</v>
      </c>
      <c r="D1378" s="40" t="str">
        <f aca="false">IFERROR(INDEX(المكونات!$B$2:$B$500,MATCH($B1378,المكونات!$A$2:$A$500,0)),"")</f>
        <v>قطعة (جلفز)</v>
      </c>
      <c r="E1378" s="41" t="n">
        <f aca="false">IFERROR(INDEX(المكونات!$C$2:$C$500,MATCH($B1378,المكونات!$A$2:$A$500,0)),"")</f>
        <v>0.18</v>
      </c>
      <c r="F1378" s="42" t="n">
        <f aca="false">IFERROR($C1378*$E1378,"")</f>
        <v>0.36</v>
      </c>
    </row>
    <row r="1379" customFormat="false" ht="15" hidden="false" customHeight="true" outlineLevel="0" collapsed="false">
      <c r="A1379" s="39" t="s">
        <v>455</v>
      </c>
      <c r="B1379" s="39" t="s">
        <v>257</v>
      </c>
      <c r="C1379" s="39" t="n">
        <v>1</v>
      </c>
      <c r="D1379" s="40" t="str">
        <f aca="false">IFERROR(INDEX(المكونات!$B$2:$B$500,MATCH($B1379,المكونات!$A$2:$A$500,0)),"")</f>
        <v>قطعة (كيس)</v>
      </c>
      <c r="E1379" s="41" t="n">
        <f aca="false">IFERROR(INDEX(المكونات!$C$2:$C$500,MATCH($B1379,المكونات!$A$2:$A$500,0)),"")</f>
        <v>0.9995</v>
      </c>
      <c r="F1379" s="42" t="n">
        <f aca="false">IFERROR($C1379*$E1379,"")</f>
        <v>0.9995</v>
      </c>
    </row>
    <row r="1380" customFormat="false" ht="15" hidden="false" customHeight="true" outlineLevel="0" collapsed="false">
      <c r="A1380" s="39" t="s">
        <v>455</v>
      </c>
      <c r="B1380" s="39" t="s">
        <v>215</v>
      </c>
      <c r="C1380" s="39" t="n">
        <v>1</v>
      </c>
      <c r="D1380" s="40" t="str">
        <f aca="false">IFERROR(INDEX(المكونات!$B$2:$B$500,MATCH($B1380,المكونات!$A$2:$A$500,0)),"")</f>
        <v>قطعة</v>
      </c>
      <c r="E1380" s="41" t="n">
        <f aca="false">IFERROR(INDEX(المكونات!$C$2:$C$500,MATCH($B1380,المكونات!$A$2:$A$500,0)),"")</f>
        <v>42.03</v>
      </c>
      <c r="F1380" s="42" t="n">
        <f aca="false">IFERROR($C1380*$E1380,"")</f>
        <v>42.03</v>
      </c>
    </row>
    <row r="1381" customFormat="false" ht="15" hidden="false" customHeight="true" outlineLevel="0" collapsed="false">
      <c r="A1381" s="39" t="s">
        <v>438</v>
      </c>
      <c r="B1381" s="39" t="s">
        <v>200</v>
      </c>
      <c r="C1381" s="39" t="n">
        <v>1.5</v>
      </c>
      <c r="D1381" s="40" t="str">
        <f aca="false">IFERROR(INDEX(المكونات!$B$2:$B$500,MATCH($B1381,المكونات!$A$2:$A$500,0)),"")</f>
        <v>قطعة</v>
      </c>
      <c r="E1381" s="41" t="n">
        <f aca="false">IFERROR(INDEX(المكونات!$C$2:$C$500,MATCH($B1381,المكونات!$A$2:$A$500,0)),"")</f>
        <v>4</v>
      </c>
      <c r="F1381" s="42" t="n">
        <f aca="false">IFERROR($C1381*$E1381,"")</f>
        <v>6</v>
      </c>
    </row>
    <row r="1382" customFormat="false" ht="15" hidden="false" customHeight="true" outlineLevel="0" collapsed="false">
      <c r="A1382" s="39" t="s">
        <v>438</v>
      </c>
      <c r="B1382" s="39" t="s">
        <v>196</v>
      </c>
      <c r="C1382" s="39" t="n">
        <v>0.045</v>
      </c>
      <c r="D1382" s="40" t="str">
        <f aca="false">IFERROR(INDEX(المكونات!$B$2:$B$500,MATCH($B1382,المكونات!$A$2:$A$500,0)),"")</f>
        <v>كجم</v>
      </c>
      <c r="E1382" s="41" t="n">
        <f aca="false">IFERROR(INDEX(المكونات!$C$2:$C$500,MATCH($B1382,المكونات!$A$2:$A$500,0)),"")</f>
        <v>21</v>
      </c>
      <c r="F1382" s="42" t="n">
        <f aca="false">IFERROR($C1382*$E1382,"")</f>
        <v>0.945</v>
      </c>
    </row>
    <row r="1383" customFormat="false" ht="15" hidden="false" customHeight="true" outlineLevel="0" collapsed="false">
      <c r="A1383" s="39" t="s">
        <v>438</v>
      </c>
      <c r="B1383" s="39" t="s">
        <v>219</v>
      </c>
      <c r="C1383" s="39" t="n">
        <v>0.03</v>
      </c>
      <c r="D1383" s="40" t="str">
        <f aca="false">IFERROR(INDEX(المكونات!$B$2:$B$500,MATCH($B1383,المكونات!$A$2:$A$500,0)),"")</f>
        <v>كجم</v>
      </c>
      <c r="E1383" s="41" t="n">
        <f aca="false">IFERROR(INDEX(المكونات!$C$2:$C$500,MATCH($B1383,المكونات!$A$2:$A$500,0)),"")</f>
        <v>27</v>
      </c>
      <c r="F1383" s="42" t="n">
        <f aca="false">IFERROR($C1383*$E1383,"")</f>
        <v>0.81</v>
      </c>
    </row>
    <row r="1384" customFormat="false" ht="15" hidden="false" customHeight="true" outlineLevel="0" collapsed="false">
      <c r="A1384" s="39" t="s">
        <v>438</v>
      </c>
      <c r="B1384" s="39" t="s">
        <v>162</v>
      </c>
      <c r="C1384" s="39" t="n">
        <v>0.03</v>
      </c>
      <c r="D1384" s="40" t="str">
        <f aca="false">IFERROR(INDEX(المكونات!$B$2:$B$500,MATCH($B1384,المكونات!$A$2:$A$500,0)),"")</f>
        <v>كجم</v>
      </c>
      <c r="E1384" s="41" t="n">
        <f aca="false">IFERROR(INDEX(المكونات!$C$2:$C$500,MATCH($B1384,المكونات!$A$2:$A$500,0)),"")</f>
        <v>95</v>
      </c>
      <c r="F1384" s="42" t="n">
        <f aca="false">IFERROR($C1384*$E1384,"")</f>
        <v>2.85</v>
      </c>
    </row>
    <row r="1385" customFormat="false" ht="15" hidden="false" customHeight="true" outlineLevel="0" collapsed="false">
      <c r="A1385" s="39" t="s">
        <v>438</v>
      </c>
      <c r="B1385" s="39" t="s">
        <v>112</v>
      </c>
      <c r="C1385" s="39" t="n">
        <v>1</v>
      </c>
      <c r="D1385" s="40" t="str">
        <f aca="false">IFERROR(INDEX(المكونات!$B$2:$B$500,MATCH($B1385,المكونات!$A$2:$A$500,0)),"")</f>
        <v>قطعة</v>
      </c>
      <c r="E1385" s="41" t="n">
        <f aca="false">IFERROR(INDEX(المكونات!$C$2:$C$500,MATCH($B1385,المكونات!$A$2:$A$500,0)),"")</f>
        <v>25</v>
      </c>
      <c r="F1385" s="42" t="n">
        <f aca="false">IFERROR($C1385*$E1385,"")</f>
        <v>25</v>
      </c>
    </row>
    <row r="1386" customFormat="false" ht="15" hidden="false" customHeight="true" outlineLevel="0" collapsed="false">
      <c r="A1386" s="39" t="s">
        <v>438</v>
      </c>
      <c r="B1386" s="39" t="s">
        <v>204</v>
      </c>
      <c r="C1386" s="39" t="n">
        <v>1</v>
      </c>
      <c r="D1386" s="40" t="str">
        <f aca="false">IFERROR(INDEX(المكونات!$B$2:$B$500,MATCH($B1386,المكونات!$A$2:$A$500,0)),"")</f>
        <v>قطعة</v>
      </c>
      <c r="E1386" s="41" t="n">
        <f aca="false">IFERROR(INDEX(المكونات!$C$2:$C$500,MATCH($B1386,المكونات!$A$2:$A$500,0)),"")</f>
        <v>5.5</v>
      </c>
      <c r="F1386" s="42" t="n">
        <f aca="false">IFERROR($C1386*$E1386,"")</f>
        <v>5.5</v>
      </c>
    </row>
    <row r="1387" customFormat="false" ht="15" hidden="false" customHeight="true" outlineLevel="0" collapsed="false">
      <c r="A1387" s="39" t="s">
        <v>438</v>
      </c>
      <c r="B1387" s="39" t="s">
        <v>225</v>
      </c>
      <c r="C1387" s="39" t="n">
        <v>3</v>
      </c>
      <c r="D1387" s="40" t="str">
        <f aca="false">IFERROR(INDEX(المكونات!$B$2:$B$500,MATCH($B1387,المكونات!$A$2:$A$500,0)),"")</f>
        <v>قطعة</v>
      </c>
      <c r="E1387" s="41" t="n">
        <f aca="false">IFERROR(INDEX(المكونات!$C$2:$C$500,MATCH($B1387,المكونات!$A$2:$A$500,0)),"")</f>
        <v>0.3</v>
      </c>
      <c r="F1387" s="42" t="n">
        <f aca="false">IFERROR($C1387*$E1387,"")</f>
        <v>0.9</v>
      </c>
    </row>
    <row r="1388" customFormat="false" ht="15" hidden="false" customHeight="true" outlineLevel="0" collapsed="false">
      <c r="A1388" s="39" t="s">
        <v>438</v>
      </c>
      <c r="B1388" s="39" t="s">
        <v>254</v>
      </c>
      <c r="C1388" s="39" t="n">
        <v>1</v>
      </c>
      <c r="D1388" s="40" t="str">
        <f aca="false">IFERROR(INDEX(المكونات!$B$2:$B$500,MATCH($B1388,المكونات!$A$2:$A$500,0)),"")</f>
        <v>قطعة (ورقة)</v>
      </c>
      <c r="E1388" s="41" t="n">
        <f aca="false">IFERROR(INDEX(المكونات!$C$2:$C$500,MATCH($B1388,المكونات!$A$2:$A$500,0)),"")</f>
        <v>0.3665</v>
      </c>
      <c r="F1388" s="42" t="n">
        <f aca="false">IFERROR($C1388*$E1388,"")</f>
        <v>0.3665</v>
      </c>
    </row>
    <row r="1389" customFormat="false" ht="15" hidden="false" customHeight="true" outlineLevel="0" collapsed="false">
      <c r="A1389" s="39" t="s">
        <v>438</v>
      </c>
      <c r="B1389" s="39" t="s">
        <v>67</v>
      </c>
      <c r="C1389" s="39" t="n">
        <v>1</v>
      </c>
      <c r="D1389" s="40" t="str">
        <f aca="false">IFERROR(INDEX(المكونات!$B$2:$B$500,MATCH($B1389,المكونات!$A$2:$A$500,0)),"")</f>
        <v>قطعة (كيس)</v>
      </c>
      <c r="E1389" s="41" t="n">
        <f aca="false">IFERROR(INDEX(المكونات!$C$2:$C$500,MATCH($B1389,المكونات!$A$2:$A$500,0)),"")</f>
        <v>1.4</v>
      </c>
      <c r="F1389" s="42" t="n">
        <f aca="false">IFERROR($C1389*$E1389,"")</f>
        <v>1.4</v>
      </c>
    </row>
    <row r="1390" customFormat="false" ht="15" hidden="false" customHeight="true" outlineLevel="0" collapsed="false">
      <c r="A1390" s="39" t="s">
        <v>438</v>
      </c>
      <c r="B1390" s="39" t="s">
        <v>228</v>
      </c>
      <c r="C1390" s="39" t="n">
        <v>1</v>
      </c>
      <c r="D1390" s="40" t="str">
        <f aca="false">IFERROR(INDEX(المكونات!$B$2:$B$500,MATCH($B1390,المكونات!$A$2:$A$500,0)),"")</f>
        <v>قطعة</v>
      </c>
      <c r="E1390" s="41" t="n">
        <f aca="false">IFERROR(INDEX(المكونات!$C$2:$C$500,MATCH($B1390,المكونات!$A$2:$A$500,0)),"")</f>
        <v>0.5</v>
      </c>
      <c r="F1390" s="42" t="n">
        <f aca="false">IFERROR($C1390*$E1390,"")</f>
        <v>0.5</v>
      </c>
    </row>
    <row r="1391" customFormat="false" ht="15" hidden="false" customHeight="true" outlineLevel="0" collapsed="false">
      <c r="A1391" s="39" t="s">
        <v>438</v>
      </c>
      <c r="B1391" s="39" t="s">
        <v>145</v>
      </c>
      <c r="C1391" s="39" t="n">
        <v>2</v>
      </c>
      <c r="D1391" s="40" t="str">
        <f aca="false">IFERROR(INDEX(المكونات!$B$2:$B$500,MATCH($B1391,المكونات!$A$2:$A$500,0)),"")</f>
        <v>قطعة (جلفز)</v>
      </c>
      <c r="E1391" s="41" t="n">
        <f aca="false">IFERROR(INDEX(المكونات!$C$2:$C$500,MATCH($B1391,المكونات!$A$2:$A$500,0)),"")</f>
        <v>0.18</v>
      </c>
      <c r="F1391" s="42" t="n">
        <f aca="false">IFERROR($C1391*$E1391,"")</f>
        <v>0.36</v>
      </c>
    </row>
    <row r="1392" customFormat="false" ht="15" hidden="false" customHeight="true" outlineLevel="0" collapsed="false">
      <c r="A1392" s="39" t="s">
        <v>438</v>
      </c>
      <c r="B1392" s="39" t="s">
        <v>257</v>
      </c>
      <c r="C1392" s="39" t="n">
        <v>1</v>
      </c>
      <c r="D1392" s="40" t="str">
        <f aca="false">IFERROR(INDEX(المكونات!$B$2:$B$500,MATCH($B1392,المكونات!$A$2:$A$500,0)),"")</f>
        <v>قطعة (كيس)</v>
      </c>
      <c r="E1392" s="41" t="n">
        <f aca="false">IFERROR(INDEX(المكونات!$C$2:$C$500,MATCH($B1392,المكونات!$A$2:$A$500,0)),"")</f>
        <v>0.9995</v>
      </c>
      <c r="F1392" s="42" t="n">
        <f aca="false">IFERROR($C1392*$E1392,"")</f>
        <v>0.9995</v>
      </c>
    </row>
    <row r="1393" customFormat="false" ht="15" hidden="false" customHeight="true" outlineLevel="0" collapsed="false">
      <c r="A1393" s="39" t="s">
        <v>438</v>
      </c>
      <c r="B1393" s="39" t="s">
        <v>215</v>
      </c>
      <c r="C1393" s="39" t="n">
        <v>1.5</v>
      </c>
      <c r="D1393" s="40" t="str">
        <f aca="false">IFERROR(INDEX(المكونات!$B$2:$B$500,MATCH($B1393,المكونات!$A$2:$A$500,0)),"")</f>
        <v>قطعة</v>
      </c>
      <c r="E1393" s="41" t="n">
        <f aca="false">IFERROR(INDEX(المكونات!$C$2:$C$500,MATCH($B1393,المكونات!$A$2:$A$500,0)),"")</f>
        <v>42.03</v>
      </c>
      <c r="F1393" s="42" t="n">
        <f aca="false">IFERROR($C1393*$E1393,"")</f>
        <v>63.045</v>
      </c>
    </row>
    <row r="1394" customFormat="false" ht="15" hidden="false" customHeight="true" outlineLevel="0" collapsed="false">
      <c r="A1394" s="39" t="s">
        <v>353</v>
      </c>
      <c r="B1394" s="39" t="s">
        <v>200</v>
      </c>
      <c r="C1394" s="39" t="n">
        <v>1</v>
      </c>
      <c r="D1394" s="40" t="str">
        <f aca="false">IFERROR(INDEX(المكونات!$B$2:$B$500,MATCH($B1394,المكونات!$A$2:$A$500,0)),"")</f>
        <v>قطعة</v>
      </c>
      <c r="E1394" s="41" t="n">
        <f aca="false">IFERROR(INDEX(المكونات!$C$2:$C$500,MATCH($B1394,المكونات!$A$2:$A$500,0)),"")</f>
        <v>4</v>
      </c>
      <c r="F1394" s="42" t="n">
        <f aca="false">IFERROR($C1394*$E1394,"")</f>
        <v>4</v>
      </c>
    </row>
    <row r="1395" customFormat="false" ht="15" hidden="false" customHeight="true" outlineLevel="0" collapsed="false">
      <c r="A1395" s="39" t="s">
        <v>353</v>
      </c>
      <c r="B1395" s="39" t="s">
        <v>267</v>
      </c>
      <c r="C1395" s="39" t="n">
        <v>0.15</v>
      </c>
      <c r="D1395" s="40" t="str">
        <f aca="false">IFERROR(INDEX(المكونات!$B$2:$B$500,MATCH($B1395,المكونات!$A$2:$A$500,0)),"")</f>
        <v>كجم</v>
      </c>
      <c r="E1395" s="41" t="n">
        <f aca="false">IFERROR(INDEX(المكونات!$C$2:$C$500,MATCH($B1395,المكونات!$A$2:$A$500,0)),"")</f>
        <v>15.3</v>
      </c>
      <c r="F1395" s="42" t="n">
        <f aca="false">IFERROR($C1395*$E1395,"")</f>
        <v>2.295</v>
      </c>
    </row>
    <row r="1396" customFormat="false" ht="15" hidden="false" customHeight="true" outlineLevel="0" collapsed="false">
      <c r="A1396" s="39" t="s">
        <v>353</v>
      </c>
      <c r="B1396" s="39" t="s">
        <v>164</v>
      </c>
      <c r="C1396" s="39" t="n">
        <v>0.05</v>
      </c>
      <c r="D1396" s="40" t="str">
        <f aca="false">IFERROR(INDEX(المكونات!$B$2:$B$500,MATCH($B1396,المكونات!$A$2:$A$500,0)),"")</f>
        <v>كجم</v>
      </c>
      <c r="E1396" s="41" t="n">
        <f aca="false">IFERROR(INDEX(المكونات!$C$2:$C$500,MATCH($B1396,المكونات!$A$2:$A$500,0)),"")</f>
        <v>30.2614</v>
      </c>
      <c r="F1396" s="42" t="n">
        <f aca="false">IFERROR($C1396*$E1396,"")</f>
        <v>1.51307</v>
      </c>
    </row>
    <row r="1397" customFormat="false" ht="15" hidden="false" customHeight="true" outlineLevel="0" collapsed="false">
      <c r="A1397" s="39" t="s">
        <v>353</v>
      </c>
      <c r="B1397" s="39" t="s">
        <v>59</v>
      </c>
      <c r="C1397" s="39" t="n">
        <v>1</v>
      </c>
      <c r="D1397" s="40" t="str">
        <f aca="false">IFERROR(INDEX(المكونات!$B$2:$B$500,MATCH($B1397,المكونات!$A$2:$A$500,0)),"")</f>
        <v>قطعة</v>
      </c>
      <c r="E1397" s="41" t="n">
        <f aca="false">IFERROR(INDEX(المكونات!$C$2:$C$500,MATCH($B1397,المكونات!$A$2:$A$500,0)),"")</f>
        <v>0.8</v>
      </c>
      <c r="F1397" s="42" t="n">
        <f aca="false">IFERROR($C1397*$E1397,"")</f>
        <v>0.8</v>
      </c>
    </row>
    <row r="1398" customFormat="false" ht="26.25" hidden="false" customHeight="true" outlineLevel="0" collapsed="false">
      <c r="A1398" s="39" t="s">
        <v>353</v>
      </c>
      <c r="B1398" s="39" t="s">
        <v>126</v>
      </c>
      <c r="C1398" s="39" t="n">
        <v>1</v>
      </c>
      <c r="D1398" s="40" t="str">
        <f aca="false">IFERROR(INDEX(المكونات!$B$2:$B$500,MATCH($B1398,المكونات!$A$2:$A$500,0)),"")</f>
        <v>قطعة (لفة استخدام)</v>
      </c>
      <c r="E1398" s="41" t="n">
        <f aca="false">IFERROR(INDEX(المكونات!$C$2:$C$500,MATCH($B1398,المكونات!$A$2:$A$500,0)),"")</f>
        <v>3.566</v>
      </c>
      <c r="F1398" s="42" t="n">
        <f aca="false">IFERROR($C1398*$E1398,"")</f>
        <v>3.566</v>
      </c>
    </row>
    <row r="1399" customFormat="false" ht="15" hidden="false" customHeight="true" outlineLevel="0" collapsed="false">
      <c r="A1399" s="39" t="s">
        <v>353</v>
      </c>
      <c r="B1399" s="39" t="s">
        <v>174</v>
      </c>
      <c r="C1399" s="39" t="n">
        <v>1</v>
      </c>
      <c r="D1399" s="40" t="str">
        <f aca="false">IFERROR(INDEX(المكونات!$B$2:$B$500,MATCH($B1399,المكونات!$A$2:$A$500,0)),"")</f>
        <v>قطعة</v>
      </c>
      <c r="E1399" s="41" t="n">
        <f aca="false">IFERROR(INDEX(المكونات!$C$2:$C$500,MATCH($B1399,المكونات!$A$2:$A$500,0)),"")</f>
        <v>0.6744</v>
      </c>
      <c r="F1399" s="42" t="n">
        <f aca="false">IFERROR($C1399*$E1399,"")</f>
        <v>0.6744</v>
      </c>
    </row>
    <row r="1400" customFormat="false" ht="15" hidden="false" customHeight="true" outlineLevel="0" collapsed="false">
      <c r="A1400" s="39" t="s">
        <v>353</v>
      </c>
      <c r="B1400" s="39" t="s">
        <v>178</v>
      </c>
      <c r="C1400" s="39" t="n">
        <v>1</v>
      </c>
      <c r="D1400" s="40" t="str">
        <f aca="false">IFERROR(INDEX(المكونات!$B$2:$B$500,MATCH($B1400,المكونات!$A$2:$A$500,0)),"")</f>
        <v>قطعة</v>
      </c>
      <c r="E1400" s="41" t="n">
        <f aca="false">IFERROR(INDEX(المكونات!$C$2:$C$500,MATCH($B1400,المكونات!$A$2:$A$500,0)),"")</f>
        <v>0.3</v>
      </c>
      <c r="F1400" s="42" t="n">
        <f aca="false">IFERROR($C1400*$E1400,"")</f>
        <v>0.3</v>
      </c>
    </row>
    <row r="1401" customFormat="false" ht="15" hidden="false" customHeight="true" outlineLevel="0" collapsed="false">
      <c r="A1401" s="39" t="s">
        <v>353</v>
      </c>
      <c r="B1401" s="39" t="s">
        <v>145</v>
      </c>
      <c r="C1401" s="39" t="n">
        <v>2</v>
      </c>
      <c r="D1401" s="40" t="str">
        <f aca="false">IFERROR(INDEX(المكونات!$B$2:$B$500,MATCH($B1401,المكونات!$A$2:$A$500,0)),"")</f>
        <v>قطعة (جلفز)</v>
      </c>
      <c r="E1401" s="41" t="n">
        <f aca="false">IFERROR(INDEX(المكونات!$C$2:$C$500,MATCH($B1401,المكونات!$A$2:$A$500,0)),"")</f>
        <v>0.18</v>
      </c>
      <c r="F1401" s="42" t="n">
        <f aca="false">IFERROR($C1401*$E1401,"")</f>
        <v>0.36</v>
      </c>
    </row>
    <row r="1402" customFormat="false" ht="15" hidden="false" customHeight="true" outlineLevel="0" collapsed="false">
      <c r="A1402" s="39" t="s">
        <v>353</v>
      </c>
      <c r="B1402" s="39" t="s">
        <v>70</v>
      </c>
      <c r="C1402" s="39" t="n">
        <v>1</v>
      </c>
      <c r="D1402" s="40" t="str">
        <f aca="false">IFERROR(INDEX(المكونات!$B$2:$B$500,MATCH($B1402,المكونات!$A$2:$A$500,0)),"")</f>
        <v>قطعة (كيس)</v>
      </c>
      <c r="E1402" s="41" t="n">
        <f aca="false">IFERROR(INDEX(المكونات!$C$2:$C$500,MATCH($B1402,المكونات!$A$2:$A$500,0)),"")</f>
        <v>1.4</v>
      </c>
      <c r="F1402" s="42" t="n">
        <f aca="false">IFERROR($C1402*$E1402,"")</f>
        <v>1.4</v>
      </c>
    </row>
    <row r="1403" customFormat="false" ht="15" hidden="false" customHeight="true" outlineLevel="0" collapsed="false">
      <c r="A1403" s="39" t="s">
        <v>369</v>
      </c>
      <c r="B1403" s="39" t="s">
        <v>200</v>
      </c>
      <c r="C1403" s="39" t="n">
        <v>1</v>
      </c>
      <c r="D1403" s="40" t="str">
        <f aca="false">IFERROR(INDEX(المكونات!$B$2:$B$500,MATCH($B1403,المكونات!$A$2:$A$500,0)),"")</f>
        <v>قطعة</v>
      </c>
      <c r="E1403" s="41" t="n">
        <f aca="false">IFERROR(INDEX(المكونات!$C$2:$C$500,MATCH($B1403,المكونات!$A$2:$A$500,0)),"")</f>
        <v>4</v>
      </c>
      <c r="F1403" s="42" t="n">
        <f aca="false">IFERROR($C1403*$E1403,"")</f>
        <v>4</v>
      </c>
    </row>
    <row r="1404" customFormat="false" ht="15" hidden="false" customHeight="true" outlineLevel="0" collapsed="false">
      <c r="A1404" s="39" t="s">
        <v>369</v>
      </c>
      <c r="B1404" s="39" t="s">
        <v>267</v>
      </c>
      <c r="C1404" s="39" t="n">
        <v>0.15</v>
      </c>
      <c r="D1404" s="40" t="str">
        <f aca="false">IFERROR(INDEX(المكونات!$B$2:$B$500,MATCH($B1404,المكونات!$A$2:$A$500,0)),"")</f>
        <v>كجم</v>
      </c>
      <c r="E1404" s="41" t="n">
        <f aca="false">IFERROR(INDEX(المكونات!$C$2:$C$500,MATCH($B1404,المكونات!$A$2:$A$500,0)),"")</f>
        <v>15.3</v>
      </c>
      <c r="F1404" s="42" t="n">
        <f aca="false">IFERROR($C1404*$E1404,"")</f>
        <v>2.295</v>
      </c>
    </row>
    <row r="1405" customFormat="false" ht="15" hidden="false" customHeight="true" outlineLevel="0" collapsed="false">
      <c r="A1405" s="39" t="s">
        <v>369</v>
      </c>
      <c r="B1405" s="39" t="s">
        <v>156</v>
      </c>
      <c r="C1405" s="39" t="n">
        <v>0.06</v>
      </c>
      <c r="D1405" s="40" t="str">
        <f aca="false">IFERROR(INDEX(المكونات!$B$2:$B$500,MATCH($B1405,المكونات!$A$2:$A$500,0)),"")</f>
        <v>كجم</v>
      </c>
      <c r="E1405" s="41" t="n">
        <f aca="false">IFERROR(INDEX(المكونات!$C$2:$C$500,MATCH($B1405,المكونات!$A$2:$A$500,0)),"")</f>
        <v>220</v>
      </c>
      <c r="F1405" s="42" t="n">
        <f aca="false">IFERROR($C1405*$E1405,"")</f>
        <v>13.2</v>
      </c>
    </row>
    <row r="1406" customFormat="false" ht="15" hidden="false" customHeight="true" outlineLevel="0" collapsed="false">
      <c r="A1406" s="39" t="s">
        <v>369</v>
      </c>
      <c r="B1406" s="39" t="s">
        <v>148</v>
      </c>
      <c r="C1406" s="39" t="n">
        <v>0.03</v>
      </c>
      <c r="D1406" s="40" t="str">
        <f aca="false">IFERROR(INDEX(المكونات!$B$2:$B$500,MATCH($B1406,المكونات!$A$2:$A$500,0)),"")</f>
        <v>كجم</v>
      </c>
      <c r="E1406" s="41" t="n">
        <f aca="false">IFERROR(INDEX(المكونات!$C$2:$C$500,MATCH($B1406,المكونات!$A$2:$A$500,0)),"")</f>
        <v>200</v>
      </c>
      <c r="F1406" s="42" t="n">
        <f aca="false">IFERROR($C1406*$E1406,"")</f>
        <v>6</v>
      </c>
    </row>
    <row r="1407" customFormat="false" ht="15" hidden="false" customHeight="true" outlineLevel="0" collapsed="false">
      <c r="A1407" s="39" t="s">
        <v>369</v>
      </c>
      <c r="B1407" s="39" t="s">
        <v>164</v>
      </c>
      <c r="C1407" s="39" t="n">
        <v>0.05</v>
      </c>
      <c r="D1407" s="40" t="str">
        <f aca="false">IFERROR(INDEX(المكونات!$B$2:$B$500,MATCH($B1407,المكونات!$A$2:$A$500,0)),"")</f>
        <v>كجم</v>
      </c>
      <c r="E1407" s="41" t="n">
        <f aca="false">IFERROR(INDEX(المكونات!$C$2:$C$500,MATCH($B1407,المكونات!$A$2:$A$500,0)),"")</f>
        <v>30.2614</v>
      </c>
      <c r="F1407" s="42" t="n">
        <f aca="false">IFERROR($C1407*$E1407,"")</f>
        <v>1.51307</v>
      </c>
    </row>
    <row r="1408" customFormat="false" ht="26.25" hidden="false" customHeight="true" outlineLevel="0" collapsed="false">
      <c r="A1408" s="39" t="s">
        <v>369</v>
      </c>
      <c r="B1408" s="39" t="s">
        <v>126</v>
      </c>
      <c r="C1408" s="39" t="n">
        <v>1</v>
      </c>
      <c r="D1408" s="40" t="str">
        <f aca="false">IFERROR(INDEX(المكونات!$B$2:$B$500,MATCH($B1408,المكونات!$A$2:$A$500,0)),"")</f>
        <v>قطعة (لفة استخدام)</v>
      </c>
      <c r="E1408" s="41" t="n">
        <f aca="false">IFERROR(INDEX(المكونات!$C$2:$C$500,MATCH($B1408,المكونات!$A$2:$A$500,0)),"")</f>
        <v>3.566</v>
      </c>
      <c r="F1408" s="42" t="n">
        <f aca="false">IFERROR($C1408*$E1408,"")</f>
        <v>3.566</v>
      </c>
    </row>
    <row r="1409" customFormat="false" ht="15" hidden="false" customHeight="true" outlineLevel="0" collapsed="false">
      <c r="A1409" s="39" t="s">
        <v>369</v>
      </c>
      <c r="B1409" s="39" t="s">
        <v>213</v>
      </c>
      <c r="C1409" s="39" t="n">
        <v>1</v>
      </c>
      <c r="D1409" s="40" t="str">
        <f aca="false">IFERROR(INDEX(المكونات!$B$2:$B$500,MATCH($B1409,المكونات!$A$2:$A$500,0)),"")</f>
        <v>قطعة</v>
      </c>
      <c r="E1409" s="41" t="n">
        <f aca="false">IFERROR(INDEX(المكونات!$C$2:$C$500,MATCH($B1409,المكونات!$A$2:$A$500,0)),"")</f>
        <v>3.1</v>
      </c>
      <c r="F1409" s="42" t="n">
        <f aca="false">IFERROR($C1409*$E1409,"")</f>
        <v>3.1</v>
      </c>
    </row>
    <row r="1410" customFormat="false" ht="15" hidden="false" customHeight="true" outlineLevel="0" collapsed="false">
      <c r="A1410" s="39" t="s">
        <v>369</v>
      </c>
      <c r="B1410" s="39" t="s">
        <v>178</v>
      </c>
      <c r="C1410" s="39" t="n">
        <v>1</v>
      </c>
      <c r="D1410" s="40" t="str">
        <f aca="false">IFERROR(INDEX(المكونات!$B$2:$B$500,MATCH($B1410,المكونات!$A$2:$A$500,0)),"")</f>
        <v>قطعة</v>
      </c>
      <c r="E1410" s="41" t="n">
        <f aca="false">IFERROR(INDEX(المكونات!$C$2:$C$500,MATCH($B1410,المكونات!$A$2:$A$500,0)),"")</f>
        <v>0.3</v>
      </c>
      <c r="F1410" s="42" t="n">
        <f aca="false">IFERROR($C1410*$E1410,"")</f>
        <v>0.3</v>
      </c>
    </row>
    <row r="1411" customFormat="false" ht="15" hidden="false" customHeight="true" outlineLevel="0" collapsed="false">
      <c r="A1411" s="39" t="s">
        <v>369</v>
      </c>
      <c r="B1411" s="39" t="s">
        <v>70</v>
      </c>
      <c r="C1411" s="39" t="n">
        <v>1</v>
      </c>
      <c r="D1411" s="40" t="str">
        <f aca="false">IFERROR(INDEX(المكونات!$B$2:$B$500,MATCH($B1411,المكونات!$A$2:$A$500,0)),"")</f>
        <v>قطعة (كيس)</v>
      </c>
      <c r="E1411" s="41" t="n">
        <f aca="false">IFERROR(INDEX(المكونات!$C$2:$C$500,MATCH($B1411,المكونات!$A$2:$A$500,0)),"")</f>
        <v>1.4</v>
      </c>
      <c r="F1411" s="42" t="n">
        <f aca="false">IFERROR($C1411*$E1411,"")</f>
        <v>1.4</v>
      </c>
    </row>
    <row r="1412" customFormat="false" ht="15" hidden="false" customHeight="true" outlineLevel="0" collapsed="false">
      <c r="A1412" s="39" t="s">
        <v>329</v>
      </c>
      <c r="B1412" s="39" t="s">
        <v>200</v>
      </c>
      <c r="C1412" s="39" t="n">
        <v>1</v>
      </c>
      <c r="D1412" s="40" t="str">
        <f aca="false">IFERROR(INDEX(المكونات!$B$2:$B$500,MATCH($B1412,المكونات!$A$2:$A$500,0)),"")</f>
        <v>قطعة</v>
      </c>
      <c r="E1412" s="41" t="n">
        <f aca="false">IFERROR(INDEX(المكونات!$C$2:$C$500,MATCH($B1412,المكونات!$A$2:$A$500,0)),"")</f>
        <v>4</v>
      </c>
      <c r="F1412" s="42" t="n">
        <f aca="false">IFERROR($C1412*$E1412,"")</f>
        <v>4</v>
      </c>
    </row>
    <row r="1413" customFormat="false" ht="15" hidden="false" customHeight="true" outlineLevel="0" collapsed="false">
      <c r="A1413" s="39" t="s">
        <v>329</v>
      </c>
      <c r="B1413" s="39" t="s">
        <v>267</v>
      </c>
      <c r="C1413" s="39" t="n">
        <v>0.15</v>
      </c>
      <c r="D1413" s="40" t="str">
        <f aca="false">IFERROR(INDEX(المكونات!$B$2:$B$500,MATCH($B1413,المكونات!$A$2:$A$500,0)),"")</f>
        <v>كجم</v>
      </c>
      <c r="E1413" s="41" t="n">
        <f aca="false">IFERROR(INDEX(المكونات!$C$2:$C$500,MATCH($B1413,المكونات!$A$2:$A$500,0)),"")</f>
        <v>15.3</v>
      </c>
      <c r="F1413" s="42" t="n">
        <f aca="false">IFERROR($C1413*$E1413,"")</f>
        <v>2.295</v>
      </c>
    </row>
    <row r="1414" customFormat="false" ht="15" hidden="false" customHeight="true" outlineLevel="0" collapsed="false">
      <c r="A1414" s="39" t="s">
        <v>329</v>
      </c>
      <c r="B1414" s="39" t="s">
        <v>180</v>
      </c>
      <c r="C1414" s="39" t="n">
        <v>0.16</v>
      </c>
      <c r="D1414" s="40" t="str">
        <f aca="false">IFERROR(INDEX(المكونات!$B$2:$B$500,MATCH($B1414,المكونات!$A$2:$A$500,0)),"")</f>
        <v>كجم</v>
      </c>
      <c r="E1414" s="41" t="n">
        <f aca="false">IFERROR(INDEX(المكونات!$C$2:$C$500,MATCH($B1414,المكونات!$A$2:$A$500,0)),"")</f>
        <v>130</v>
      </c>
      <c r="F1414" s="42" t="n">
        <f aca="false">IFERROR($C1414*$E1414,"")</f>
        <v>20.8</v>
      </c>
    </row>
    <row r="1415" customFormat="false" ht="15" hidden="false" customHeight="true" outlineLevel="0" collapsed="false">
      <c r="A1415" s="39" t="s">
        <v>329</v>
      </c>
      <c r="B1415" s="39" t="s">
        <v>182</v>
      </c>
      <c r="C1415" s="39" t="n">
        <v>0.03</v>
      </c>
      <c r="D1415" s="40" t="str">
        <f aca="false">IFERROR(INDEX(المكونات!$B$2:$B$500,MATCH($B1415,المكونات!$A$2:$A$500,0)),"")</f>
        <v>كجم</v>
      </c>
      <c r="E1415" s="41" t="n">
        <f aca="false">IFERROR(INDEX(المكونات!$C$2:$C$500,MATCH($B1415,المكونات!$A$2:$A$500,0)),"")</f>
        <v>100</v>
      </c>
      <c r="F1415" s="42" t="n">
        <f aca="false">IFERROR($C1415*$E1415,"")</f>
        <v>3</v>
      </c>
    </row>
    <row r="1416" customFormat="false" ht="15" hidden="false" customHeight="true" outlineLevel="0" collapsed="false">
      <c r="A1416" s="39" t="s">
        <v>329</v>
      </c>
      <c r="B1416" s="39" t="s">
        <v>230</v>
      </c>
      <c r="C1416" s="39" t="n">
        <v>0.01</v>
      </c>
      <c r="D1416" s="40" t="str">
        <f aca="false">IFERROR(INDEX(المكونات!$B$2:$B$500,MATCH($B1416,المكونات!$A$2:$A$500,0)),"")</f>
        <v>كجم</v>
      </c>
      <c r="E1416" s="41" t="n">
        <f aca="false">IFERROR(INDEX(المكونات!$C$2:$C$500,MATCH($B1416,المكونات!$A$2:$A$500,0)),"")</f>
        <v>420</v>
      </c>
      <c r="F1416" s="42" t="n">
        <f aca="false">IFERROR($C1416*$E1416,"")</f>
        <v>4.2</v>
      </c>
    </row>
    <row r="1417" customFormat="false" ht="26.25" hidden="false" customHeight="true" outlineLevel="0" collapsed="false">
      <c r="A1417" s="39" t="s">
        <v>329</v>
      </c>
      <c r="B1417" s="39" t="s">
        <v>126</v>
      </c>
      <c r="C1417" s="39" t="n">
        <v>1</v>
      </c>
      <c r="D1417" s="40" t="str">
        <f aca="false">IFERROR(INDEX(المكونات!$B$2:$B$500,MATCH($B1417,المكونات!$A$2:$A$500,0)),"")</f>
        <v>قطعة (لفة استخدام)</v>
      </c>
      <c r="E1417" s="41" t="n">
        <f aca="false">IFERROR(INDEX(المكونات!$C$2:$C$500,MATCH($B1417,المكونات!$A$2:$A$500,0)),"")</f>
        <v>3.566</v>
      </c>
      <c r="F1417" s="42" t="n">
        <f aca="false">IFERROR($C1417*$E1417,"")</f>
        <v>3.566</v>
      </c>
    </row>
    <row r="1418" customFormat="false" ht="15" hidden="false" customHeight="true" outlineLevel="0" collapsed="false">
      <c r="A1418" s="39" t="s">
        <v>329</v>
      </c>
      <c r="B1418" s="39" t="s">
        <v>213</v>
      </c>
      <c r="C1418" s="39" t="n">
        <v>1</v>
      </c>
      <c r="D1418" s="40" t="str">
        <f aca="false">IFERROR(INDEX(المكونات!$B$2:$B$500,MATCH($B1418,المكونات!$A$2:$A$500,0)),"")</f>
        <v>قطعة</v>
      </c>
      <c r="E1418" s="41" t="n">
        <f aca="false">IFERROR(INDEX(المكونات!$C$2:$C$500,MATCH($B1418,المكونات!$A$2:$A$500,0)),"")</f>
        <v>3.1</v>
      </c>
      <c r="F1418" s="42" t="n">
        <f aca="false">IFERROR($C1418*$E1418,"")</f>
        <v>3.1</v>
      </c>
    </row>
    <row r="1419" customFormat="false" ht="15" hidden="false" customHeight="true" outlineLevel="0" collapsed="false">
      <c r="A1419" s="39" t="s">
        <v>329</v>
      </c>
      <c r="B1419" s="39" t="s">
        <v>178</v>
      </c>
      <c r="C1419" s="39" t="n">
        <v>1</v>
      </c>
      <c r="D1419" s="40" t="str">
        <f aca="false">IFERROR(INDEX(المكونات!$B$2:$B$500,MATCH($B1419,المكونات!$A$2:$A$500,0)),"")</f>
        <v>قطعة</v>
      </c>
      <c r="E1419" s="41" t="n">
        <f aca="false">IFERROR(INDEX(المكونات!$C$2:$C$500,MATCH($B1419,المكونات!$A$2:$A$500,0)),"")</f>
        <v>0.3</v>
      </c>
      <c r="F1419" s="42" t="n">
        <f aca="false">IFERROR($C1419*$E1419,"")</f>
        <v>0.3</v>
      </c>
    </row>
    <row r="1420" customFormat="false" ht="15" hidden="false" customHeight="true" outlineLevel="0" collapsed="false">
      <c r="A1420" s="39" t="s">
        <v>329</v>
      </c>
      <c r="B1420" s="39" t="s">
        <v>70</v>
      </c>
      <c r="C1420" s="39" t="n">
        <v>1</v>
      </c>
      <c r="D1420" s="40" t="str">
        <f aca="false">IFERROR(INDEX(المكونات!$B$2:$B$500,MATCH($B1420,المكونات!$A$2:$A$500,0)),"")</f>
        <v>قطعة (كيس)</v>
      </c>
      <c r="E1420" s="41" t="n">
        <f aca="false">IFERROR(INDEX(المكونات!$C$2:$C$500,MATCH($B1420,المكونات!$A$2:$A$500,0)),"")</f>
        <v>1.4</v>
      </c>
      <c r="F1420" s="42" t="n">
        <f aca="false">IFERROR($C1420*$E1420,"")</f>
        <v>1.4</v>
      </c>
    </row>
    <row r="1421" customFormat="false" ht="15" hidden="false" customHeight="true" outlineLevel="0" collapsed="false">
      <c r="A1421" s="39" t="s">
        <v>422</v>
      </c>
      <c r="B1421" s="39" t="s">
        <v>200</v>
      </c>
      <c r="C1421" s="39" t="n">
        <v>1</v>
      </c>
      <c r="D1421" s="40" t="str">
        <f aca="false">IFERROR(INDEX(المكونات!$B$2:$B$500,MATCH($B1421,المكونات!$A$2:$A$500,0)),"")</f>
        <v>قطعة</v>
      </c>
      <c r="E1421" s="41" t="n">
        <f aca="false">IFERROR(INDEX(المكونات!$C$2:$C$500,MATCH($B1421,المكونات!$A$2:$A$500,0)),"")</f>
        <v>4</v>
      </c>
      <c r="F1421" s="42" t="n">
        <f aca="false">IFERROR($C1421*$E1421,"")</f>
        <v>4</v>
      </c>
    </row>
    <row r="1422" customFormat="false" ht="15" hidden="false" customHeight="true" outlineLevel="0" collapsed="false">
      <c r="A1422" s="39" t="s">
        <v>422</v>
      </c>
      <c r="B1422" s="39" t="s">
        <v>267</v>
      </c>
      <c r="C1422" s="39" t="n">
        <v>0.15</v>
      </c>
      <c r="D1422" s="40" t="str">
        <f aca="false">IFERROR(INDEX(المكونات!$B$2:$B$500,MATCH($B1422,المكونات!$A$2:$A$500,0)),"")</f>
        <v>كجم</v>
      </c>
      <c r="E1422" s="41" t="n">
        <f aca="false">IFERROR(INDEX(المكونات!$C$2:$C$500,MATCH($B1422,المكونات!$A$2:$A$500,0)),"")</f>
        <v>15.3</v>
      </c>
      <c r="F1422" s="42" t="n">
        <f aca="false">IFERROR($C1422*$E1422,"")</f>
        <v>2.295</v>
      </c>
    </row>
    <row r="1423" customFormat="false" ht="15" hidden="false" customHeight="true" outlineLevel="0" collapsed="false">
      <c r="A1423" s="39" t="s">
        <v>422</v>
      </c>
      <c r="B1423" s="39" t="s">
        <v>237</v>
      </c>
      <c r="C1423" s="39" t="n">
        <v>0.16</v>
      </c>
      <c r="D1423" s="40" t="str">
        <f aca="false">IFERROR(INDEX(المكونات!$B$2:$B$500,MATCH($B1423,المكونات!$A$2:$A$500,0)),"")</f>
        <v>كجم</v>
      </c>
      <c r="E1423" s="41" t="n">
        <f aca="false">IFERROR(INDEX(المكونات!$C$2:$C$500,MATCH($B1423,المكونات!$A$2:$A$500,0)),"")</f>
        <v>135</v>
      </c>
      <c r="F1423" s="42" t="n">
        <f aca="false">IFERROR($C1423*$E1423,"")</f>
        <v>21.6</v>
      </c>
    </row>
    <row r="1424" customFormat="false" ht="15" hidden="false" customHeight="true" outlineLevel="0" collapsed="false">
      <c r="A1424" s="39" t="s">
        <v>422</v>
      </c>
      <c r="B1424" s="39" t="s">
        <v>119</v>
      </c>
      <c r="C1424" s="39" t="n">
        <v>0.04</v>
      </c>
      <c r="D1424" s="40" t="str">
        <f aca="false">IFERROR(INDEX(المكونات!$B$2:$B$500,MATCH($B1424,المكونات!$A$2:$A$500,0)),"")</f>
        <v>كجم</v>
      </c>
      <c r="E1424" s="41" t="n">
        <f aca="false">IFERROR(INDEX(المكونات!$C$2:$C$500,MATCH($B1424,المكونات!$A$2:$A$500,0)),"")</f>
        <v>100</v>
      </c>
      <c r="F1424" s="42" t="n">
        <f aca="false">IFERROR($C1424*$E1424,"")</f>
        <v>4</v>
      </c>
    </row>
    <row r="1425" customFormat="false" ht="15" hidden="false" customHeight="true" outlineLevel="0" collapsed="false">
      <c r="A1425" s="39" t="s">
        <v>422</v>
      </c>
      <c r="B1425" s="39" t="s">
        <v>117</v>
      </c>
      <c r="C1425" s="39" t="n">
        <v>0.02</v>
      </c>
      <c r="D1425" s="40" t="str">
        <f aca="false">IFERROR(INDEX(المكونات!$B$2:$B$500,MATCH($B1425,المكونات!$A$2:$A$500,0)),"")</f>
        <v>كجم</v>
      </c>
      <c r="E1425" s="41" t="n">
        <f aca="false">IFERROR(INDEX(المكونات!$C$2:$C$500,MATCH($B1425,المكونات!$A$2:$A$500,0)),"")</f>
        <v>104.58</v>
      </c>
      <c r="F1425" s="42" t="n">
        <f aca="false">IFERROR($C1425*$E1425,"")</f>
        <v>2.0916</v>
      </c>
    </row>
    <row r="1426" customFormat="false" ht="26.25" hidden="false" customHeight="true" outlineLevel="0" collapsed="false">
      <c r="A1426" s="39" t="s">
        <v>422</v>
      </c>
      <c r="B1426" s="39" t="s">
        <v>126</v>
      </c>
      <c r="C1426" s="39" t="n">
        <v>1</v>
      </c>
      <c r="D1426" s="40" t="str">
        <f aca="false">IFERROR(INDEX(المكونات!$B$2:$B$500,MATCH($B1426,المكونات!$A$2:$A$500,0)),"")</f>
        <v>قطعة (لفة استخدام)</v>
      </c>
      <c r="E1426" s="41" t="n">
        <f aca="false">IFERROR(INDEX(المكونات!$C$2:$C$500,MATCH($B1426,المكونات!$A$2:$A$500,0)),"")</f>
        <v>3.566</v>
      </c>
      <c r="F1426" s="42" t="n">
        <f aca="false">IFERROR($C1426*$E1426,"")</f>
        <v>3.566</v>
      </c>
    </row>
    <row r="1427" customFormat="false" ht="15" hidden="false" customHeight="true" outlineLevel="0" collapsed="false">
      <c r="A1427" s="39" t="s">
        <v>422</v>
      </c>
      <c r="B1427" s="39" t="s">
        <v>213</v>
      </c>
      <c r="C1427" s="39" t="n">
        <v>1</v>
      </c>
      <c r="D1427" s="40" t="str">
        <f aca="false">IFERROR(INDEX(المكونات!$B$2:$B$500,MATCH($B1427,المكونات!$A$2:$A$500,0)),"")</f>
        <v>قطعة</v>
      </c>
      <c r="E1427" s="41" t="n">
        <f aca="false">IFERROR(INDEX(المكونات!$C$2:$C$500,MATCH($B1427,المكونات!$A$2:$A$500,0)),"")</f>
        <v>3.1</v>
      </c>
      <c r="F1427" s="42" t="n">
        <f aca="false">IFERROR($C1427*$E1427,"")</f>
        <v>3.1</v>
      </c>
    </row>
    <row r="1428" customFormat="false" ht="15" hidden="false" customHeight="true" outlineLevel="0" collapsed="false">
      <c r="A1428" s="39" t="s">
        <v>422</v>
      </c>
      <c r="B1428" s="39" t="s">
        <v>178</v>
      </c>
      <c r="C1428" s="39" t="n">
        <v>1</v>
      </c>
      <c r="D1428" s="40" t="str">
        <f aca="false">IFERROR(INDEX(المكونات!$B$2:$B$500,MATCH($B1428,المكونات!$A$2:$A$500,0)),"")</f>
        <v>قطعة</v>
      </c>
      <c r="E1428" s="41" t="n">
        <f aca="false">IFERROR(INDEX(المكونات!$C$2:$C$500,MATCH($B1428,المكونات!$A$2:$A$500,0)),"")</f>
        <v>0.3</v>
      </c>
      <c r="F1428" s="42" t="n">
        <f aca="false">IFERROR($C1428*$E1428,"")</f>
        <v>0.3</v>
      </c>
    </row>
    <row r="1429" customFormat="false" ht="15" hidden="false" customHeight="true" outlineLevel="0" collapsed="false">
      <c r="A1429" s="39" t="s">
        <v>422</v>
      </c>
      <c r="B1429" s="39" t="s">
        <v>70</v>
      </c>
      <c r="C1429" s="39" t="n">
        <v>1</v>
      </c>
      <c r="D1429" s="40" t="str">
        <f aca="false">IFERROR(INDEX(المكونات!$B$2:$B$500,MATCH($B1429,المكونات!$A$2:$A$500,0)),"")</f>
        <v>قطعة (كيس)</v>
      </c>
      <c r="E1429" s="41" t="n">
        <f aca="false">IFERROR(INDEX(المكونات!$C$2:$C$500,MATCH($B1429,المكونات!$A$2:$A$500,0)),"")</f>
        <v>1.4</v>
      </c>
      <c r="F1429" s="42" t="n">
        <f aca="false">IFERROR($C1429*$E1429,"")</f>
        <v>1.4</v>
      </c>
    </row>
    <row r="1430" customFormat="false" ht="15" hidden="false" customHeight="true" outlineLevel="0" collapsed="false">
      <c r="A1430" s="39" t="s">
        <v>376</v>
      </c>
      <c r="B1430" s="39" t="s">
        <v>198</v>
      </c>
      <c r="C1430" s="39" t="n">
        <v>0.22</v>
      </c>
      <c r="D1430" s="40" t="str">
        <f aca="false">IFERROR(INDEX(المكونات!$B$2:$B$500,MATCH($B1430,المكونات!$A$2:$A$500,0)),"")</f>
        <v>كجم</v>
      </c>
      <c r="E1430" s="41" t="n">
        <f aca="false">IFERROR(INDEX(المكونات!$C$2:$C$500,MATCH($B1430,المكونات!$A$2:$A$500,0)),"")</f>
        <v>22</v>
      </c>
      <c r="F1430" s="42" t="n">
        <f aca="false">IFERROR($C1430*$E1430,"")</f>
        <v>4.84</v>
      </c>
    </row>
    <row r="1431" customFormat="false" ht="15" hidden="false" customHeight="true" outlineLevel="0" collapsed="false">
      <c r="A1431" s="39" t="s">
        <v>376</v>
      </c>
      <c r="B1431" s="39" t="s">
        <v>275</v>
      </c>
      <c r="C1431" s="39" t="n">
        <v>3</v>
      </c>
      <c r="D1431" s="40" t="str">
        <f aca="false">IFERROR(INDEX(المكونات!$B$2:$B$500,MATCH($B1431,المكونات!$A$2:$A$500,0)),"")</f>
        <v>قطعة</v>
      </c>
      <c r="E1431" s="41" t="n">
        <f aca="false">IFERROR(INDEX(المكونات!$C$2:$C$500,MATCH($B1431,المكونات!$A$2:$A$500,0)),"")</f>
        <v>6</v>
      </c>
      <c r="F1431" s="42" t="n">
        <f aca="false">IFERROR($C1431*$E1431,"")</f>
        <v>18</v>
      </c>
    </row>
    <row r="1432" customFormat="false" ht="15" hidden="false" customHeight="true" outlineLevel="0" collapsed="false">
      <c r="A1432" s="39" t="s">
        <v>376</v>
      </c>
      <c r="B1432" s="39" t="s">
        <v>110</v>
      </c>
      <c r="C1432" s="39" t="n">
        <v>0.5</v>
      </c>
      <c r="D1432" s="40" t="str">
        <f aca="false">IFERROR(INDEX(المكونات!$B$2:$B$500,MATCH($B1432,المكونات!$A$2:$A$500,0)),"")</f>
        <v>قطعة</v>
      </c>
      <c r="E1432" s="41" t="n">
        <f aca="false">IFERROR(INDEX(المكونات!$C$2:$C$500,MATCH($B1432,المكونات!$A$2:$A$500,0)),"")</f>
        <v>17.5</v>
      </c>
      <c r="F1432" s="42" t="n">
        <f aca="false">IFERROR($C1432*$E1432,"")</f>
        <v>8.75</v>
      </c>
    </row>
    <row r="1433" customFormat="false" ht="15" hidden="false" customHeight="true" outlineLevel="0" collapsed="false">
      <c r="A1433" s="39" t="s">
        <v>376</v>
      </c>
      <c r="B1433" s="39" t="s">
        <v>277</v>
      </c>
      <c r="C1433" s="39" t="n">
        <v>1</v>
      </c>
      <c r="D1433" s="40" t="str">
        <f aca="false">IFERROR(INDEX(المكونات!$B$2:$B$500,MATCH($B1433,المكونات!$A$2:$A$500,0)),"")</f>
        <v>قطعة</v>
      </c>
      <c r="E1433" s="41" t="n">
        <f aca="false">IFERROR(INDEX(المكونات!$C$2:$C$500,MATCH($B1433,المكونات!$A$2:$A$500,0)),"")</f>
        <v>0.3</v>
      </c>
      <c r="F1433" s="42" t="n">
        <f aca="false">IFERROR($C1433*$E1433,"")</f>
        <v>0.3</v>
      </c>
    </row>
    <row r="1434" customFormat="false" ht="15" hidden="false" customHeight="true" outlineLevel="0" collapsed="false">
      <c r="A1434" s="39" t="s">
        <v>376</v>
      </c>
      <c r="B1434" s="39" t="s">
        <v>196</v>
      </c>
      <c r="C1434" s="39" t="n">
        <v>0.02</v>
      </c>
      <c r="D1434" s="40" t="str">
        <f aca="false">IFERROR(INDEX(المكونات!$B$2:$B$500,MATCH($B1434,المكونات!$A$2:$A$500,0)),"")</f>
        <v>كجم</v>
      </c>
      <c r="E1434" s="41" t="n">
        <f aca="false">IFERROR(INDEX(المكونات!$C$2:$C$500,MATCH($B1434,المكونات!$A$2:$A$500,0)),"")</f>
        <v>21</v>
      </c>
      <c r="F1434" s="42" t="n">
        <f aca="false">IFERROR($C1434*$E1434,"")</f>
        <v>0.42</v>
      </c>
    </row>
    <row r="1435" customFormat="false" ht="15" hidden="false" customHeight="true" outlineLevel="0" collapsed="false">
      <c r="A1435" s="39" t="s">
        <v>376</v>
      </c>
      <c r="B1435" s="39" t="s">
        <v>219</v>
      </c>
      <c r="C1435" s="39" t="n">
        <v>0.02</v>
      </c>
      <c r="D1435" s="40" t="str">
        <f aca="false">IFERROR(INDEX(المكونات!$B$2:$B$500,MATCH($B1435,المكونات!$A$2:$A$500,0)),"")</f>
        <v>كجم</v>
      </c>
      <c r="E1435" s="41" t="n">
        <f aca="false">IFERROR(INDEX(المكونات!$C$2:$C$500,MATCH($B1435,المكونات!$A$2:$A$500,0)),"")</f>
        <v>27</v>
      </c>
      <c r="F1435" s="42" t="n">
        <f aca="false">IFERROR($C1435*$E1435,"")</f>
        <v>0.54</v>
      </c>
    </row>
    <row r="1436" customFormat="false" ht="15" hidden="false" customHeight="true" outlineLevel="0" collapsed="false">
      <c r="A1436" s="39" t="s">
        <v>376</v>
      </c>
      <c r="B1436" s="39" t="s">
        <v>124</v>
      </c>
      <c r="C1436" s="39" t="n">
        <v>0.02</v>
      </c>
      <c r="D1436" s="40" t="str">
        <f aca="false">IFERROR(INDEX(المكونات!$B$2:$B$500,MATCH($B1436,المكونات!$A$2:$A$500,0)),"")</f>
        <v>كجم</v>
      </c>
      <c r="E1436" s="41" t="n">
        <f aca="false">IFERROR(INDEX(المكونات!$C$2:$C$500,MATCH($B1436,المكونات!$A$2:$A$500,0)),"")</f>
        <v>18</v>
      </c>
      <c r="F1436" s="42" t="n">
        <f aca="false">IFERROR($C1436*$E1436,"")</f>
        <v>0.36</v>
      </c>
    </row>
    <row r="1437" customFormat="false" ht="15" hidden="false" customHeight="true" outlineLevel="0" collapsed="false">
      <c r="A1437" s="39" t="s">
        <v>376</v>
      </c>
      <c r="B1437" s="39" t="s">
        <v>151</v>
      </c>
      <c r="C1437" s="39" t="n">
        <v>0.02</v>
      </c>
      <c r="D1437" s="40" t="str">
        <f aca="false">IFERROR(INDEX(المكونات!$B$2:$B$500,MATCH($B1437,المكونات!$A$2:$A$500,0)),"")</f>
        <v>كجم</v>
      </c>
      <c r="E1437" s="41" t="n">
        <f aca="false">IFERROR(INDEX(المكونات!$C$2:$C$500,MATCH($B1437,المكونات!$A$2:$A$500,0)),"")</f>
        <v>30</v>
      </c>
      <c r="F1437" s="42" t="n">
        <f aca="false">IFERROR($C1437*$E1437,"")</f>
        <v>0.6</v>
      </c>
    </row>
    <row r="1438" customFormat="false" ht="15" hidden="false" customHeight="true" outlineLevel="0" collapsed="false">
      <c r="A1438" s="39" t="s">
        <v>376</v>
      </c>
      <c r="B1438" s="39" t="s">
        <v>190</v>
      </c>
      <c r="C1438" s="39" t="n">
        <v>0.05</v>
      </c>
      <c r="D1438" s="40" t="str">
        <f aca="false">IFERROR(INDEX(المكونات!$B$2:$B$500,MATCH($B1438,المكونات!$A$2:$A$500,0)),"")</f>
        <v>كجم</v>
      </c>
      <c r="E1438" s="41" t="n">
        <f aca="false">IFERROR(INDEX(المكونات!$C$2:$C$500,MATCH($B1438,المكونات!$A$2:$A$500,0)),"")</f>
        <v>140</v>
      </c>
      <c r="F1438" s="42" t="n">
        <f aca="false">IFERROR($C1438*$E1438,"")</f>
        <v>7</v>
      </c>
    </row>
    <row r="1439" customFormat="false" ht="15" hidden="false" customHeight="true" outlineLevel="0" collapsed="false">
      <c r="A1439" s="39" t="s">
        <v>376</v>
      </c>
      <c r="B1439" s="39" t="s">
        <v>188</v>
      </c>
      <c r="C1439" s="39" t="n">
        <v>0.05</v>
      </c>
      <c r="D1439" s="40" t="str">
        <f aca="false">IFERROR(INDEX(المكونات!$B$2:$B$500,MATCH($B1439,المكونات!$A$2:$A$500,0)),"")</f>
        <v>كجم</v>
      </c>
      <c r="E1439" s="41" t="n">
        <f aca="false">IFERROR(INDEX(المكونات!$C$2:$C$500,MATCH($B1439,المكونات!$A$2:$A$500,0)),"")</f>
        <v>70</v>
      </c>
      <c r="F1439" s="42" t="n">
        <f aca="false">IFERROR($C1439*$E1439,"")</f>
        <v>3.5</v>
      </c>
    </row>
    <row r="1440" customFormat="false" ht="15" hidden="false" customHeight="true" outlineLevel="0" collapsed="false">
      <c r="A1440" s="39" t="s">
        <v>376</v>
      </c>
      <c r="B1440" s="39" t="s">
        <v>194</v>
      </c>
      <c r="C1440" s="39" t="n">
        <v>0.05</v>
      </c>
      <c r="D1440" s="40" t="str">
        <f aca="false">IFERROR(INDEX(المكونات!$B$2:$B$500,MATCH($B1440,المكونات!$A$2:$A$500,0)),"")</f>
        <v>كجم</v>
      </c>
      <c r="E1440" s="41" t="n">
        <f aca="false">IFERROR(INDEX(المكونات!$C$2:$C$500,MATCH($B1440,المكونات!$A$2:$A$500,0)),"")</f>
        <v>140</v>
      </c>
      <c r="F1440" s="42" t="n">
        <f aca="false">IFERROR($C1440*$E1440,"")</f>
        <v>7</v>
      </c>
    </row>
    <row r="1441" customFormat="false" ht="15" hidden="false" customHeight="true" outlineLevel="0" collapsed="false">
      <c r="A1441" s="39" t="s">
        <v>376</v>
      </c>
      <c r="B1441" s="39" t="s">
        <v>225</v>
      </c>
      <c r="C1441" s="39" t="n">
        <v>2</v>
      </c>
      <c r="D1441" s="40" t="str">
        <f aca="false">IFERROR(INDEX(المكونات!$B$2:$B$500,MATCH($B1441,المكونات!$A$2:$A$500,0)),"")</f>
        <v>قطعة</v>
      </c>
      <c r="E1441" s="41" t="n">
        <f aca="false">IFERROR(INDEX(المكونات!$C$2:$C$500,MATCH($B1441,المكونات!$A$2:$A$500,0)),"")</f>
        <v>0.3</v>
      </c>
      <c r="F1441" s="42" t="n">
        <f aca="false">IFERROR($C1441*$E1441,"")</f>
        <v>0.6</v>
      </c>
    </row>
    <row r="1442" customFormat="false" ht="15" hidden="false" customHeight="true" outlineLevel="0" collapsed="false">
      <c r="A1442" s="39" t="s">
        <v>376</v>
      </c>
      <c r="B1442" s="39" t="s">
        <v>254</v>
      </c>
      <c r="C1442" s="39" t="n">
        <v>1</v>
      </c>
      <c r="D1442" s="40" t="str">
        <f aca="false">IFERROR(INDEX(المكونات!$B$2:$B$500,MATCH($B1442,المكونات!$A$2:$A$500,0)),"")</f>
        <v>قطعة (ورقة)</v>
      </c>
      <c r="E1442" s="41" t="n">
        <f aca="false">IFERROR(INDEX(المكونات!$C$2:$C$500,MATCH($B1442,المكونات!$A$2:$A$500,0)),"")</f>
        <v>0.3665</v>
      </c>
      <c r="F1442" s="42" t="n">
        <f aca="false">IFERROR($C1442*$E1442,"")</f>
        <v>0.3665</v>
      </c>
    </row>
    <row r="1443" customFormat="false" ht="15" hidden="false" customHeight="true" outlineLevel="0" collapsed="false">
      <c r="A1443" s="39" t="s">
        <v>376</v>
      </c>
      <c r="B1443" s="39" t="s">
        <v>67</v>
      </c>
      <c r="C1443" s="39" t="n">
        <v>1</v>
      </c>
      <c r="D1443" s="40" t="str">
        <f aca="false">IFERROR(INDEX(المكونات!$B$2:$B$500,MATCH($B1443,المكونات!$A$2:$A$500,0)),"")</f>
        <v>قطعة (كيس)</v>
      </c>
      <c r="E1443" s="41" t="n">
        <f aca="false">IFERROR(INDEX(المكونات!$C$2:$C$500,MATCH($B1443,المكونات!$A$2:$A$500,0)),"")</f>
        <v>1.4</v>
      </c>
      <c r="F1443" s="42" t="n">
        <f aca="false">IFERROR($C1443*$E1443,"")</f>
        <v>1.4</v>
      </c>
    </row>
    <row r="1444" customFormat="false" ht="15" hidden="false" customHeight="true" outlineLevel="0" collapsed="false">
      <c r="A1444" s="39" t="s">
        <v>376</v>
      </c>
      <c r="B1444" s="39" t="s">
        <v>228</v>
      </c>
      <c r="C1444" s="39" t="n">
        <v>1</v>
      </c>
      <c r="D1444" s="40" t="str">
        <f aca="false">IFERROR(INDEX(المكونات!$B$2:$B$500,MATCH($B1444,المكونات!$A$2:$A$500,0)),"")</f>
        <v>قطعة</v>
      </c>
      <c r="E1444" s="41" t="n">
        <f aca="false">IFERROR(INDEX(المكونات!$C$2:$C$500,MATCH($B1444,المكونات!$A$2:$A$500,0)),"")</f>
        <v>0.5</v>
      </c>
      <c r="F1444" s="42" t="n">
        <f aca="false">IFERROR($C1444*$E1444,"")</f>
        <v>0.5</v>
      </c>
    </row>
    <row r="1445" customFormat="false" ht="15" hidden="false" customHeight="true" outlineLevel="0" collapsed="false">
      <c r="A1445" s="39" t="s">
        <v>376</v>
      </c>
      <c r="B1445" s="39" t="s">
        <v>145</v>
      </c>
      <c r="C1445" s="39" t="n">
        <v>2</v>
      </c>
      <c r="D1445" s="40" t="str">
        <f aca="false">IFERROR(INDEX(المكونات!$B$2:$B$500,MATCH($B1445,المكونات!$A$2:$A$500,0)),"")</f>
        <v>قطعة (جلفز)</v>
      </c>
      <c r="E1445" s="41" t="n">
        <f aca="false">IFERROR(INDEX(المكونات!$C$2:$C$500,MATCH($B1445,المكونات!$A$2:$A$500,0)),"")</f>
        <v>0.18</v>
      </c>
      <c r="F1445" s="42" t="n">
        <f aca="false">IFERROR($C1445*$E1445,"")</f>
        <v>0.36</v>
      </c>
    </row>
    <row r="1446" customFormat="false" ht="15" hidden="false" customHeight="true" outlineLevel="0" collapsed="false">
      <c r="A1446" s="39" t="s">
        <v>376</v>
      </c>
      <c r="B1446" s="39" t="s">
        <v>257</v>
      </c>
      <c r="C1446" s="39" t="n">
        <v>1</v>
      </c>
      <c r="D1446" s="40" t="str">
        <f aca="false">IFERROR(INDEX(المكونات!$B$2:$B$500,MATCH($B1446,المكونات!$A$2:$A$500,0)),"")</f>
        <v>قطعة (كيس)</v>
      </c>
      <c r="E1446" s="41" t="n">
        <f aca="false">IFERROR(INDEX(المكونات!$C$2:$C$500,MATCH($B1446,المكونات!$A$2:$A$500,0)),"")</f>
        <v>0.9995</v>
      </c>
      <c r="F1446" s="42" t="n">
        <f aca="false">IFERROR($C1446*$E1446,"")</f>
        <v>0.9995</v>
      </c>
    </row>
    <row r="1447" customFormat="false" ht="15" hidden="false" customHeight="true" outlineLevel="0" collapsed="false">
      <c r="A1447" s="39" t="s">
        <v>376</v>
      </c>
      <c r="B1447" s="39" t="s">
        <v>279</v>
      </c>
      <c r="C1447" s="39" t="n">
        <v>1</v>
      </c>
      <c r="D1447" s="40" t="str">
        <f aca="false">IFERROR(INDEX(المكونات!$B$2:$B$500,MATCH($B1447,المكونات!$A$2:$A$500,0)),"")</f>
        <v>قطعة</v>
      </c>
      <c r="E1447" s="41" t="n">
        <f aca="false">IFERROR(INDEX(المكونات!$C$2:$C$500,MATCH($B1447,المكونات!$A$2:$A$500,0)),"")</f>
        <v>4.44</v>
      </c>
      <c r="F1447" s="42" t="n">
        <f aca="false">IFERROR($C1447*$E1447,"")</f>
        <v>4.44</v>
      </c>
    </row>
    <row r="1448" customFormat="false" ht="15" hidden="false" customHeight="true" outlineLevel="0" collapsed="false">
      <c r="A1448" s="39" t="s">
        <v>335</v>
      </c>
      <c r="B1448" s="39" t="s">
        <v>198</v>
      </c>
      <c r="C1448" s="39" t="n">
        <v>0.22</v>
      </c>
      <c r="D1448" s="40" t="str">
        <f aca="false">IFERROR(INDEX(المكونات!$B$2:$B$500,MATCH($B1448,المكونات!$A$2:$A$500,0)),"")</f>
        <v>كجم</v>
      </c>
      <c r="E1448" s="41" t="n">
        <f aca="false">IFERROR(INDEX(المكونات!$C$2:$C$500,MATCH($B1448,المكونات!$A$2:$A$500,0)),"")</f>
        <v>22</v>
      </c>
      <c r="F1448" s="42" t="n">
        <f aca="false">IFERROR($C1448*$E1448,"")</f>
        <v>4.84</v>
      </c>
    </row>
    <row r="1449" customFormat="false" ht="15" hidden="false" customHeight="true" outlineLevel="0" collapsed="false">
      <c r="A1449" s="39" t="s">
        <v>335</v>
      </c>
      <c r="B1449" s="39" t="s">
        <v>217</v>
      </c>
      <c r="C1449" s="39" t="n">
        <v>0.14</v>
      </c>
      <c r="D1449" s="40" t="str">
        <f aca="false">IFERROR(INDEX(المكونات!$B$2:$B$500,MATCH($B1449,المكونات!$A$2:$A$500,0)),"")</f>
        <v>كجم</v>
      </c>
      <c r="E1449" s="41" t="n">
        <f aca="false">IFERROR(INDEX(المكونات!$C$2:$C$500,MATCH($B1449,المكونات!$A$2:$A$500,0)),"")</f>
        <v>150</v>
      </c>
      <c r="F1449" s="42" t="n">
        <f aca="false">IFERROR($C1449*$E1449,"")</f>
        <v>21</v>
      </c>
    </row>
    <row r="1450" customFormat="false" ht="15" hidden="false" customHeight="true" outlineLevel="0" collapsed="false">
      <c r="A1450" s="39" t="s">
        <v>335</v>
      </c>
      <c r="B1450" s="39" t="s">
        <v>110</v>
      </c>
      <c r="C1450" s="39" t="n">
        <v>0.5</v>
      </c>
      <c r="D1450" s="40" t="str">
        <f aca="false">IFERROR(INDEX(المكونات!$B$2:$B$500,MATCH($B1450,المكونات!$A$2:$A$500,0)),"")</f>
        <v>قطعة</v>
      </c>
      <c r="E1450" s="41" t="n">
        <f aca="false">IFERROR(INDEX(المكونات!$C$2:$C$500,MATCH($B1450,المكونات!$A$2:$A$500,0)),"")</f>
        <v>17.5</v>
      </c>
      <c r="F1450" s="42" t="n">
        <f aca="false">IFERROR($C1450*$E1450,"")</f>
        <v>8.75</v>
      </c>
    </row>
    <row r="1451" customFormat="false" ht="15" hidden="false" customHeight="true" outlineLevel="0" collapsed="false">
      <c r="A1451" s="39" t="s">
        <v>335</v>
      </c>
      <c r="B1451" s="39" t="s">
        <v>277</v>
      </c>
      <c r="C1451" s="39" t="n">
        <v>1</v>
      </c>
      <c r="D1451" s="40" t="str">
        <f aca="false">IFERROR(INDEX(المكونات!$B$2:$B$500,MATCH($B1451,المكونات!$A$2:$A$500,0)),"")</f>
        <v>قطعة</v>
      </c>
      <c r="E1451" s="41" t="n">
        <f aca="false">IFERROR(INDEX(المكونات!$C$2:$C$500,MATCH($B1451,المكونات!$A$2:$A$500,0)),"")</f>
        <v>0.3</v>
      </c>
      <c r="F1451" s="42" t="n">
        <f aca="false">IFERROR($C1451*$E1451,"")</f>
        <v>0.3</v>
      </c>
    </row>
    <row r="1452" customFormat="false" ht="15" hidden="false" customHeight="true" outlineLevel="0" collapsed="false">
      <c r="A1452" s="39" t="s">
        <v>335</v>
      </c>
      <c r="B1452" s="39" t="s">
        <v>196</v>
      </c>
      <c r="C1452" s="39" t="n">
        <v>0.02</v>
      </c>
      <c r="D1452" s="40" t="str">
        <f aca="false">IFERROR(INDEX(المكونات!$B$2:$B$500,MATCH($B1452,المكونات!$A$2:$A$500,0)),"")</f>
        <v>كجم</v>
      </c>
      <c r="E1452" s="41" t="n">
        <f aca="false">IFERROR(INDEX(المكونات!$C$2:$C$500,MATCH($B1452,المكونات!$A$2:$A$500,0)),"")</f>
        <v>21</v>
      </c>
      <c r="F1452" s="42" t="n">
        <f aca="false">IFERROR($C1452*$E1452,"")</f>
        <v>0.42</v>
      </c>
    </row>
    <row r="1453" customFormat="false" ht="15" hidden="false" customHeight="true" outlineLevel="0" collapsed="false">
      <c r="A1453" s="39" t="s">
        <v>335</v>
      </c>
      <c r="B1453" s="39" t="s">
        <v>219</v>
      </c>
      <c r="C1453" s="39" t="n">
        <v>0.02</v>
      </c>
      <c r="D1453" s="40" t="str">
        <f aca="false">IFERROR(INDEX(المكونات!$B$2:$B$500,MATCH($B1453,المكونات!$A$2:$A$500,0)),"")</f>
        <v>كجم</v>
      </c>
      <c r="E1453" s="41" t="n">
        <f aca="false">IFERROR(INDEX(المكونات!$C$2:$C$500,MATCH($B1453,المكونات!$A$2:$A$500,0)),"")</f>
        <v>27</v>
      </c>
      <c r="F1453" s="42" t="n">
        <f aca="false">IFERROR($C1453*$E1453,"")</f>
        <v>0.54</v>
      </c>
    </row>
    <row r="1454" customFormat="false" ht="15" hidden="false" customHeight="true" outlineLevel="0" collapsed="false">
      <c r="A1454" s="39" t="s">
        <v>335</v>
      </c>
      <c r="B1454" s="39" t="s">
        <v>124</v>
      </c>
      <c r="C1454" s="39" t="n">
        <v>0.02</v>
      </c>
      <c r="D1454" s="40" t="str">
        <f aca="false">IFERROR(INDEX(المكونات!$B$2:$B$500,MATCH($B1454,المكونات!$A$2:$A$500,0)),"")</f>
        <v>كجم</v>
      </c>
      <c r="E1454" s="41" t="n">
        <f aca="false">IFERROR(INDEX(المكونات!$C$2:$C$500,MATCH($B1454,المكونات!$A$2:$A$500,0)),"")</f>
        <v>18</v>
      </c>
      <c r="F1454" s="42" t="n">
        <f aca="false">IFERROR($C1454*$E1454,"")</f>
        <v>0.36</v>
      </c>
    </row>
    <row r="1455" customFormat="false" ht="15" hidden="false" customHeight="true" outlineLevel="0" collapsed="false">
      <c r="A1455" s="39" t="s">
        <v>335</v>
      </c>
      <c r="B1455" s="39" t="s">
        <v>151</v>
      </c>
      <c r="C1455" s="39" t="n">
        <v>0.02</v>
      </c>
      <c r="D1455" s="40" t="str">
        <f aca="false">IFERROR(INDEX(المكونات!$B$2:$B$500,MATCH($B1455,المكونات!$A$2:$A$500,0)),"")</f>
        <v>كجم</v>
      </c>
      <c r="E1455" s="41" t="n">
        <f aca="false">IFERROR(INDEX(المكونات!$C$2:$C$500,MATCH($B1455,المكونات!$A$2:$A$500,0)),"")</f>
        <v>30</v>
      </c>
      <c r="F1455" s="42" t="n">
        <f aca="false">IFERROR($C1455*$E1455,"")</f>
        <v>0.6</v>
      </c>
    </row>
    <row r="1456" customFormat="false" ht="15" hidden="false" customHeight="true" outlineLevel="0" collapsed="false">
      <c r="A1456" s="39" t="s">
        <v>335</v>
      </c>
      <c r="B1456" s="39" t="s">
        <v>192</v>
      </c>
      <c r="C1456" s="39" t="n">
        <v>0.05</v>
      </c>
      <c r="D1456" s="40" t="str">
        <f aca="false">IFERROR(INDEX(المكونات!$B$2:$B$500,MATCH($B1456,المكونات!$A$2:$A$500,0)),"")</f>
        <v>كجم</v>
      </c>
      <c r="E1456" s="41" t="n">
        <f aca="false">IFERROR(INDEX(المكونات!$C$2:$C$500,MATCH($B1456,المكونات!$A$2:$A$500,0)),"")</f>
        <v>105</v>
      </c>
      <c r="F1456" s="42" t="n">
        <f aca="false">IFERROR($C1456*$E1456,"")</f>
        <v>5.25</v>
      </c>
    </row>
    <row r="1457" customFormat="false" ht="15" hidden="false" customHeight="true" outlineLevel="0" collapsed="false">
      <c r="A1457" s="39" t="s">
        <v>335</v>
      </c>
      <c r="B1457" s="39" t="s">
        <v>188</v>
      </c>
      <c r="C1457" s="39" t="n">
        <v>0.05</v>
      </c>
      <c r="D1457" s="40" t="str">
        <f aca="false">IFERROR(INDEX(المكونات!$B$2:$B$500,MATCH($B1457,المكونات!$A$2:$A$500,0)),"")</f>
        <v>كجم</v>
      </c>
      <c r="E1457" s="41" t="n">
        <f aca="false">IFERROR(INDEX(المكونات!$C$2:$C$500,MATCH($B1457,المكونات!$A$2:$A$500,0)),"")</f>
        <v>70</v>
      </c>
      <c r="F1457" s="42" t="n">
        <f aca="false">IFERROR($C1457*$E1457,"")</f>
        <v>3.5</v>
      </c>
    </row>
    <row r="1458" customFormat="false" ht="15" hidden="false" customHeight="true" outlineLevel="0" collapsed="false">
      <c r="A1458" s="39" t="s">
        <v>335</v>
      </c>
      <c r="B1458" s="39" t="s">
        <v>194</v>
      </c>
      <c r="C1458" s="39" t="n">
        <v>0.05</v>
      </c>
      <c r="D1458" s="40" t="str">
        <f aca="false">IFERROR(INDEX(المكونات!$B$2:$B$500,MATCH($B1458,المكونات!$A$2:$A$500,0)),"")</f>
        <v>كجم</v>
      </c>
      <c r="E1458" s="41" t="n">
        <f aca="false">IFERROR(INDEX(المكونات!$C$2:$C$500,MATCH($B1458,المكونات!$A$2:$A$500,0)),"")</f>
        <v>140</v>
      </c>
      <c r="F1458" s="42" t="n">
        <f aca="false">IFERROR($C1458*$E1458,"")</f>
        <v>7</v>
      </c>
    </row>
    <row r="1459" customFormat="false" ht="15" hidden="false" customHeight="true" outlineLevel="0" collapsed="false">
      <c r="A1459" s="39" t="s">
        <v>335</v>
      </c>
      <c r="B1459" s="39" t="s">
        <v>225</v>
      </c>
      <c r="C1459" s="39" t="n">
        <v>2</v>
      </c>
      <c r="D1459" s="40" t="str">
        <f aca="false">IFERROR(INDEX(المكونات!$B$2:$B$500,MATCH($B1459,المكونات!$A$2:$A$500,0)),"")</f>
        <v>قطعة</v>
      </c>
      <c r="E1459" s="41" t="n">
        <f aca="false">IFERROR(INDEX(المكونات!$C$2:$C$500,MATCH($B1459,المكونات!$A$2:$A$500,0)),"")</f>
        <v>0.3</v>
      </c>
      <c r="F1459" s="42" t="n">
        <f aca="false">IFERROR($C1459*$E1459,"")</f>
        <v>0.6</v>
      </c>
    </row>
    <row r="1460" customFormat="false" ht="15" hidden="false" customHeight="true" outlineLevel="0" collapsed="false">
      <c r="A1460" s="39" t="s">
        <v>335</v>
      </c>
      <c r="B1460" s="39" t="s">
        <v>254</v>
      </c>
      <c r="C1460" s="39" t="n">
        <v>1</v>
      </c>
      <c r="D1460" s="40" t="str">
        <f aca="false">IFERROR(INDEX(المكونات!$B$2:$B$500,MATCH($B1460,المكونات!$A$2:$A$500,0)),"")</f>
        <v>قطعة (ورقة)</v>
      </c>
      <c r="E1460" s="41" t="n">
        <f aca="false">IFERROR(INDEX(المكونات!$C$2:$C$500,MATCH($B1460,المكونات!$A$2:$A$500,0)),"")</f>
        <v>0.3665</v>
      </c>
      <c r="F1460" s="42" t="n">
        <f aca="false">IFERROR($C1460*$E1460,"")</f>
        <v>0.3665</v>
      </c>
    </row>
    <row r="1461" customFormat="false" ht="15" hidden="false" customHeight="true" outlineLevel="0" collapsed="false">
      <c r="A1461" s="39" t="s">
        <v>335</v>
      </c>
      <c r="B1461" s="39" t="s">
        <v>67</v>
      </c>
      <c r="C1461" s="39" t="n">
        <v>1</v>
      </c>
      <c r="D1461" s="40" t="str">
        <f aca="false">IFERROR(INDEX(المكونات!$B$2:$B$500,MATCH($B1461,المكونات!$A$2:$A$500,0)),"")</f>
        <v>قطعة (كيس)</v>
      </c>
      <c r="E1461" s="41" t="n">
        <f aca="false">IFERROR(INDEX(المكونات!$C$2:$C$500,MATCH($B1461,المكونات!$A$2:$A$500,0)),"")</f>
        <v>1.4</v>
      </c>
      <c r="F1461" s="42" t="n">
        <f aca="false">IFERROR($C1461*$E1461,"")</f>
        <v>1.4</v>
      </c>
    </row>
    <row r="1462" customFormat="false" ht="15" hidden="false" customHeight="true" outlineLevel="0" collapsed="false">
      <c r="A1462" s="39" t="s">
        <v>335</v>
      </c>
      <c r="B1462" s="39" t="s">
        <v>228</v>
      </c>
      <c r="C1462" s="39" t="n">
        <v>1</v>
      </c>
      <c r="D1462" s="40" t="str">
        <f aca="false">IFERROR(INDEX(المكونات!$B$2:$B$500,MATCH($B1462,المكونات!$A$2:$A$500,0)),"")</f>
        <v>قطعة</v>
      </c>
      <c r="E1462" s="41" t="n">
        <f aca="false">IFERROR(INDEX(المكونات!$C$2:$C$500,MATCH($B1462,المكونات!$A$2:$A$500,0)),"")</f>
        <v>0.5</v>
      </c>
      <c r="F1462" s="42" t="n">
        <f aca="false">IFERROR($C1462*$E1462,"")</f>
        <v>0.5</v>
      </c>
    </row>
    <row r="1463" customFormat="false" ht="15" hidden="false" customHeight="true" outlineLevel="0" collapsed="false">
      <c r="A1463" s="39" t="s">
        <v>335</v>
      </c>
      <c r="B1463" s="39" t="s">
        <v>145</v>
      </c>
      <c r="C1463" s="39" t="n">
        <v>2</v>
      </c>
      <c r="D1463" s="40" t="str">
        <f aca="false">IFERROR(INDEX(المكونات!$B$2:$B$500,MATCH($B1463,المكونات!$A$2:$A$500,0)),"")</f>
        <v>قطعة (جلفز)</v>
      </c>
      <c r="E1463" s="41" t="n">
        <f aca="false">IFERROR(INDEX(المكونات!$C$2:$C$500,MATCH($B1463,المكونات!$A$2:$A$500,0)),"")</f>
        <v>0.18</v>
      </c>
      <c r="F1463" s="42" t="n">
        <f aca="false">IFERROR($C1463*$E1463,"")</f>
        <v>0.36</v>
      </c>
    </row>
    <row r="1464" customFormat="false" ht="15" hidden="false" customHeight="true" outlineLevel="0" collapsed="false">
      <c r="A1464" s="39" t="s">
        <v>335</v>
      </c>
      <c r="B1464" s="39" t="s">
        <v>257</v>
      </c>
      <c r="C1464" s="39" t="n">
        <v>1</v>
      </c>
      <c r="D1464" s="40" t="str">
        <f aca="false">IFERROR(INDEX(المكونات!$B$2:$B$500,MATCH($B1464,المكونات!$A$2:$A$500,0)),"")</f>
        <v>قطعة (كيس)</v>
      </c>
      <c r="E1464" s="41" t="n">
        <f aca="false">IFERROR(INDEX(المكونات!$C$2:$C$500,MATCH($B1464,المكونات!$A$2:$A$500,0)),"")</f>
        <v>0.9995</v>
      </c>
      <c r="F1464" s="42" t="n">
        <f aca="false">IFERROR($C1464*$E1464,"")</f>
        <v>0.9995</v>
      </c>
    </row>
    <row r="1465" customFormat="false" ht="15" hidden="false" customHeight="true" outlineLevel="0" collapsed="false">
      <c r="A1465" s="39" t="s">
        <v>335</v>
      </c>
      <c r="B1465" s="39" t="s">
        <v>279</v>
      </c>
      <c r="C1465" s="39" t="n">
        <v>1</v>
      </c>
      <c r="D1465" s="40" t="str">
        <f aca="false">IFERROR(INDEX(المكونات!$B$2:$B$500,MATCH($B1465,المكونات!$A$2:$A$500,0)),"")</f>
        <v>قطعة</v>
      </c>
      <c r="E1465" s="41" t="n">
        <f aca="false">IFERROR(INDEX(المكونات!$C$2:$C$500,MATCH($B1465,المكونات!$A$2:$A$500,0)),"")</f>
        <v>4.44</v>
      </c>
      <c r="F1465" s="42" t="n">
        <f aca="false">IFERROR($C1465*$E1465,"")</f>
        <v>4.44</v>
      </c>
    </row>
    <row r="1466" customFormat="false" ht="15" hidden="false" customHeight="true" outlineLevel="0" collapsed="false">
      <c r="A1466" s="39" t="s">
        <v>381</v>
      </c>
      <c r="B1466" s="39" t="s">
        <v>198</v>
      </c>
      <c r="C1466" s="39" t="n">
        <v>0.22</v>
      </c>
      <c r="D1466" s="40" t="str">
        <f aca="false">IFERROR(INDEX(المكونات!$B$2:$B$500,MATCH($B1466,المكونات!$A$2:$A$500,0)),"")</f>
        <v>كجم</v>
      </c>
      <c r="E1466" s="41" t="n">
        <f aca="false">IFERROR(INDEX(المكونات!$C$2:$C$500,MATCH($B1466,المكونات!$A$2:$A$500,0)),"")</f>
        <v>22</v>
      </c>
      <c r="F1466" s="42" t="n">
        <f aca="false">IFERROR($C1466*$E1466,"")</f>
        <v>4.84</v>
      </c>
    </row>
    <row r="1467" customFormat="false" ht="15" hidden="false" customHeight="true" outlineLevel="0" collapsed="false">
      <c r="A1467" s="39" t="s">
        <v>381</v>
      </c>
      <c r="B1467" s="39" t="s">
        <v>275</v>
      </c>
      <c r="C1467" s="39" t="n">
        <v>3</v>
      </c>
      <c r="D1467" s="40" t="str">
        <f aca="false">IFERROR(INDEX(المكونات!$B$2:$B$500,MATCH($B1467,المكونات!$A$2:$A$500,0)),"")</f>
        <v>قطعة</v>
      </c>
      <c r="E1467" s="41" t="n">
        <f aca="false">IFERROR(INDEX(المكونات!$C$2:$C$500,MATCH($B1467,المكونات!$A$2:$A$500,0)),"")</f>
        <v>6</v>
      </c>
      <c r="F1467" s="42" t="n">
        <f aca="false">IFERROR($C1467*$E1467,"")</f>
        <v>18</v>
      </c>
    </row>
    <row r="1468" customFormat="false" ht="15" hidden="false" customHeight="true" outlineLevel="0" collapsed="false">
      <c r="A1468" s="39" t="s">
        <v>381</v>
      </c>
      <c r="B1468" s="39" t="s">
        <v>110</v>
      </c>
      <c r="C1468" s="39" t="n">
        <v>1</v>
      </c>
      <c r="D1468" s="40" t="str">
        <f aca="false">IFERROR(INDEX(المكونات!$B$2:$B$500,MATCH($B1468,المكونات!$A$2:$A$500,0)),"")</f>
        <v>قطعة</v>
      </c>
      <c r="E1468" s="41" t="n">
        <f aca="false">IFERROR(INDEX(المكونات!$C$2:$C$500,MATCH($B1468,المكونات!$A$2:$A$500,0)),"")</f>
        <v>17.5</v>
      </c>
      <c r="F1468" s="42" t="n">
        <f aca="false">IFERROR($C1468*$E1468,"")</f>
        <v>17.5</v>
      </c>
    </row>
    <row r="1469" customFormat="false" ht="15" hidden="false" customHeight="true" outlineLevel="0" collapsed="false">
      <c r="A1469" s="39" t="s">
        <v>381</v>
      </c>
      <c r="B1469" s="39" t="s">
        <v>277</v>
      </c>
      <c r="C1469" s="39" t="n">
        <v>1</v>
      </c>
      <c r="D1469" s="40" t="str">
        <f aca="false">IFERROR(INDEX(المكونات!$B$2:$B$500,MATCH($B1469,المكونات!$A$2:$A$500,0)),"")</f>
        <v>قطعة</v>
      </c>
      <c r="E1469" s="41" t="n">
        <f aca="false">IFERROR(INDEX(المكونات!$C$2:$C$500,MATCH($B1469,المكونات!$A$2:$A$500,0)),"")</f>
        <v>0.3</v>
      </c>
      <c r="F1469" s="42" t="n">
        <f aca="false">IFERROR($C1469*$E1469,"")</f>
        <v>0.3</v>
      </c>
    </row>
    <row r="1470" customFormat="false" ht="15" hidden="false" customHeight="true" outlineLevel="0" collapsed="false">
      <c r="A1470" s="39" t="s">
        <v>381</v>
      </c>
      <c r="B1470" s="39" t="s">
        <v>196</v>
      </c>
      <c r="C1470" s="39" t="n">
        <v>0.02</v>
      </c>
      <c r="D1470" s="40" t="str">
        <f aca="false">IFERROR(INDEX(المكونات!$B$2:$B$500,MATCH($B1470,المكونات!$A$2:$A$500,0)),"")</f>
        <v>كجم</v>
      </c>
      <c r="E1470" s="41" t="n">
        <f aca="false">IFERROR(INDEX(المكونات!$C$2:$C$500,MATCH($B1470,المكونات!$A$2:$A$500,0)),"")</f>
        <v>21</v>
      </c>
      <c r="F1470" s="42" t="n">
        <f aca="false">IFERROR($C1470*$E1470,"")</f>
        <v>0.42</v>
      </c>
    </row>
    <row r="1471" customFormat="false" ht="15" hidden="false" customHeight="true" outlineLevel="0" collapsed="false">
      <c r="A1471" s="39" t="s">
        <v>381</v>
      </c>
      <c r="B1471" s="39" t="s">
        <v>219</v>
      </c>
      <c r="C1471" s="39" t="n">
        <v>0.02</v>
      </c>
      <c r="D1471" s="40" t="str">
        <f aca="false">IFERROR(INDEX(المكونات!$B$2:$B$500,MATCH($B1471,المكونات!$A$2:$A$500,0)),"")</f>
        <v>كجم</v>
      </c>
      <c r="E1471" s="41" t="n">
        <f aca="false">IFERROR(INDEX(المكونات!$C$2:$C$500,MATCH($B1471,المكونات!$A$2:$A$500,0)),"")</f>
        <v>27</v>
      </c>
      <c r="F1471" s="42" t="n">
        <f aca="false">IFERROR($C1471*$E1471,"")</f>
        <v>0.54</v>
      </c>
    </row>
    <row r="1472" customFormat="false" ht="15" hidden="false" customHeight="true" outlineLevel="0" collapsed="false">
      <c r="A1472" s="39" t="s">
        <v>381</v>
      </c>
      <c r="B1472" s="39" t="s">
        <v>124</v>
      </c>
      <c r="C1472" s="39" t="n">
        <v>0.02</v>
      </c>
      <c r="D1472" s="40" t="str">
        <f aca="false">IFERROR(INDEX(المكونات!$B$2:$B$500,MATCH($B1472,المكونات!$A$2:$A$500,0)),"")</f>
        <v>كجم</v>
      </c>
      <c r="E1472" s="41" t="n">
        <f aca="false">IFERROR(INDEX(المكونات!$C$2:$C$500,MATCH($B1472,المكونات!$A$2:$A$500,0)),"")</f>
        <v>18</v>
      </c>
      <c r="F1472" s="42" t="n">
        <f aca="false">IFERROR($C1472*$E1472,"")</f>
        <v>0.36</v>
      </c>
    </row>
    <row r="1473" customFormat="false" ht="15" hidden="false" customHeight="true" outlineLevel="0" collapsed="false">
      <c r="A1473" s="39" t="s">
        <v>381</v>
      </c>
      <c r="B1473" s="39" t="s">
        <v>151</v>
      </c>
      <c r="C1473" s="39" t="n">
        <v>0.02</v>
      </c>
      <c r="D1473" s="40" t="str">
        <f aca="false">IFERROR(INDEX(المكونات!$B$2:$B$500,MATCH($B1473,المكونات!$A$2:$A$500,0)),"")</f>
        <v>كجم</v>
      </c>
      <c r="E1473" s="41" t="n">
        <f aca="false">IFERROR(INDEX(المكونات!$C$2:$C$500,MATCH($B1473,المكونات!$A$2:$A$500,0)),"")</f>
        <v>30</v>
      </c>
      <c r="F1473" s="42" t="n">
        <f aca="false">IFERROR($C1473*$E1473,"")</f>
        <v>0.6</v>
      </c>
    </row>
    <row r="1474" customFormat="false" ht="15" hidden="false" customHeight="true" outlineLevel="0" collapsed="false">
      <c r="A1474" s="39" t="s">
        <v>381</v>
      </c>
      <c r="B1474" s="39" t="s">
        <v>190</v>
      </c>
      <c r="C1474" s="39" t="n">
        <v>0.05</v>
      </c>
      <c r="D1474" s="40" t="str">
        <f aca="false">IFERROR(INDEX(المكونات!$B$2:$B$500,MATCH($B1474,المكونات!$A$2:$A$500,0)),"")</f>
        <v>كجم</v>
      </c>
      <c r="E1474" s="41" t="n">
        <f aca="false">IFERROR(INDEX(المكونات!$C$2:$C$500,MATCH($B1474,المكونات!$A$2:$A$500,0)),"")</f>
        <v>140</v>
      </c>
      <c r="F1474" s="42" t="n">
        <f aca="false">IFERROR($C1474*$E1474,"")</f>
        <v>7</v>
      </c>
    </row>
    <row r="1475" customFormat="false" ht="15" hidden="false" customHeight="true" outlineLevel="0" collapsed="false">
      <c r="A1475" s="39" t="s">
        <v>381</v>
      </c>
      <c r="B1475" s="39" t="s">
        <v>188</v>
      </c>
      <c r="C1475" s="39" t="n">
        <v>0.05</v>
      </c>
      <c r="D1475" s="40" t="str">
        <f aca="false">IFERROR(INDEX(المكونات!$B$2:$B$500,MATCH($B1475,المكونات!$A$2:$A$500,0)),"")</f>
        <v>كجم</v>
      </c>
      <c r="E1475" s="41" t="n">
        <f aca="false">IFERROR(INDEX(المكونات!$C$2:$C$500,MATCH($B1475,المكونات!$A$2:$A$500,0)),"")</f>
        <v>70</v>
      </c>
      <c r="F1475" s="42" t="n">
        <f aca="false">IFERROR($C1475*$E1475,"")</f>
        <v>3.5</v>
      </c>
    </row>
    <row r="1476" customFormat="false" ht="15" hidden="false" customHeight="true" outlineLevel="0" collapsed="false">
      <c r="A1476" s="39" t="s">
        <v>381</v>
      </c>
      <c r="B1476" s="39" t="s">
        <v>194</v>
      </c>
      <c r="C1476" s="39" t="n">
        <v>0.05</v>
      </c>
      <c r="D1476" s="40" t="str">
        <f aca="false">IFERROR(INDEX(المكونات!$B$2:$B$500,MATCH($B1476,المكونات!$A$2:$A$500,0)),"")</f>
        <v>كجم</v>
      </c>
      <c r="E1476" s="41" t="n">
        <f aca="false">IFERROR(INDEX(المكونات!$C$2:$C$500,MATCH($B1476,المكونات!$A$2:$A$500,0)),"")</f>
        <v>140</v>
      </c>
      <c r="F1476" s="42" t="n">
        <f aca="false">IFERROR($C1476*$E1476,"")</f>
        <v>7</v>
      </c>
    </row>
    <row r="1477" customFormat="false" ht="15" hidden="false" customHeight="true" outlineLevel="0" collapsed="false">
      <c r="A1477" s="39" t="s">
        <v>381</v>
      </c>
      <c r="B1477" s="39" t="s">
        <v>225</v>
      </c>
      <c r="C1477" s="39" t="n">
        <v>2</v>
      </c>
      <c r="D1477" s="40" t="str">
        <f aca="false">IFERROR(INDEX(المكونات!$B$2:$B$500,MATCH($B1477,المكونات!$A$2:$A$500,0)),"")</f>
        <v>قطعة</v>
      </c>
      <c r="E1477" s="41" t="n">
        <f aca="false">IFERROR(INDEX(المكونات!$C$2:$C$500,MATCH($B1477,المكونات!$A$2:$A$500,0)),"")</f>
        <v>0.3</v>
      </c>
      <c r="F1477" s="42" t="n">
        <f aca="false">IFERROR($C1477*$E1477,"")</f>
        <v>0.6</v>
      </c>
    </row>
    <row r="1478" customFormat="false" ht="15" hidden="false" customHeight="true" outlineLevel="0" collapsed="false">
      <c r="A1478" s="39" t="s">
        <v>381</v>
      </c>
      <c r="B1478" s="39" t="s">
        <v>254</v>
      </c>
      <c r="C1478" s="39" t="n">
        <v>1</v>
      </c>
      <c r="D1478" s="40" t="str">
        <f aca="false">IFERROR(INDEX(المكونات!$B$2:$B$500,MATCH($B1478,المكونات!$A$2:$A$500,0)),"")</f>
        <v>قطعة (ورقة)</v>
      </c>
      <c r="E1478" s="41" t="n">
        <f aca="false">IFERROR(INDEX(المكونات!$C$2:$C$500,MATCH($B1478,المكونات!$A$2:$A$500,0)),"")</f>
        <v>0.3665</v>
      </c>
      <c r="F1478" s="42" t="n">
        <f aca="false">IFERROR($C1478*$E1478,"")</f>
        <v>0.3665</v>
      </c>
    </row>
    <row r="1479" customFormat="false" ht="15" hidden="false" customHeight="true" outlineLevel="0" collapsed="false">
      <c r="A1479" s="39" t="s">
        <v>381</v>
      </c>
      <c r="B1479" s="39" t="s">
        <v>67</v>
      </c>
      <c r="C1479" s="39" t="n">
        <v>1</v>
      </c>
      <c r="D1479" s="40" t="str">
        <f aca="false">IFERROR(INDEX(المكونات!$B$2:$B$500,MATCH($B1479,المكونات!$A$2:$A$500,0)),"")</f>
        <v>قطعة (كيس)</v>
      </c>
      <c r="E1479" s="41" t="n">
        <f aca="false">IFERROR(INDEX(المكونات!$C$2:$C$500,MATCH($B1479,المكونات!$A$2:$A$500,0)),"")</f>
        <v>1.4</v>
      </c>
      <c r="F1479" s="42" t="n">
        <f aca="false">IFERROR($C1479*$E1479,"")</f>
        <v>1.4</v>
      </c>
    </row>
    <row r="1480" customFormat="false" ht="15" hidden="false" customHeight="true" outlineLevel="0" collapsed="false">
      <c r="A1480" s="39" t="s">
        <v>381</v>
      </c>
      <c r="B1480" s="39" t="s">
        <v>228</v>
      </c>
      <c r="C1480" s="39" t="n">
        <v>1</v>
      </c>
      <c r="D1480" s="40" t="str">
        <f aca="false">IFERROR(INDEX(المكونات!$B$2:$B$500,MATCH($B1480,المكونات!$A$2:$A$500,0)),"")</f>
        <v>قطعة</v>
      </c>
      <c r="E1480" s="41" t="n">
        <f aca="false">IFERROR(INDEX(المكونات!$C$2:$C$500,MATCH($B1480,المكونات!$A$2:$A$500,0)),"")</f>
        <v>0.5</v>
      </c>
      <c r="F1480" s="42" t="n">
        <f aca="false">IFERROR($C1480*$E1480,"")</f>
        <v>0.5</v>
      </c>
    </row>
    <row r="1481" customFormat="false" ht="15" hidden="false" customHeight="true" outlineLevel="0" collapsed="false">
      <c r="A1481" s="39" t="s">
        <v>381</v>
      </c>
      <c r="B1481" s="39" t="s">
        <v>145</v>
      </c>
      <c r="C1481" s="39" t="n">
        <v>2</v>
      </c>
      <c r="D1481" s="40" t="str">
        <f aca="false">IFERROR(INDEX(المكونات!$B$2:$B$500,MATCH($B1481,المكونات!$A$2:$A$500,0)),"")</f>
        <v>قطعة (جلفز)</v>
      </c>
      <c r="E1481" s="41" t="n">
        <f aca="false">IFERROR(INDEX(المكونات!$C$2:$C$500,MATCH($B1481,المكونات!$A$2:$A$500,0)),"")</f>
        <v>0.18</v>
      </c>
      <c r="F1481" s="42" t="n">
        <f aca="false">IFERROR($C1481*$E1481,"")</f>
        <v>0.36</v>
      </c>
    </row>
    <row r="1482" customFormat="false" ht="15" hidden="false" customHeight="true" outlineLevel="0" collapsed="false">
      <c r="A1482" s="39" t="s">
        <v>381</v>
      </c>
      <c r="B1482" s="39" t="s">
        <v>257</v>
      </c>
      <c r="C1482" s="39" t="n">
        <v>1</v>
      </c>
      <c r="D1482" s="40" t="str">
        <f aca="false">IFERROR(INDEX(المكونات!$B$2:$B$500,MATCH($B1482,المكونات!$A$2:$A$500,0)),"")</f>
        <v>قطعة (كيس)</v>
      </c>
      <c r="E1482" s="41" t="n">
        <f aca="false">IFERROR(INDEX(المكونات!$C$2:$C$500,MATCH($B1482,المكونات!$A$2:$A$500,0)),"")</f>
        <v>0.9995</v>
      </c>
      <c r="F1482" s="42" t="n">
        <f aca="false">IFERROR($C1482*$E1482,"")</f>
        <v>0.9995</v>
      </c>
    </row>
    <row r="1483" customFormat="false" ht="15" hidden="false" customHeight="true" outlineLevel="0" collapsed="false">
      <c r="A1483" s="39" t="s">
        <v>381</v>
      </c>
      <c r="B1483" s="39" t="s">
        <v>279</v>
      </c>
      <c r="C1483" s="39" t="n">
        <v>1</v>
      </c>
      <c r="D1483" s="40" t="str">
        <f aca="false">IFERROR(INDEX(المكونات!$B$2:$B$500,MATCH($B1483,المكونات!$A$2:$A$500,0)),"")</f>
        <v>قطعة</v>
      </c>
      <c r="E1483" s="41" t="n">
        <f aca="false">IFERROR(INDEX(المكونات!$C$2:$C$500,MATCH($B1483,المكونات!$A$2:$A$500,0)),"")</f>
        <v>4.44</v>
      </c>
      <c r="F1483" s="42" t="n">
        <f aca="false">IFERROR($C1483*$E1483,"")</f>
        <v>4.44</v>
      </c>
    </row>
    <row r="1484" customFormat="false" ht="15" hidden="false" customHeight="true" outlineLevel="0" collapsed="false">
      <c r="A1484" s="39" t="s">
        <v>337</v>
      </c>
      <c r="B1484" s="39" t="s">
        <v>198</v>
      </c>
      <c r="C1484" s="39" t="n">
        <v>0.22</v>
      </c>
      <c r="D1484" s="40" t="str">
        <f aca="false">IFERROR(INDEX(المكونات!$B$2:$B$500,MATCH($B1484,المكونات!$A$2:$A$500,0)),"")</f>
        <v>كجم</v>
      </c>
      <c r="E1484" s="41" t="n">
        <f aca="false">IFERROR(INDEX(المكونات!$C$2:$C$500,MATCH($B1484,المكونات!$A$2:$A$500,0)),"")</f>
        <v>22</v>
      </c>
      <c r="F1484" s="42" t="n">
        <f aca="false">IFERROR($C1484*$E1484,"")</f>
        <v>4.84</v>
      </c>
    </row>
    <row r="1485" customFormat="false" ht="15" hidden="false" customHeight="true" outlineLevel="0" collapsed="false">
      <c r="A1485" s="39" t="s">
        <v>337</v>
      </c>
      <c r="B1485" s="39" t="s">
        <v>217</v>
      </c>
      <c r="C1485" s="39" t="n">
        <v>0.14</v>
      </c>
      <c r="D1485" s="40" t="str">
        <f aca="false">IFERROR(INDEX(المكونات!$B$2:$B$500,MATCH($B1485,المكونات!$A$2:$A$500,0)),"")</f>
        <v>كجم</v>
      </c>
      <c r="E1485" s="41" t="n">
        <f aca="false">IFERROR(INDEX(المكونات!$C$2:$C$500,MATCH($B1485,المكونات!$A$2:$A$500,0)),"")</f>
        <v>150</v>
      </c>
      <c r="F1485" s="42" t="n">
        <f aca="false">IFERROR($C1485*$E1485,"")</f>
        <v>21</v>
      </c>
    </row>
    <row r="1486" customFormat="false" ht="15" hidden="false" customHeight="true" outlineLevel="0" collapsed="false">
      <c r="A1486" s="39" t="s">
        <v>337</v>
      </c>
      <c r="B1486" s="39" t="s">
        <v>110</v>
      </c>
      <c r="C1486" s="39" t="n">
        <v>1</v>
      </c>
      <c r="D1486" s="40" t="str">
        <f aca="false">IFERROR(INDEX(المكونات!$B$2:$B$500,MATCH($B1486,المكونات!$A$2:$A$500,0)),"")</f>
        <v>قطعة</v>
      </c>
      <c r="E1486" s="41" t="n">
        <f aca="false">IFERROR(INDEX(المكونات!$C$2:$C$500,MATCH($B1486,المكونات!$A$2:$A$500,0)),"")</f>
        <v>17.5</v>
      </c>
      <c r="F1486" s="42" t="n">
        <f aca="false">IFERROR($C1486*$E1486,"")</f>
        <v>17.5</v>
      </c>
    </row>
    <row r="1487" customFormat="false" ht="15" hidden="false" customHeight="true" outlineLevel="0" collapsed="false">
      <c r="A1487" s="39" t="s">
        <v>337</v>
      </c>
      <c r="B1487" s="39" t="s">
        <v>277</v>
      </c>
      <c r="C1487" s="39" t="n">
        <v>1</v>
      </c>
      <c r="D1487" s="40" t="str">
        <f aca="false">IFERROR(INDEX(المكونات!$B$2:$B$500,MATCH($B1487,المكونات!$A$2:$A$500,0)),"")</f>
        <v>قطعة</v>
      </c>
      <c r="E1487" s="41" t="n">
        <f aca="false">IFERROR(INDEX(المكونات!$C$2:$C$500,MATCH($B1487,المكونات!$A$2:$A$500,0)),"")</f>
        <v>0.3</v>
      </c>
      <c r="F1487" s="42" t="n">
        <f aca="false">IFERROR($C1487*$E1487,"")</f>
        <v>0.3</v>
      </c>
    </row>
    <row r="1488" customFormat="false" ht="15" hidden="false" customHeight="true" outlineLevel="0" collapsed="false">
      <c r="A1488" s="39" t="s">
        <v>337</v>
      </c>
      <c r="B1488" s="39" t="s">
        <v>196</v>
      </c>
      <c r="C1488" s="39" t="n">
        <v>0.02</v>
      </c>
      <c r="D1488" s="40" t="str">
        <f aca="false">IFERROR(INDEX(المكونات!$B$2:$B$500,MATCH($B1488,المكونات!$A$2:$A$500,0)),"")</f>
        <v>كجم</v>
      </c>
      <c r="E1488" s="41" t="n">
        <f aca="false">IFERROR(INDEX(المكونات!$C$2:$C$500,MATCH($B1488,المكونات!$A$2:$A$500,0)),"")</f>
        <v>21</v>
      </c>
      <c r="F1488" s="42" t="n">
        <f aca="false">IFERROR($C1488*$E1488,"")</f>
        <v>0.42</v>
      </c>
    </row>
    <row r="1489" customFormat="false" ht="15" hidden="false" customHeight="true" outlineLevel="0" collapsed="false">
      <c r="A1489" s="39" t="s">
        <v>337</v>
      </c>
      <c r="B1489" s="39" t="s">
        <v>219</v>
      </c>
      <c r="C1489" s="39" t="n">
        <v>0.02</v>
      </c>
      <c r="D1489" s="40" t="str">
        <f aca="false">IFERROR(INDEX(المكونات!$B$2:$B$500,MATCH($B1489,المكونات!$A$2:$A$500,0)),"")</f>
        <v>كجم</v>
      </c>
      <c r="E1489" s="41" t="n">
        <f aca="false">IFERROR(INDEX(المكونات!$C$2:$C$500,MATCH($B1489,المكونات!$A$2:$A$500,0)),"")</f>
        <v>27</v>
      </c>
      <c r="F1489" s="42" t="n">
        <f aca="false">IFERROR($C1489*$E1489,"")</f>
        <v>0.54</v>
      </c>
    </row>
    <row r="1490" customFormat="false" ht="15" hidden="false" customHeight="true" outlineLevel="0" collapsed="false">
      <c r="A1490" s="39" t="s">
        <v>337</v>
      </c>
      <c r="B1490" s="39" t="s">
        <v>124</v>
      </c>
      <c r="C1490" s="39" t="n">
        <v>0.02</v>
      </c>
      <c r="D1490" s="40" t="str">
        <f aca="false">IFERROR(INDEX(المكونات!$B$2:$B$500,MATCH($B1490,المكونات!$A$2:$A$500,0)),"")</f>
        <v>كجم</v>
      </c>
      <c r="E1490" s="41" t="n">
        <f aca="false">IFERROR(INDEX(المكونات!$C$2:$C$500,MATCH($B1490,المكونات!$A$2:$A$500,0)),"")</f>
        <v>18</v>
      </c>
      <c r="F1490" s="42" t="n">
        <f aca="false">IFERROR($C1490*$E1490,"")</f>
        <v>0.36</v>
      </c>
    </row>
    <row r="1491" customFormat="false" ht="15" hidden="false" customHeight="true" outlineLevel="0" collapsed="false">
      <c r="A1491" s="39" t="s">
        <v>337</v>
      </c>
      <c r="B1491" s="39" t="s">
        <v>151</v>
      </c>
      <c r="C1491" s="39" t="n">
        <v>0.02</v>
      </c>
      <c r="D1491" s="40" t="str">
        <f aca="false">IFERROR(INDEX(المكونات!$B$2:$B$500,MATCH($B1491,المكونات!$A$2:$A$500,0)),"")</f>
        <v>كجم</v>
      </c>
      <c r="E1491" s="41" t="n">
        <f aca="false">IFERROR(INDEX(المكونات!$C$2:$C$500,MATCH($B1491,المكونات!$A$2:$A$500,0)),"")</f>
        <v>30</v>
      </c>
      <c r="F1491" s="42" t="n">
        <f aca="false">IFERROR($C1491*$E1491,"")</f>
        <v>0.6</v>
      </c>
    </row>
    <row r="1492" customFormat="false" ht="15" hidden="false" customHeight="true" outlineLevel="0" collapsed="false">
      <c r="A1492" s="39" t="s">
        <v>337</v>
      </c>
      <c r="B1492" s="39" t="s">
        <v>192</v>
      </c>
      <c r="C1492" s="39" t="n">
        <v>0.05</v>
      </c>
      <c r="D1492" s="40" t="str">
        <f aca="false">IFERROR(INDEX(المكونات!$B$2:$B$500,MATCH($B1492,المكونات!$A$2:$A$500,0)),"")</f>
        <v>كجم</v>
      </c>
      <c r="E1492" s="41" t="n">
        <f aca="false">IFERROR(INDEX(المكونات!$C$2:$C$500,MATCH($B1492,المكونات!$A$2:$A$500,0)),"")</f>
        <v>105</v>
      </c>
      <c r="F1492" s="42" t="n">
        <f aca="false">IFERROR($C1492*$E1492,"")</f>
        <v>5.25</v>
      </c>
    </row>
    <row r="1493" customFormat="false" ht="15" hidden="false" customHeight="true" outlineLevel="0" collapsed="false">
      <c r="A1493" s="39" t="s">
        <v>337</v>
      </c>
      <c r="B1493" s="39" t="s">
        <v>188</v>
      </c>
      <c r="C1493" s="39" t="n">
        <v>0.05</v>
      </c>
      <c r="D1493" s="40" t="str">
        <f aca="false">IFERROR(INDEX(المكونات!$B$2:$B$500,MATCH($B1493,المكونات!$A$2:$A$500,0)),"")</f>
        <v>كجم</v>
      </c>
      <c r="E1493" s="41" t="n">
        <f aca="false">IFERROR(INDEX(المكونات!$C$2:$C$500,MATCH($B1493,المكونات!$A$2:$A$500,0)),"")</f>
        <v>70</v>
      </c>
      <c r="F1493" s="42" t="n">
        <f aca="false">IFERROR($C1493*$E1493,"")</f>
        <v>3.5</v>
      </c>
    </row>
    <row r="1494" customFormat="false" ht="15" hidden="false" customHeight="true" outlineLevel="0" collapsed="false">
      <c r="A1494" s="39" t="s">
        <v>337</v>
      </c>
      <c r="B1494" s="39" t="s">
        <v>194</v>
      </c>
      <c r="C1494" s="39" t="n">
        <v>0.05</v>
      </c>
      <c r="D1494" s="40" t="str">
        <f aca="false">IFERROR(INDEX(المكونات!$B$2:$B$500,MATCH($B1494,المكونات!$A$2:$A$500,0)),"")</f>
        <v>كجم</v>
      </c>
      <c r="E1494" s="41" t="n">
        <f aca="false">IFERROR(INDEX(المكونات!$C$2:$C$500,MATCH($B1494,المكونات!$A$2:$A$500,0)),"")</f>
        <v>140</v>
      </c>
      <c r="F1494" s="42" t="n">
        <f aca="false">IFERROR($C1494*$E1494,"")</f>
        <v>7</v>
      </c>
    </row>
    <row r="1495" customFormat="false" ht="15" hidden="false" customHeight="true" outlineLevel="0" collapsed="false">
      <c r="A1495" s="39" t="s">
        <v>337</v>
      </c>
      <c r="B1495" s="39" t="s">
        <v>225</v>
      </c>
      <c r="C1495" s="39" t="n">
        <v>2</v>
      </c>
      <c r="D1495" s="40" t="str">
        <f aca="false">IFERROR(INDEX(المكونات!$B$2:$B$500,MATCH($B1495,المكونات!$A$2:$A$500,0)),"")</f>
        <v>قطعة</v>
      </c>
      <c r="E1495" s="41" t="n">
        <f aca="false">IFERROR(INDEX(المكونات!$C$2:$C$500,MATCH($B1495,المكونات!$A$2:$A$500,0)),"")</f>
        <v>0.3</v>
      </c>
      <c r="F1495" s="42" t="n">
        <f aca="false">IFERROR($C1495*$E1495,"")</f>
        <v>0.6</v>
      </c>
    </row>
    <row r="1496" customFormat="false" ht="15" hidden="false" customHeight="true" outlineLevel="0" collapsed="false">
      <c r="A1496" s="39" t="s">
        <v>337</v>
      </c>
      <c r="B1496" s="39" t="s">
        <v>254</v>
      </c>
      <c r="C1496" s="39" t="n">
        <v>1</v>
      </c>
      <c r="D1496" s="40" t="str">
        <f aca="false">IFERROR(INDEX(المكونات!$B$2:$B$500,MATCH($B1496,المكونات!$A$2:$A$500,0)),"")</f>
        <v>قطعة (ورقة)</v>
      </c>
      <c r="E1496" s="41" t="n">
        <f aca="false">IFERROR(INDEX(المكونات!$C$2:$C$500,MATCH($B1496,المكونات!$A$2:$A$500,0)),"")</f>
        <v>0.3665</v>
      </c>
      <c r="F1496" s="42" t="n">
        <f aca="false">IFERROR($C1496*$E1496,"")</f>
        <v>0.3665</v>
      </c>
    </row>
    <row r="1497" customFormat="false" ht="15" hidden="false" customHeight="true" outlineLevel="0" collapsed="false">
      <c r="A1497" s="39" t="s">
        <v>337</v>
      </c>
      <c r="B1497" s="39" t="s">
        <v>67</v>
      </c>
      <c r="C1497" s="39" t="n">
        <v>1</v>
      </c>
      <c r="D1497" s="40" t="str">
        <f aca="false">IFERROR(INDEX(المكونات!$B$2:$B$500,MATCH($B1497,المكونات!$A$2:$A$500,0)),"")</f>
        <v>قطعة (كيس)</v>
      </c>
      <c r="E1497" s="41" t="n">
        <f aca="false">IFERROR(INDEX(المكونات!$C$2:$C$500,MATCH($B1497,المكونات!$A$2:$A$500,0)),"")</f>
        <v>1.4</v>
      </c>
      <c r="F1497" s="42" t="n">
        <f aca="false">IFERROR($C1497*$E1497,"")</f>
        <v>1.4</v>
      </c>
    </row>
    <row r="1498" customFormat="false" ht="15" hidden="false" customHeight="true" outlineLevel="0" collapsed="false">
      <c r="A1498" s="39" t="s">
        <v>337</v>
      </c>
      <c r="B1498" s="39" t="s">
        <v>228</v>
      </c>
      <c r="C1498" s="39" t="n">
        <v>1</v>
      </c>
      <c r="D1498" s="40" t="str">
        <f aca="false">IFERROR(INDEX(المكونات!$B$2:$B$500,MATCH($B1498,المكونات!$A$2:$A$500,0)),"")</f>
        <v>قطعة</v>
      </c>
      <c r="E1498" s="41" t="n">
        <f aca="false">IFERROR(INDEX(المكونات!$C$2:$C$500,MATCH($B1498,المكونات!$A$2:$A$500,0)),"")</f>
        <v>0.5</v>
      </c>
      <c r="F1498" s="42" t="n">
        <f aca="false">IFERROR($C1498*$E1498,"")</f>
        <v>0.5</v>
      </c>
    </row>
    <row r="1499" customFormat="false" ht="15" hidden="false" customHeight="true" outlineLevel="0" collapsed="false">
      <c r="A1499" s="39" t="s">
        <v>337</v>
      </c>
      <c r="B1499" s="39" t="s">
        <v>145</v>
      </c>
      <c r="C1499" s="39" t="n">
        <v>2</v>
      </c>
      <c r="D1499" s="40" t="str">
        <f aca="false">IFERROR(INDEX(المكونات!$B$2:$B$500,MATCH($B1499,المكونات!$A$2:$A$500,0)),"")</f>
        <v>قطعة (جلفز)</v>
      </c>
      <c r="E1499" s="41" t="n">
        <f aca="false">IFERROR(INDEX(المكونات!$C$2:$C$500,MATCH($B1499,المكونات!$A$2:$A$500,0)),"")</f>
        <v>0.18</v>
      </c>
      <c r="F1499" s="42" t="n">
        <f aca="false">IFERROR($C1499*$E1499,"")</f>
        <v>0.36</v>
      </c>
    </row>
    <row r="1500" customFormat="false" ht="15" hidden="false" customHeight="true" outlineLevel="0" collapsed="false">
      <c r="A1500" s="39" t="s">
        <v>337</v>
      </c>
      <c r="B1500" s="39" t="s">
        <v>257</v>
      </c>
      <c r="C1500" s="39" t="n">
        <v>1</v>
      </c>
      <c r="D1500" s="40" t="str">
        <f aca="false">IFERROR(INDEX(المكونات!$B$2:$B$500,MATCH($B1500,المكونات!$A$2:$A$500,0)),"")</f>
        <v>قطعة (كيس)</v>
      </c>
      <c r="E1500" s="41" t="n">
        <f aca="false">IFERROR(INDEX(المكونات!$C$2:$C$500,MATCH($B1500,المكونات!$A$2:$A$500,0)),"")</f>
        <v>0.9995</v>
      </c>
      <c r="F1500" s="42" t="n">
        <f aca="false">IFERROR($C1500*$E1500,"")</f>
        <v>0.9995</v>
      </c>
    </row>
    <row r="1501" customFormat="false" ht="15" hidden="false" customHeight="true" outlineLevel="0" collapsed="false">
      <c r="A1501" s="39" t="s">
        <v>337</v>
      </c>
      <c r="B1501" s="39" t="s">
        <v>279</v>
      </c>
      <c r="C1501" s="39" t="n">
        <v>1</v>
      </c>
      <c r="D1501" s="40" t="str">
        <f aca="false">IFERROR(INDEX(المكونات!$B$2:$B$500,MATCH($B1501,المكونات!$A$2:$A$500,0)),"")</f>
        <v>قطعة</v>
      </c>
      <c r="E1501" s="41" t="n">
        <f aca="false">IFERROR(INDEX(المكونات!$C$2:$C$500,MATCH($B1501,المكونات!$A$2:$A$500,0)),"")</f>
        <v>4.44</v>
      </c>
      <c r="F1501" s="42" t="n">
        <f aca="false">IFERROR($C1501*$E1501,"")</f>
        <v>4.44</v>
      </c>
    </row>
    <row r="1502" customFormat="false" ht="15" hidden="false" customHeight="true" outlineLevel="0" collapsed="false">
      <c r="A1502" s="39" t="s">
        <v>450</v>
      </c>
      <c r="B1502" s="39" t="s">
        <v>244</v>
      </c>
      <c r="C1502" s="39" t="n">
        <v>0.15</v>
      </c>
      <c r="D1502" s="40" t="str">
        <f aca="false">IFERROR(INDEX(المكونات!$B$2:$B$500,MATCH($B1502,المكونات!$A$2:$A$500,0)),"")</f>
        <v>كجم</v>
      </c>
      <c r="E1502" s="41" t="n">
        <f aca="false">IFERROR(INDEX(المكونات!$C$2:$C$500,MATCH($B1502,المكونات!$A$2:$A$500,0)),"")</f>
        <v>24</v>
      </c>
      <c r="F1502" s="42" t="n">
        <f aca="false">IFERROR($C1502*$E1502,"")</f>
        <v>3.6</v>
      </c>
    </row>
    <row r="1503" customFormat="false" ht="15" hidden="false" customHeight="true" outlineLevel="0" collapsed="false">
      <c r="A1503" s="39" t="s">
        <v>450</v>
      </c>
      <c r="B1503" s="39" t="s">
        <v>122</v>
      </c>
      <c r="C1503" s="39" t="n">
        <v>0.2</v>
      </c>
      <c r="D1503" s="40" t="str">
        <f aca="false">IFERROR(INDEX(المكونات!$B$2:$B$500,MATCH($B1503,المكونات!$A$2:$A$500,0)),"")</f>
        <v>كجم</v>
      </c>
      <c r="E1503" s="41" t="n">
        <f aca="false">IFERROR(INDEX(المكونات!$C$2:$C$500,MATCH($B1503,المكونات!$A$2:$A$500,0)),"")</f>
        <v>25</v>
      </c>
      <c r="F1503" s="42" t="n">
        <f aca="false">IFERROR($C1503*$E1503,"")</f>
        <v>5</v>
      </c>
    </row>
    <row r="1504" customFormat="false" ht="15" hidden="false" customHeight="true" outlineLevel="0" collapsed="false">
      <c r="A1504" s="39" t="s">
        <v>450</v>
      </c>
      <c r="B1504" s="39" t="s">
        <v>110</v>
      </c>
      <c r="C1504" s="39" t="n">
        <v>1</v>
      </c>
      <c r="D1504" s="40" t="str">
        <f aca="false">IFERROR(INDEX(المكونات!$B$2:$B$500,MATCH($B1504,المكونات!$A$2:$A$500,0)),"")</f>
        <v>قطعة</v>
      </c>
      <c r="E1504" s="41" t="n">
        <f aca="false">IFERROR(INDEX(المكونات!$C$2:$C$500,MATCH($B1504,المكونات!$A$2:$A$500,0)),"")</f>
        <v>17.5</v>
      </c>
      <c r="F1504" s="42" t="n">
        <f aca="false">IFERROR($C1504*$E1504,"")</f>
        <v>17.5</v>
      </c>
    </row>
    <row r="1505" customFormat="false" ht="15" hidden="false" customHeight="true" outlineLevel="0" collapsed="false">
      <c r="A1505" s="39" t="s">
        <v>450</v>
      </c>
      <c r="B1505" s="39" t="s">
        <v>263</v>
      </c>
      <c r="C1505" s="39" t="n">
        <v>1</v>
      </c>
      <c r="D1505" s="40" t="str">
        <f aca="false">IFERROR(INDEX(المكونات!$B$2:$B$500,MATCH($B1505,المكونات!$A$2:$A$500,0)),"")</f>
        <v>قطعة</v>
      </c>
      <c r="E1505" s="41" t="n">
        <f aca="false">IFERROR(INDEX(المكونات!$C$2:$C$500,MATCH($B1505,المكونات!$A$2:$A$500,0)),"")</f>
        <v>4.47</v>
      </c>
      <c r="F1505" s="42" t="n">
        <f aca="false">IFERROR($C1505*$E1505,"")</f>
        <v>4.47</v>
      </c>
    </row>
    <row r="1506" customFormat="false" ht="15" hidden="false" customHeight="true" outlineLevel="0" collapsed="false">
      <c r="A1506" s="39" t="s">
        <v>450</v>
      </c>
      <c r="B1506" s="39" t="s">
        <v>56</v>
      </c>
      <c r="C1506" s="39" t="n">
        <v>1</v>
      </c>
      <c r="D1506" s="40" t="str">
        <f aca="false">IFERROR(INDEX(المكونات!$B$2:$B$500,MATCH($B1506,المكونات!$A$2:$A$500,0)),"")</f>
        <v>قطعة</v>
      </c>
      <c r="E1506" s="41" t="n">
        <f aca="false">IFERROR(INDEX(المكونات!$C$2:$C$500,MATCH($B1506,المكونات!$A$2:$A$500,0)),"")</f>
        <v>3.3</v>
      </c>
      <c r="F1506" s="42" t="n">
        <f aca="false">IFERROR($C1506*$E1506,"")</f>
        <v>3.3</v>
      </c>
    </row>
    <row r="1507" customFormat="false" ht="15" hidden="false" customHeight="true" outlineLevel="0" collapsed="false">
      <c r="A1507" s="39" t="s">
        <v>450</v>
      </c>
      <c r="B1507" s="39" t="s">
        <v>178</v>
      </c>
      <c r="C1507" s="39" t="n">
        <v>1</v>
      </c>
      <c r="D1507" s="40" t="str">
        <f aca="false">IFERROR(INDEX(المكونات!$B$2:$B$500,MATCH($B1507,المكونات!$A$2:$A$500,0)),"")</f>
        <v>قطعة</v>
      </c>
      <c r="E1507" s="41" t="n">
        <f aca="false">IFERROR(INDEX(المكونات!$C$2:$C$500,MATCH($B1507,المكونات!$A$2:$A$500,0)),"")</f>
        <v>0.3</v>
      </c>
      <c r="F1507" s="42" t="n">
        <f aca="false">IFERROR($C1507*$E1507,"")</f>
        <v>0.3</v>
      </c>
    </row>
    <row r="1508" customFormat="false" ht="15" hidden="false" customHeight="true" outlineLevel="0" collapsed="false">
      <c r="A1508" s="39" t="s">
        <v>450</v>
      </c>
      <c r="B1508" s="39" t="s">
        <v>225</v>
      </c>
      <c r="C1508" s="39" t="n">
        <v>2</v>
      </c>
      <c r="D1508" s="40" t="str">
        <f aca="false">IFERROR(INDEX(المكونات!$B$2:$B$500,MATCH($B1508,المكونات!$A$2:$A$500,0)),"")</f>
        <v>قطعة</v>
      </c>
      <c r="E1508" s="41" t="n">
        <f aca="false">IFERROR(INDEX(المكونات!$C$2:$C$500,MATCH($B1508,المكونات!$A$2:$A$500,0)),"")</f>
        <v>0.3</v>
      </c>
      <c r="F1508" s="42" t="n">
        <f aca="false">IFERROR($C1508*$E1508,"")</f>
        <v>0.6</v>
      </c>
    </row>
    <row r="1509" customFormat="false" ht="15" hidden="false" customHeight="true" outlineLevel="0" collapsed="false">
      <c r="A1509" s="39" t="s">
        <v>450</v>
      </c>
      <c r="B1509" s="39" t="s">
        <v>145</v>
      </c>
      <c r="C1509" s="39" t="n">
        <v>2</v>
      </c>
      <c r="D1509" s="40" t="str">
        <f aca="false">IFERROR(INDEX(المكونات!$B$2:$B$500,MATCH($B1509,المكونات!$A$2:$A$500,0)),"")</f>
        <v>قطعة (جلفز)</v>
      </c>
      <c r="E1509" s="41" t="n">
        <f aca="false">IFERROR(INDEX(المكونات!$C$2:$C$500,MATCH($B1509,المكونات!$A$2:$A$500,0)),"")</f>
        <v>0.18</v>
      </c>
      <c r="F1509" s="42" t="n">
        <f aca="false">IFERROR($C1509*$E1509,"")</f>
        <v>0.36</v>
      </c>
    </row>
    <row r="1510" customFormat="false" ht="15" hidden="false" customHeight="true" outlineLevel="0" collapsed="false">
      <c r="A1510" s="39" t="s">
        <v>450</v>
      </c>
      <c r="B1510" s="39" t="s">
        <v>70</v>
      </c>
      <c r="C1510" s="39" t="n">
        <v>1</v>
      </c>
      <c r="D1510" s="40" t="str">
        <f aca="false">IFERROR(INDEX(المكونات!$B$2:$B$500,MATCH($B1510,المكونات!$A$2:$A$500,0)),"")</f>
        <v>قطعة (كيس)</v>
      </c>
      <c r="E1510" s="41" t="n">
        <f aca="false">IFERROR(INDEX(المكونات!$C$2:$C$500,MATCH($B1510,المكونات!$A$2:$A$500,0)),"")</f>
        <v>1.4</v>
      </c>
      <c r="F1510" s="42" t="n">
        <f aca="false">IFERROR($C1510*$E1510,"")</f>
        <v>1.4</v>
      </c>
    </row>
    <row r="1511" customFormat="false" ht="15" hidden="false" customHeight="true" outlineLevel="0" collapsed="false">
      <c r="A1511" s="39" t="s">
        <v>328</v>
      </c>
      <c r="B1511" s="39" t="s">
        <v>244</v>
      </c>
      <c r="C1511" s="39" t="n">
        <v>0.15</v>
      </c>
      <c r="D1511" s="40" t="str">
        <f aca="false">IFERROR(INDEX(المكونات!$B$2:$B$500,MATCH($B1511,المكونات!$A$2:$A$500,0)),"")</f>
        <v>كجم</v>
      </c>
      <c r="E1511" s="41" t="n">
        <f aca="false">IFERROR(INDEX(المكونات!$C$2:$C$500,MATCH($B1511,المكونات!$A$2:$A$500,0)),"")</f>
        <v>24</v>
      </c>
      <c r="F1511" s="42" t="n">
        <f aca="false">IFERROR($C1511*$E1511,"")</f>
        <v>3.6</v>
      </c>
    </row>
    <row r="1512" customFormat="false" ht="15" hidden="false" customHeight="true" outlineLevel="0" collapsed="false">
      <c r="A1512" s="39" t="s">
        <v>328</v>
      </c>
      <c r="B1512" s="39" t="s">
        <v>122</v>
      </c>
      <c r="C1512" s="39" t="n">
        <v>0.2</v>
      </c>
      <c r="D1512" s="40" t="str">
        <f aca="false">IFERROR(INDEX(المكونات!$B$2:$B$500,MATCH($B1512,المكونات!$A$2:$A$500,0)),"")</f>
        <v>كجم</v>
      </c>
      <c r="E1512" s="41" t="n">
        <f aca="false">IFERROR(INDEX(المكونات!$C$2:$C$500,MATCH($B1512,المكونات!$A$2:$A$500,0)),"")</f>
        <v>25</v>
      </c>
      <c r="F1512" s="42" t="n">
        <f aca="false">IFERROR($C1512*$E1512,"")</f>
        <v>5</v>
      </c>
    </row>
    <row r="1513" customFormat="false" ht="15" hidden="false" customHeight="true" outlineLevel="0" collapsed="false">
      <c r="A1513" s="39" t="s">
        <v>328</v>
      </c>
      <c r="B1513" s="39" t="s">
        <v>110</v>
      </c>
      <c r="C1513" s="39" t="n">
        <v>1</v>
      </c>
      <c r="D1513" s="40" t="str">
        <f aca="false">IFERROR(INDEX(المكونات!$B$2:$B$500,MATCH($B1513,المكونات!$A$2:$A$500,0)),"")</f>
        <v>قطعة</v>
      </c>
      <c r="E1513" s="41" t="n">
        <f aca="false">IFERROR(INDEX(المكونات!$C$2:$C$500,MATCH($B1513,المكونات!$A$2:$A$500,0)),"")</f>
        <v>17.5</v>
      </c>
      <c r="F1513" s="42" t="n">
        <f aca="false">IFERROR($C1513*$E1513,"")</f>
        <v>17.5</v>
      </c>
    </row>
    <row r="1514" customFormat="false" ht="15" hidden="false" customHeight="true" outlineLevel="0" collapsed="false">
      <c r="A1514" s="39" t="s">
        <v>328</v>
      </c>
      <c r="B1514" s="39" t="s">
        <v>242</v>
      </c>
      <c r="C1514" s="39" t="n">
        <v>0.06</v>
      </c>
      <c r="D1514" s="40" t="str">
        <f aca="false">IFERROR(INDEX(المكونات!$B$2:$B$500,MATCH($B1514,المكونات!$A$2:$A$500,0)),"")</f>
        <v>كجم</v>
      </c>
      <c r="E1514" s="41" t="n">
        <f aca="false">IFERROR(INDEX(المكونات!$C$2:$C$500,MATCH($B1514,المكونات!$A$2:$A$500,0)),"")</f>
        <v>151.2027</v>
      </c>
      <c r="F1514" s="42" t="n">
        <f aca="false">IFERROR($C1514*$E1514,"")</f>
        <v>9.072162</v>
      </c>
    </row>
    <row r="1515" customFormat="false" ht="15" hidden="false" customHeight="true" outlineLevel="0" collapsed="false">
      <c r="A1515" s="39" t="s">
        <v>328</v>
      </c>
      <c r="B1515" s="39" t="s">
        <v>263</v>
      </c>
      <c r="C1515" s="39" t="n">
        <v>1</v>
      </c>
      <c r="D1515" s="40" t="str">
        <f aca="false">IFERROR(INDEX(المكونات!$B$2:$B$500,MATCH($B1515,المكونات!$A$2:$A$500,0)),"")</f>
        <v>قطعة</v>
      </c>
      <c r="E1515" s="41" t="n">
        <f aca="false">IFERROR(INDEX(المكونات!$C$2:$C$500,MATCH($B1515,المكونات!$A$2:$A$500,0)),"")</f>
        <v>4.47</v>
      </c>
      <c r="F1515" s="42" t="n">
        <f aca="false">IFERROR($C1515*$E1515,"")</f>
        <v>4.47</v>
      </c>
    </row>
    <row r="1516" customFormat="false" ht="15" hidden="false" customHeight="true" outlineLevel="0" collapsed="false">
      <c r="A1516" s="39" t="s">
        <v>328</v>
      </c>
      <c r="B1516" s="39" t="s">
        <v>56</v>
      </c>
      <c r="C1516" s="39" t="n">
        <v>1</v>
      </c>
      <c r="D1516" s="40" t="str">
        <f aca="false">IFERROR(INDEX(المكونات!$B$2:$B$500,MATCH($B1516,المكونات!$A$2:$A$500,0)),"")</f>
        <v>قطعة</v>
      </c>
      <c r="E1516" s="41" t="n">
        <f aca="false">IFERROR(INDEX(المكونات!$C$2:$C$500,MATCH($B1516,المكونات!$A$2:$A$500,0)),"")</f>
        <v>3.3</v>
      </c>
      <c r="F1516" s="42" t="n">
        <f aca="false">IFERROR($C1516*$E1516,"")</f>
        <v>3.3</v>
      </c>
    </row>
    <row r="1517" customFormat="false" ht="15" hidden="false" customHeight="true" outlineLevel="0" collapsed="false">
      <c r="A1517" s="39" t="s">
        <v>328</v>
      </c>
      <c r="B1517" s="39" t="s">
        <v>178</v>
      </c>
      <c r="C1517" s="39" t="n">
        <v>1</v>
      </c>
      <c r="D1517" s="40" t="str">
        <f aca="false">IFERROR(INDEX(المكونات!$B$2:$B$500,MATCH($B1517,المكونات!$A$2:$A$500,0)),"")</f>
        <v>قطعة</v>
      </c>
      <c r="E1517" s="41" t="n">
        <f aca="false">IFERROR(INDEX(المكونات!$C$2:$C$500,MATCH($B1517,المكونات!$A$2:$A$500,0)),"")</f>
        <v>0.3</v>
      </c>
      <c r="F1517" s="42" t="n">
        <f aca="false">IFERROR($C1517*$E1517,"")</f>
        <v>0.3</v>
      </c>
    </row>
    <row r="1518" customFormat="false" ht="15" hidden="false" customHeight="true" outlineLevel="0" collapsed="false">
      <c r="A1518" s="39" t="s">
        <v>328</v>
      </c>
      <c r="B1518" s="39" t="s">
        <v>225</v>
      </c>
      <c r="C1518" s="39" t="n">
        <v>2</v>
      </c>
      <c r="D1518" s="40" t="str">
        <f aca="false">IFERROR(INDEX(المكونات!$B$2:$B$500,MATCH($B1518,المكونات!$A$2:$A$500,0)),"")</f>
        <v>قطعة</v>
      </c>
      <c r="E1518" s="41" t="n">
        <f aca="false">IFERROR(INDEX(المكونات!$C$2:$C$500,MATCH($B1518,المكونات!$A$2:$A$500,0)),"")</f>
        <v>0.3</v>
      </c>
      <c r="F1518" s="42" t="n">
        <f aca="false">IFERROR($C1518*$E1518,"")</f>
        <v>0.6</v>
      </c>
    </row>
    <row r="1519" customFormat="false" ht="15" hidden="false" customHeight="true" outlineLevel="0" collapsed="false">
      <c r="A1519" s="39" t="s">
        <v>328</v>
      </c>
      <c r="B1519" s="39" t="s">
        <v>145</v>
      </c>
      <c r="C1519" s="39" t="n">
        <v>2</v>
      </c>
      <c r="D1519" s="40" t="str">
        <f aca="false">IFERROR(INDEX(المكونات!$B$2:$B$500,MATCH($B1519,المكونات!$A$2:$A$500,0)),"")</f>
        <v>قطعة (جلفز)</v>
      </c>
      <c r="E1519" s="41" t="n">
        <f aca="false">IFERROR(INDEX(المكونات!$C$2:$C$500,MATCH($B1519,المكونات!$A$2:$A$500,0)),"")</f>
        <v>0.18</v>
      </c>
      <c r="F1519" s="42" t="n">
        <f aca="false">IFERROR($C1519*$E1519,"")</f>
        <v>0.36</v>
      </c>
    </row>
    <row r="1520" customFormat="false" ht="15" hidden="false" customHeight="true" outlineLevel="0" collapsed="false">
      <c r="A1520" s="39" t="s">
        <v>328</v>
      </c>
      <c r="B1520" s="39" t="s">
        <v>70</v>
      </c>
      <c r="C1520" s="39" t="n">
        <v>1</v>
      </c>
      <c r="D1520" s="40" t="str">
        <f aca="false">IFERROR(INDEX(المكونات!$B$2:$B$500,MATCH($B1520,المكونات!$A$2:$A$500,0)),"")</f>
        <v>قطعة (كيس)</v>
      </c>
      <c r="E1520" s="41" t="n">
        <f aca="false">IFERROR(INDEX(المكونات!$C$2:$C$500,MATCH($B1520,المكونات!$A$2:$A$500,0)),"")</f>
        <v>1.4</v>
      </c>
      <c r="F1520" s="42" t="n">
        <f aca="false">IFERROR($C1520*$E1520,"")</f>
        <v>1.4</v>
      </c>
    </row>
    <row r="1521" customFormat="false" ht="15" hidden="false" customHeight="true" outlineLevel="0" collapsed="false">
      <c r="A1521" s="39" t="s">
        <v>456</v>
      </c>
      <c r="B1521" s="39" t="s">
        <v>244</v>
      </c>
      <c r="C1521" s="39" t="n">
        <v>0.15</v>
      </c>
      <c r="D1521" s="40" t="str">
        <f aca="false">IFERROR(INDEX(المكونات!$B$2:$B$500,MATCH($B1521,المكونات!$A$2:$A$500,0)),"")</f>
        <v>كجم</v>
      </c>
      <c r="E1521" s="41" t="n">
        <f aca="false">IFERROR(INDEX(المكونات!$C$2:$C$500,MATCH($B1521,المكونات!$A$2:$A$500,0)),"")</f>
        <v>24</v>
      </c>
      <c r="F1521" s="42" t="n">
        <f aca="false">IFERROR($C1521*$E1521,"")</f>
        <v>3.6</v>
      </c>
    </row>
    <row r="1522" customFormat="false" ht="15" hidden="false" customHeight="true" outlineLevel="0" collapsed="false">
      <c r="A1522" s="39" t="s">
        <v>456</v>
      </c>
      <c r="B1522" s="39" t="s">
        <v>122</v>
      </c>
      <c r="C1522" s="39" t="n">
        <v>0.2</v>
      </c>
      <c r="D1522" s="40" t="str">
        <f aca="false">IFERROR(INDEX(المكونات!$B$2:$B$500,MATCH($B1522,المكونات!$A$2:$A$500,0)),"")</f>
        <v>كجم</v>
      </c>
      <c r="E1522" s="41" t="n">
        <f aca="false">IFERROR(INDEX(المكونات!$C$2:$C$500,MATCH($B1522,المكونات!$A$2:$A$500,0)),"")</f>
        <v>25</v>
      </c>
      <c r="F1522" s="42" t="n">
        <f aca="false">IFERROR($C1522*$E1522,"")</f>
        <v>5</v>
      </c>
    </row>
    <row r="1523" customFormat="false" ht="15" hidden="false" customHeight="true" outlineLevel="0" collapsed="false">
      <c r="A1523" s="39" t="s">
        <v>456</v>
      </c>
      <c r="B1523" s="39" t="s">
        <v>110</v>
      </c>
      <c r="C1523" s="39" t="n">
        <v>1</v>
      </c>
      <c r="D1523" s="40" t="str">
        <f aca="false">IFERROR(INDEX(المكونات!$B$2:$B$500,MATCH($B1523,المكونات!$A$2:$A$500,0)),"")</f>
        <v>قطعة</v>
      </c>
      <c r="E1523" s="41" t="n">
        <f aca="false">IFERROR(INDEX(المكونات!$C$2:$C$500,MATCH($B1523,المكونات!$A$2:$A$500,0)),"")</f>
        <v>17.5</v>
      </c>
      <c r="F1523" s="42" t="n">
        <f aca="false">IFERROR($C1523*$E1523,"")</f>
        <v>17.5</v>
      </c>
    </row>
    <row r="1524" customFormat="false" ht="15" hidden="false" customHeight="true" outlineLevel="0" collapsed="false">
      <c r="A1524" s="39" t="s">
        <v>456</v>
      </c>
      <c r="B1524" s="39" t="s">
        <v>271</v>
      </c>
      <c r="C1524" s="39" t="n">
        <v>0.14</v>
      </c>
      <c r="D1524" s="40" t="str">
        <f aca="false">IFERROR(INDEX(المكونات!$B$2:$B$500,MATCH($B1524,المكونات!$A$2:$A$500,0)),"")</f>
        <v>كجم</v>
      </c>
      <c r="E1524" s="41" t="n">
        <f aca="false">IFERROR(INDEX(المكونات!$C$2:$C$500,MATCH($B1524,المكونات!$A$2:$A$500,0)),"")</f>
        <v>220.02</v>
      </c>
      <c r="F1524" s="42" t="n">
        <f aca="false">IFERROR($C1524*$E1524,"")</f>
        <v>30.8028</v>
      </c>
    </row>
    <row r="1525" customFormat="false" ht="15" hidden="false" customHeight="true" outlineLevel="0" collapsed="false">
      <c r="A1525" s="39" t="s">
        <v>456</v>
      </c>
      <c r="B1525" s="39" t="s">
        <v>263</v>
      </c>
      <c r="C1525" s="39" t="n">
        <v>1</v>
      </c>
      <c r="D1525" s="40" t="str">
        <f aca="false">IFERROR(INDEX(المكونات!$B$2:$B$500,MATCH($B1525,المكونات!$A$2:$A$500,0)),"")</f>
        <v>قطعة</v>
      </c>
      <c r="E1525" s="41" t="n">
        <f aca="false">IFERROR(INDEX(المكونات!$C$2:$C$500,MATCH($B1525,المكونات!$A$2:$A$500,0)),"")</f>
        <v>4.47</v>
      </c>
      <c r="F1525" s="42" t="n">
        <f aca="false">IFERROR($C1525*$E1525,"")</f>
        <v>4.47</v>
      </c>
    </row>
    <row r="1526" customFormat="false" ht="15" hidden="false" customHeight="true" outlineLevel="0" collapsed="false">
      <c r="A1526" s="39" t="s">
        <v>456</v>
      </c>
      <c r="B1526" s="39" t="s">
        <v>56</v>
      </c>
      <c r="C1526" s="39" t="n">
        <v>1</v>
      </c>
      <c r="D1526" s="40" t="str">
        <f aca="false">IFERROR(INDEX(المكونات!$B$2:$B$500,MATCH($B1526,المكونات!$A$2:$A$500,0)),"")</f>
        <v>قطعة</v>
      </c>
      <c r="E1526" s="41" t="n">
        <f aca="false">IFERROR(INDEX(المكونات!$C$2:$C$500,MATCH($B1526,المكونات!$A$2:$A$500,0)),"")</f>
        <v>3.3</v>
      </c>
      <c r="F1526" s="42" t="n">
        <f aca="false">IFERROR($C1526*$E1526,"")</f>
        <v>3.3</v>
      </c>
    </row>
    <row r="1527" customFormat="false" ht="15" hidden="false" customHeight="true" outlineLevel="0" collapsed="false">
      <c r="A1527" s="39" t="s">
        <v>456</v>
      </c>
      <c r="B1527" s="39" t="s">
        <v>178</v>
      </c>
      <c r="C1527" s="39" t="n">
        <v>1</v>
      </c>
      <c r="D1527" s="40" t="str">
        <f aca="false">IFERROR(INDEX(المكونات!$B$2:$B$500,MATCH($B1527,المكونات!$A$2:$A$500,0)),"")</f>
        <v>قطعة</v>
      </c>
      <c r="E1527" s="41" t="n">
        <f aca="false">IFERROR(INDEX(المكونات!$C$2:$C$500,MATCH($B1527,المكونات!$A$2:$A$500,0)),"")</f>
        <v>0.3</v>
      </c>
      <c r="F1527" s="42" t="n">
        <f aca="false">IFERROR($C1527*$E1527,"")</f>
        <v>0.3</v>
      </c>
    </row>
    <row r="1528" customFormat="false" ht="15" hidden="false" customHeight="true" outlineLevel="0" collapsed="false">
      <c r="A1528" s="39" t="s">
        <v>456</v>
      </c>
      <c r="B1528" s="39" t="s">
        <v>225</v>
      </c>
      <c r="C1528" s="39" t="n">
        <v>2</v>
      </c>
      <c r="D1528" s="40" t="str">
        <f aca="false">IFERROR(INDEX(المكونات!$B$2:$B$500,MATCH($B1528,المكونات!$A$2:$A$500,0)),"")</f>
        <v>قطعة</v>
      </c>
      <c r="E1528" s="41" t="n">
        <f aca="false">IFERROR(INDEX(المكونات!$C$2:$C$500,MATCH($B1528,المكونات!$A$2:$A$500,0)),"")</f>
        <v>0.3</v>
      </c>
      <c r="F1528" s="42" t="n">
        <f aca="false">IFERROR($C1528*$E1528,"")</f>
        <v>0.6</v>
      </c>
    </row>
    <row r="1529" customFormat="false" ht="15" hidden="false" customHeight="true" outlineLevel="0" collapsed="false">
      <c r="A1529" s="39" t="s">
        <v>456</v>
      </c>
      <c r="B1529" s="39" t="s">
        <v>145</v>
      </c>
      <c r="C1529" s="39" t="n">
        <v>2</v>
      </c>
      <c r="D1529" s="40" t="str">
        <f aca="false">IFERROR(INDEX(المكونات!$B$2:$B$500,MATCH($B1529,المكونات!$A$2:$A$500,0)),"")</f>
        <v>قطعة (جلفز)</v>
      </c>
      <c r="E1529" s="41" t="n">
        <f aca="false">IFERROR(INDEX(المكونات!$C$2:$C$500,MATCH($B1529,المكونات!$A$2:$A$500,0)),"")</f>
        <v>0.18</v>
      </c>
      <c r="F1529" s="42" t="n">
        <f aca="false">IFERROR($C1529*$E1529,"")</f>
        <v>0.36</v>
      </c>
    </row>
    <row r="1530" customFormat="false" ht="15" hidden="false" customHeight="true" outlineLevel="0" collapsed="false">
      <c r="A1530" s="39" t="s">
        <v>456</v>
      </c>
      <c r="B1530" s="39" t="s">
        <v>70</v>
      </c>
      <c r="C1530" s="39" t="n">
        <v>1</v>
      </c>
      <c r="D1530" s="40" t="str">
        <f aca="false">IFERROR(INDEX(المكونات!$B$2:$B$500,MATCH($B1530,المكونات!$A$2:$A$500,0)),"")</f>
        <v>قطعة (كيس)</v>
      </c>
      <c r="E1530" s="41" t="n">
        <f aca="false">IFERROR(INDEX(المكونات!$C$2:$C$500,MATCH($B1530,المكونات!$A$2:$A$500,0)),"")</f>
        <v>1.4</v>
      </c>
      <c r="F1530" s="42" t="n">
        <f aca="false">IFERROR($C1530*$E1530,"")</f>
        <v>1.4</v>
      </c>
    </row>
    <row r="1531" customFormat="false" ht="15" hidden="false" customHeight="true" outlineLevel="0" collapsed="false">
      <c r="A1531" s="39" t="s">
        <v>352</v>
      </c>
      <c r="B1531" s="39" t="s">
        <v>244</v>
      </c>
      <c r="C1531" s="39" t="n">
        <v>0.15</v>
      </c>
      <c r="D1531" s="40" t="str">
        <f aca="false">IFERROR(INDEX(المكونات!$B$2:$B$500,MATCH($B1531,المكونات!$A$2:$A$500,0)),"")</f>
        <v>كجم</v>
      </c>
      <c r="E1531" s="41" t="n">
        <f aca="false">IFERROR(INDEX(المكونات!$C$2:$C$500,MATCH($B1531,المكونات!$A$2:$A$500,0)),"")</f>
        <v>24</v>
      </c>
      <c r="F1531" s="42" t="n">
        <f aca="false">IFERROR($C1531*$E1531,"")</f>
        <v>3.6</v>
      </c>
    </row>
    <row r="1532" customFormat="false" ht="15" hidden="false" customHeight="true" outlineLevel="0" collapsed="false">
      <c r="A1532" s="39" t="s">
        <v>352</v>
      </c>
      <c r="B1532" s="39" t="s">
        <v>122</v>
      </c>
      <c r="C1532" s="39" t="n">
        <v>0.2</v>
      </c>
      <c r="D1532" s="40" t="str">
        <f aca="false">IFERROR(INDEX(المكونات!$B$2:$B$500,MATCH($B1532,المكونات!$A$2:$A$500,0)),"")</f>
        <v>كجم</v>
      </c>
      <c r="E1532" s="41" t="n">
        <f aca="false">IFERROR(INDEX(المكونات!$C$2:$C$500,MATCH($B1532,المكونات!$A$2:$A$500,0)),"")</f>
        <v>25</v>
      </c>
      <c r="F1532" s="42" t="n">
        <f aca="false">IFERROR($C1532*$E1532,"")</f>
        <v>5</v>
      </c>
    </row>
    <row r="1533" customFormat="false" ht="15" hidden="false" customHeight="true" outlineLevel="0" collapsed="false">
      <c r="A1533" s="39" t="s">
        <v>352</v>
      </c>
      <c r="B1533" s="39" t="s">
        <v>110</v>
      </c>
      <c r="C1533" s="39" t="n">
        <v>1</v>
      </c>
      <c r="D1533" s="40" t="str">
        <f aca="false">IFERROR(INDEX(المكونات!$B$2:$B$500,MATCH($B1533,المكونات!$A$2:$A$500,0)),"")</f>
        <v>قطعة</v>
      </c>
      <c r="E1533" s="41" t="n">
        <f aca="false">IFERROR(INDEX(المكونات!$C$2:$C$500,MATCH($B1533,المكونات!$A$2:$A$500,0)),"")</f>
        <v>17.5</v>
      </c>
      <c r="F1533" s="42" t="n">
        <f aca="false">IFERROR($C1533*$E1533,"")</f>
        <v>17.5</v>
      </c>
    </row>
    <row r="1534" customFormat="false" ht="15" hidden="false" customHeight="true" outlineLevel="0" collapsed="false">
      <c r="A1534" s="39" t="s">
        <v>352</v>
      </c>
      <c r="B1534" s="39" t="s">
        <v>217</v>
      </c>
      <c r="C1534" s="39" t="n">
        <v>0.14</v>
      </c>
      <c r="D1534" s="40" t="str">
        <f aca="false">IFERROR(INDEX(المكونات!$B$2:$B$500,MATCH($B1534,المكونات!$A$2:$A$500,0)),"")</f>
        <v>كجم</v>
      </c>
      <c r="E1534" s="41" t="n">
        <f aca="false">IFERROR(INDEX(المكونات!$C$2:$C$500,MATCH($B1534,المكونات!$A$2:$A$500,0)),"")</f>
        <v>150</v>
      </c>
      <c r="F1534" s="42" t="n">
        <f aca="false">IFERROR($C1534*$E1534,"")</f>
        <v>21</v>
      </c>
    </row>
    <row r="1535" customFormat="false" ht="15" hidden="false" customHeight="true" outlineLevel="0" collapsed="false">
      <c r="A1535" s="39" t="s">
        <v>352</v>
      </c>
      <c r="B1535" s="39" t="s">
        <v>188</v>
      </c>
      <c r="C1535" s="39" t="n">
        <v>0.1</v>
      </c>
      <c r="D1535" s="40" t="str">
        <f aca="false">IFERROR(INDEX(المكونات!$B$2:$B$500,MATCH($B1535,المكونات!$A$2:$A$500,0)),"")</f>
        <v>كجم</v>
      </c>
      <c r="E1535" s="41" t="n">
        <f aca="false">IFERROR(INDEX(المكونات!$C$2:$C$500,MATCH($B1535,المكونات!$A$2:$A$500,0)),"")</f>
        <v>70</v>
      </c>
      <c r="F1535" s="42" t="n">
        <f aca="false">IFERROR($C1535*$E1535,"")</f>
        <v>7</v>
      </c>
    </row>
    <row r="1536" customFormat="false" ht="15" hidden="false" customHeight="true" outlineLevel="0" collapsed="false">
      <c r="A1536" s="39" t="s">
        <v>352</v>
      </c>
      <c r="B1536" s="39" t="s">
        <v>263</v>
      </c>
      <c r="C1536" s="39" t="n">
        <v>1</v>
      </c>
      <c r="D1536" s="40" t="str">
        <f aca="false">IFERROR(INDEX(المكونات!$B$2:$B$500,MATCH($B1536,المكونات!$A$2:$A$500,0)),"")</f>
        <v>قطعة</v>
      </c>
      <c r="E1536" s="41" t="n">
        <f aca="false">IFERROR(INDEX(المكونات!$C$2:$C$500,MATCH($B1536,المكونات!$A$2:$A$500,0)),"")</f>
        <v>4.47</v>
      </c>
      <c r="F1536" s="42" t="n">
        <f aca="false">IFERROR($C1536*$E1536,"")</f>
        <v>4.47</v>
      </c>
    </row>
    <row r="1537" customFormat="false" ht="15" hidden="false" customHeight="true" outlineLevel="0" collapsed="false">
      <c r="A1537" s="39" t="s">
        <v>352</v>
      </c>
      <c r="B1537" s="39" t="s">
        <v>56</v>
      </c>
      <c r="C1537" s="39" t="n">
        <v>1</v>
      </c>
      <c r="D1537" s="40" t="str">
        <f aca="false">IFERROR(INDEX(المكونات!$B$2:$B$500,MATCH($B1537,المكونات!$A$2:$A$500,0)),"")</f>
        <v>قطعة</v>
      </c>
      <c r="E1537" s="41" t="n">
        <f aca="false">IFERROR(INDEX(المكونات!$C$2:$C$500,MATCH($B1537,المكونات!$A$2:$A$500,0)),"")</f>
        <v>3.3</v>
      </c>
      <c r="F1537" s="42" t="n">
        <f aca="false">IFERROR($C1537*$E1537,"")</f>
        <v>3.3</v>
      </c>
    </row>
    <row r="1538" customFormat="false" ht="15" hidden="false" customHeight="true" outlineLevel="0" collapsed="false">
      <c r="A1538" s="39" t="s">
        <v>352</v>
      </c>
      <c r="B1538" s="39" t="s">
        <v>178</v>
      </c>
      <c r="C1538" s="39" t="n">
        <v>1</v>
      </c>
      <c r="D1538" s="40" t="str">
        <f aca="false">IFERROR(INDEX(المكونات!$B$2:$B$500,MATCH($B1538,المكونات!$A$2:$A$500,0)),"")</f>
        <v>قطعة</v>
      </c>
      <c r="E1538" s="41" t="n">
        <f aca="false">IFERROR(INDEX(المكونات!$C$2:$C$500,MATCH($B1538,المكونات!$A$2:$A$500,0)),"")</f>
        <v>0.3</v>
      </c>
      <c r="F1538" s="42" t="n">
        <f aca="false">IFERROR($C1538*$E1538,"")</f>
        <v>0.3</v>
      </c>
    </row>
    <row r="1539" customFormat="false" ht="15" hidden="false" customHeight="true" outlineLevel="0" collapsed="false">
      <c r="A1539" s="39" t="s">
        <v>352</v>
      </c>
      <c r="B1539" s="39" t="s">
        <v>225</v>
      </c>
      <c r="C1539" s="39" t="n">
        <v>2</v>
      </c>
      <c r="D1539" s="40" t="str">
        <f aca="false">IFERROR(INDEX(المكونات!$B$2:$B$500,MATCH($B1539,المكونات!$A$2:$A$500,0)),"")</f>
        <v>قطعة</v>
      </c>
      <c r="E1539" s="41" t="n">
        <f aca="false">IFERROR(INDEX(المكونات!$C$2:$C$500,MATCH($B1539,المكونات!$A$2:$A$500,0)),"")</f>
        <v>0.3</v>
      </c>
      <c r="F1539" s="42" t="n">
        <f aca="false">IFERROR($C1539*$E1539,"")</f>
        <v>0.6</v>
      </c>
    </row>
    <row r="1540" customFormat="false" ht="15" hidden="false" customHeight="true" outlineLevel="0" collapsed="false">
      <c r="A1540" s="39" t="s">
        <v>352</v>
      </c>
      <c r="B1540" s="39" t="s">
        <v>145</v>
      </c>
      <c r="C1540" s="39" t="n">
        <v>2</v>
      </c>
      <c r="D1540" s="40" t="str">
        <f aca="false">IFERROR(INDEX(المكونات!$B$2:$B$500,MATCH($B1540,المكونات!$A$2:$A$500,0)),"")</f>
        <v>قطعة (جلفز)</v>
      </c>
      <c r="E1540" s="41" t="n">
        <f aca="false">IFERROR(INDEX(المكونات!$C$2:$C$500,MATCH($B1540,المكونات!$A$2:$A$500,0)),"")</f>
        <v>0.18</v>
      </c>
      <c r="F1540" s="42" t="n">
        <f aca="false">IFERROR($C1540*$E1540,"")</f>
        <v>0.36</v>
      </c>
    </row>
    <row r="1541" customFormat="false" ht="15" hidden="false" customHeight="true" outlineLevel="0" collapsed="false">
      <c r="A1541" s="39" t="s">
        <v>352</v>
      </c>
      <c r="B1541" s="39" t="s">
        <v>70</v>
      </c>
      <c r="C1541" s="39" t="n">
        <v>1</v>
      </c>
      <c r="D1541" s="40" t="str">
        <f aca="false">IFERROR(INDEX(المكونات!$B$2:$B$500,MATCH($B1541,المكونات!$A$2:$A$500,0)),"")</f>
        <v>قطعة (كيس)</v>
      </c>
      <c r="E1541" s="41" t="n">
        <f aca="false">IFERROR(INDEX(المكونات!$C$2:$C$500,MATCH($B1541,المكونات!$A$2:$A$500,0)),"")</f>
        <v>1.4</v>
      </c>
      <c r="F1541" s="42" t="n">
        <f aca="false">IFERROR($C1541*$E1541,"")</f>
        <v>1.4</v>
      </c>
    </row>
    <row r="1542" customFormat="false" ht="15" hidden="false" customHeight="true" outlineLevel="0" collapsed="false">
      <c r="A1542" s="39" t="s">
        <v>433</v>
      </c>
      <c r="B1542" s="39" t="s">
        <v>244</v>
      </c>
      <c r="C1542" s="39" t="n">
        <v>0.15</v>
      </c>
      <c r="D1542" s="40" t="str">
        <f aca="false">IFERROR(INDEX(المكونات!$B$2:$B$500,MATCH($B1542,المكونات!$A$2:$A$500,0)),"")</f>
        <v>كجم</v>
      </c>
      <c r="E1542" s="41" t="n">
        <f aca="false">IFERROR(INDEX(المكونات!$C$2:$C$500,MATCH($B1542,المكونات!$A$2:$A$500,0)),"")</f>
        <v>24</v>
      </c>
      <c r="F1542" s="42" t="n">
        <f aca="false">IFERROR($C1542*$E1542,"")</f>
        <v>3.6</v>
      </c>
    </row>
    <row r="1543" customFormat="false" ht="15" hidden="false" customHeight="true" outlineLevel="0" collapsed="false">
      <c r="A1543" s="39" t="s">
        <v>433</v>
      </c>
      <c r="B1543" s="39" t="s">
        <v>122</v>
      </c>
      <c r="C1543" s="39" t="n">
        <v>0.2</v>
      </c>
      <c r="D1543" s="40" t="str">
        <f aca="false">IFERROR(INDEX(المكونات!$B$2:$B$500,MATCH($B1543,المكونات!$A$2:$A$500,0)),"")</f>
        <v>كجم</v>
      </c>
      <c r="E1543" s="41" t="n">
        <f aca="false">IFERROR(INDEX(المكونات!$C$2:$C$500,MATCH($B1543,المكونات!$A$2:$A$500,0)),"")</f>
        <v>25</v>
      </c>
      <c r="F1543" s="42" t="n">
        <f aca="false">IFERROR($C1543*$E1543,"")</f>
        <v>5</v>
      </c>
    </row>
    <row r="1544" customFormat="false" ht="15" hidden="false" customHeight="true" outlineLevel="0" collapsed="false">
      <c r="A1544" s="39" t="s">
        <v>433</v>
      </c>
      <c r="B1544" s="39" t="s">
        <v>110</v>
      </c>
      <c r="C1544" s="39" t="n">
        <v>1</v>
      </c>
      <c r="D1544" s="40" t="str">
        <f aca="false">IFERROR(INDEX(المكونات!$B$2:$B$500,MATCH($B1544,المكونات!$A$2:$A$500,0)),"")</f>
        <v>قطعة</v>
      </c>
      <c r="E1544" s="41" t="n">
        <f aca="false">IFERROR(INDEX(المكونات!$C$2:$C$500,MATCH($B1544,المكونات!$A$2:$A$500,0)),"")</f>
        <v>17.5</v>
      </c>
      <c r="F1544" s="42" t="n">
        <f aca="false">IFERROR($C1544*$E1544,"")</f>
        <v>17.5</v>
      </c>
    </row>
    <row r="1545" customFormat="false" ht="15" hidden="false" customHeight="true" outlineLevel="0" collapsed="false">
      <c r="A1545" s="39" t="s">
        <v>433</v>
      </c>
      <c r="B1545" s="39" t="s">
        <v>84</v>
      </c>
      <c r="C1545" s="39" t="n">
        <v>1</v>
      </c>
      <c r="D1545" s="40" t="str">
        <f aca="false">IFERROR(INDEX(المكونات!$B$2:$B$500,MATCH($B1545,المكونات!$A$2:$A$500,0)),"")</f>
        <v>قطعة</v>
      </c>
      <c r="E1545" s="41" t="n">
        <f aca="false">IFERROR(INDEX(المكونات!$C$2:$C$500,MATCH($B1545,المكونات!$A$2:$A$500,0)),"")</f>
        <v>95</v>
      </c>
      <c r="F1545" s="42" t="n">
        <f aca="false">IFERROR($C1545*$E1545,"")</f>
        <v>95</v>
      </c>
    </row>
    <row r="1546" customFormat="false" ht="15" hidden="false" customHeight="true" outlineLevel="0" collapsed="false">
      <c r="A1546" s="39" t="s">
        <v>433</v>
      </c>
      <c r="B1546" s="39" t="s">
        <v>263</v>
      </c>
      <c r="C1546" s="39" t="n">
        <v>1</v>
      </c>
      <c r="D1546" s="40" t="str">
        <f aca="false">IFERROR(INDEX(المكونات!$B$2:$B$500,MATCH($B1546,المكونات!$A$2:$A$500,0)),"")</f>
        <v>قطعة</v>
      </c>
      <c r="E1546" s="41" t="n">
        <f aca="false">IFERROR(INDEX(المكونات!$C$2:$C$500,MATCH($B1546,المكونات!$A$2:$A$500,0)),"")</f>
        <v>4.47</v>
      </c>
      <c r="F1546" s="42" t="n">
        <f aca="false">IFERROR($C1546*$E1546,"")</f>
        <v>4.47</v>
      </c>
    </row>
    <row r="1547" customFormat="false" ht="15" hidden="false" customHeight="true" outlineLevel="0" collapsed="false">
      <c r="A1547" s="39" t="s">
        <v>433</v>
      </c>
      <c r="B1547" s="39" t="s">
        <v>56</v>
      </c>
      <c r="C1547" s="39" t="n">
        <v>1</v>
      </c>
      <c r="D1547" s="40" t="str">
        <f aca="false">IFERROR(INDEX(المكونات!$B$2:$B$500,MATCH($B1547,المكونات!$A$2:$A$500,0)),"")</f>
        <v>قطعة</v>
      </c>
      <c r="E1547" s="41" t="n">
        <f aca="false">IFERROR(INDEX(المكونات!$C$2:$C$500,MATCH($B1547,المكونات!$A$2:$A$500,0)),"")</f>
        <v>3.3</v>
      </c>
      <c r="F1547" s="42" t="n">
        <f aca="false">IFERROR($C1547*$E1547,"")</f>
        <v>3.3</v>
      </c>
    </row>
    <row r="1548" customFormat="false" ht="15" hidden="false" customHeight="true" outlineLevel="0" collapsed="false">
      <c r="A1548" s="39" t="s">
        <v>433</v>
      </c>
      <c r="B1548" s="39" t="s">
        <v>178</v>
      </c>
      <c r="C1548" s="39" t="n">
        <v>1</v>
      </c>
      <c r="D1548" s="40" t="str">
        <f aca="false">IFERROR(INDEX(المكونات!$B$2:$B$500,MATCH($B1548,المكونات!$A$2:$A$500,0)),"")</f>
        <v>قطعة</v>
      </c>
      <c r="E1548" s="41" t="n">
        <f aca="false">IFERROR(INDEX(المكونات!$C$2:$C$500,MATCH($B1548,المكونات!$A$2:$A$500,0)),"")</f>
        <v>0.3</v>
      </c>
      <c r="F1548" s="42" t="n">
        <f aca="false">IFERROR($C1548*$E1548,"")</f>
        <v>0.3</v>
      </c>
    </row>
    <row r="1549" customFormat="false" ht="15" hidden="false" customHeight="true" outlineLevel="0" collapsed="false">
      <c r="A1549" s="39" t="s">
        <v>433</v>
      </c>
      <c r="B1549" s="39" t="s">
        <v>225</v>
      </c>
      <c r="C1549" s="39" t="n">
        <v>2</v>
      </c>
      <c r="D1549" s="40" t="str">
        <f aca="false">IFERROR(INDEX(المكونات!$B$2:$B$500,MATCH($B1549,المكونات!$A$2:$A$500,0)),"")</f>
        <v>قطعة</v>
      </c>
      <c r="E1549" s="41" t="n">
        <f aca="false">IFERROR(INDEX(المكونات!$C$2:$C$500,MATCH($B1549,المكونات!$A$2:$A$500,0)),"")</f>
        <v>0.3</v>
      </c>
      <c r="F1549" s="42" t="n">
        <f aca="false">IFERROR($C1549*$E1549,"")</f>
        <v>0.6</v>
      </c>
    </row>
    <row r="1550" customFormat="false" ht="15" hidden="false" customHeight="true" outlineLevel="0" collapsed="false">
      <c r="A1550" s="39" t="s">
        <v>433</v>
      </c>
      <c r="B1550" s="39" t="s">
        <v>145</v>
      </c>
      <c r="C1550" s="39" t="n">
        <v>2</v>
      </c>
      <c r="D1550" s="40" t="str">
        <f aca="false">IFERROR(INDEX(المكونات!$B$2:$B$500,MATCH($B1550,المكونات!$A$2:$A$500,0)),"")</f>
        <v>قطعة (جلفز)</v>
      </c>
      <c r="E1550" s="41" t="n">
        <f aca="false">IFERROR(INDEX(المكونات!$C$2:$C$500,MATCH($B1550,المكونات!$A$2:$A$500,0)),"")</f>
        <v>0.18</v>
      </c>
      <c r="F1550" s="42" t="n">
        <f aca="false">IFERROR($C1550*$E1550,"")</f>
        <v>0.36</v>
      </c>
    </row>
    <row r="1551" customFormat="false" ht="15" hidden="false" customHeight="true" outlineLevel="0" collapsed="false">
      <c r="A1551" s="39" t="s">
        <v>433</v>
      </c>
      <c r="B1551" s="39" t="s">
        <v>70</v>
      </c>
      <c r="C1551" s="39" t="n">
        <v>1</v>
      </c>
      <c r="D1551" s="40" t="str">
        <f aca="false">IFERROR(INDEX(المكونات!$B$2:$B$500,MATCH($B1551,المكونات!$A$2:$A$500,0)),"")</f>
        <v>قطعة (كيس)</v>
      </c>
      <c r="E1551" s="41" t="n">
        <f aca="false">IFERROR(INDEX(المكونات!$C$2:$C$500,MATCH($B1551,المكونات!$A$2:$A$500,0)),"")</f>
        <v>1.4</v>
      </c>
      <c r="F1551" s="42" t="n">
        <f aca="false">IFERROR($C1551*$E1551,"")</f>
        <v>1.4</v>
      </c>
    </row>
    <row r="1552" customFormat="false" ht="15" hidden="false" customHeight="true" outlineLevel="0" collapsed="false">
      <c r="A1552" s="39" t="s">
        <v>429</v>
      </c>
      <c r="B1552" s="39" t="s">
        <v>269</v>
      </c>
      <c r="C1552" s="39" t="n">
        <v>1</v>
      </c>
      <c r="D1552" s="40" t="str">
        <f aca="false">IFERROR(INDEX(المكونات!$B$2:$B$500,MATCH($B1552,المكونات!$A$2:$A$500,0)),"")</f>
        <v>قطعة</v>
      </c>
      <c r="E1552" s="41" t="n">
        <f aca="false">IFERROR(INDEX(المكونات!$C$2:$C$500,MATCH($B1552,المكونات!$A$2:$A$500,0)),"")</f>
        <v>2.29275583333333</v>
      </c>
      <c r="F1552" s="42" t="n">
        <f aca="false">IFERROR($C1552*$E1552,"")</f>
        <v>2.29275583333333</v>
      </c>
    </row>
    <row r="1553" customFormat="false" ht="15" hidden="false" customHeight="true" outlineLevel="0" collapsed="false">
      <c r="A1553" s="39" t="s">
        <v>429</v>
      </c>
      <c r="B1553" s="39" t="s">
        <v>110</v>
      </c>
      <c r="C1553" s="39" t="n">
        <v>1</v>
      </c>
      <c r="D1553" s="40" t="str">
        <f aca="false">IFERROR(INDEX(المكونات!$B$2:$B$500,MATCH($B1553,المكونات!$A$2:$A$500,0)),"")</f>
        <v>قطعة</v>
      </c>
      <c r="E1553" s="41" t="n">
        <f aca="false">IFERROR(INDEX(المكونات!$C$2:$C$500,MATCH($B1553,المكونات!$A$2:$A$500,0)),"")</f>
        <v>17.5</v>
      </c>
      <c r="F1553" s="42" t="n">
        <f aca="false">IFERROR($C1553*$E1553,"")</f>
        <v>17.5</v>
      </c>
    </row>
    <row r="1554" customFormat="false" ht="15" hidden="false" customHeight="true" outlineLevel="0" collapsed="false">
      <c r="A1554" s="39" t="s">
        <v>429</v>
      </c>
      <c r="B1554" s="39" t="s">
        <v>196</v>
      </c>
      <c r="C1554" s="39" t="n">
        <v>0.03</v>
      </c>
      <c r="D1554" s="40" t="str">
        <f aca="false">IFERROR(INDEX(المكونات!$B$2:$B$500,MATCH($B1554,المكونات!$A$2:$A$500,0)),"")</f>
        <v>كجم</v>
      </c>
      <c r="E1554" s="41" t="n">
        <f aca="false">IFERROR(INDEX(المكونات!$C$2:$C$500,MATCH($B1554,المكونات!$A$2:$A$500,0)),"")</f>
        <v>21</v>
      </c>
      <c r="F1554" s="42" t="n">
        <f aca="false">IFERROR($C1554*$E1554,"")</f>
        <v>0.63</v>
      </c>
    </row>
    <row r="1555" customFormat="false" ht="15" hidden="false" customHeight="true" outlineLevel="0" collapsed="false">
      <c r="A1555" s="39" t="s">
        <v>429</v>
      </c>
      <c r="B1555" s="39" t="s">
        <v>219</v>
      </c>
      <c r="C1555" s="39" t="n">
        <v>0.02</v>
      </c>
      <c r="D1555" s="40" t="str">
        <f aca="false">IFERROR(INDEX(المكونات!$B$2:$B$500,MATCH($B1555,المكونات!$A$2:$A$500,0)),"")</f>
        <v>كجم</v>
      </c>
      <c r="E1555" s="41" t="n">
        <f aca="false">IFERROR(INDEX(المكونات!$C$2:$C$500,MATCH($B1555,المكونات!$A$2:$A$500,0)),"")</f>
        <v>27</v>
      </c>
      <c r="F1555" s="42" t="n">
        <f aca="false">IFERROR($C1555*$E1555,"")</f>
        <v>0.54</v>
      </c>
    </row>
    <row r="1556" customFormat="false" ht="15" hidden="false" customHeight="true" outlineLevel="0" collapsed="false">
      <c r="A1556" s="39" t="s">
        <v>429</v>
      </c>
      <c r="B1556" s="39" t="s">
        <v>162</v>
      </c>
      <c r="C1556" s="39" t="n">
        <v>0.02</v>
      </c>
      <c r="D1556" s="40" t="str">
        <f aca="false">IFERROR(INDEX(المكونات!$B$2:$B$500,MATCH($B1556,المكونات!$A$2:$A$500,0)),"")</f>
        <v>كجم</v>
      </c>
      <c r="E1556" s="41" t="n">
        <f aca="false">IFERROR(INDEX(المكونات!$C$2:$C$500,MATCH($B1556,المكونات!$A$2:$A$500,0)),"")</f>
        <v>95</v>
      </c>
      <c r="F1556" s="42" t="n">
        <f aca="false">IFERROR($C1556*$E1556,"")</f>
        <v>1.9</v>
      </c>
    </row>
    <row r="1557" customFormat="false" ht="15" hidden="false" customHeight="true" outlineLevel="0" collapsed="false">
      <c r="A1557" s="39" t="s">
        <v>429</v>
      </c>
      <c r="B1557" s="39" t="s">
        <v>232</v>
      </c>
      <c r="C1557" s="39" t="n">
        <v>1</v>
      </c>
      <c r="D1557" s="40" t="str">
        <f aca="false">IFERROR(INDEX(المكونات!$B$2:$B$500,MATCH($B1557,المكونات!$A$2:$A$500,0)),"")</f>
        <v>قطعة</v>
      </c>
      <c r="E1557" s="41" t="n">
        <f aca="false">IFERROR(INDEX(المكونات!$C$2:$C$500,MATCH($B1557,المكونات!$A$2:$A$500,0)),"")</f>
        <v>2</v>
      </c>
      <c r="F1557" s="42" t="n">
        <f aca="false">IFERROR($C1557*$E1557,"")</f>
        <v>2</v>
      </c>
    </row>
    <row r="1558" customFormat="false" ht="15" hidden="false" customHeight="true" outlineLevel="0" collapsed="false">
      <c r="A1558" s="39" t="s">
        <v>429</v>
      </c>
      <c r="B1558" s="39" t="s">
        <v>169</v>
      </c>
      <c r="C1558" s="39" t="n">
        <v>1</v>
      </c>
      <c r="D1558" s="40" t="str">
        <f aca="false">IFERROR(INDEX(المكونات!$B$2:$B$500,MATCH($B1558,المكونات!$A$2:$A$500,0)),"")</f>
        <v>قطعة (استخدام)</v>
      </c>
      <c r="E1558" s="41" t="n">
        <f aca="false">IFERROR(INDEX(المكونات!$C$2:$C$500,MATCH($B1558,المكونات!$A$2:$A$500,0)),"")</f>
        <v>2.5189</v>
      </c>
      <c r="F1558" s="42" t="n">
        <f aca="false">IFERROR($C1558*$E1558,"")</f>
        <v>2.5189</v>
      </c>
    </row>
    <row r="1559" customFormat="false" ht="15" hidden="false" customHeight="true" outlineLevel="0" collapsed="false">
      <c r="A1559" s="39" t="s">
        <v>429</v>
      </c>
      <c r="B1559" s="39" t="s">
        <v>80</v>
      </c>
      <c r="C1559" s="39" t="n">
        <v>1.5</v>
      </c>
      <c r="D1559" s="40" t="str">
        <f aca="false">IFERROR(INDEX(المكونات!$B$2:$B$500,MATCH($B1559,المكونات!$A$2:$A$500,0)),"")</f>
        <v>قطعة</v>
      </c>
      <c r="E1559" s="41" t="n">
        <f aca="false">IFERROR(INDEX(المكونات!$C$2:$C$500,MATCH($B1559,المكونات!$A$2:$A$500,0)),"")</f>
        <v>5.65</v>
      </c>
      <c r="F1559" s="42" t="n">
        <f aca="false">IFERROR($C1559*$E1559,"")</f>
        <v>8.475</v>
      </c>
    </row>
    <row r="1560" customFormat="false" ht="15" hidden="false" customHeight="true" outlineLevel="0" collapsed="false">
      <c r="A1560" s="39" t="s">
        <v>351</v>
      </c>
      <c r="B1560" s="39" t="s">
        <v>269</v>
      </c>
      <c r="C1560" s="39" t="n">
        <v>1</v>
      </c>
      <c r="D1560" s="40" t="str">
        <f aca="false">IFERROR(INDEX(المكونات!$B$2:$B$500,MATCH($B1560,المكونات!$A$2:$A$500,0)),"")</f>
        <v>قطعة</v>
      </c>
      <c r="E1560" s="41" t="n">
        <f aca="false">IFERROR(INDEX(المكونات!$C$2:$C$500,MATCH($B1560,المكونات!$A$2:$A$500,0)),"")</f>
        <v>2.29275583333333</v>
      </c>
      <c r="F1560" s="42" t="n">
        <f aca="false">IFERROR($C1560*$E1560,"")</f>
        <v>2.29275583333333</v>
      </c>
    </row>
    <row r="1561" customFormat="false" ht="15" hidden="false" customHeight="true" outlineLevel="0" collapsed="false">
      <c r="A1561" s="39" t="s">
        <v>351</v>
      </c>
      <c r="B1561" s="39" t="s">
        <v>110</v>
      </c>
      <c r="C1561" s="39" t="n">
        <v>1</v>
      </c>
      <c r="D1561" s="40" t="str">
        <f aca="false">IFERROR(INDEX(المكونات!$B$2:$B$500,MATCH($B1561,المكونات!$A$2:$A$500,0)),"")</f>
        <v>قطعة</v>
      </c>
      <c r="E1561" s="41" t="n">
        <f aca="false">IFERROR(INDEX(المكونات!$C$2:$C$500,MATCH($B1561,المكونات!$A$2:$A$500,0)),"")</f>
        <v>17.5</v>
      </c>
      <c r="F1561" s="42" t="n">
        <f aca="false">IFERROR($C1561*$E1561,"")</f>
        <v>17.5</v>
      </c>
    </row>
    <row r="1562" customFormat="false" ht="15" hidden="false" customHeight="true" outlineLevel="0" collapsed="false">
      <c r="A1562" s="39" t="s">
        <v>351</v>
      </c>
      <c r="B1562" s="39" t="s">
        <v>196</v>
      </c>
      <c r="C1562" s="39" t="n">
        <v>0.03</v>
      </c>
      <c r="D1562" s="40" t="str">
        <f aca="false">IFERROR(INDEX(المكونات!$B$2:$B$500,MATCH($B1562,المكونات!$A$2:$A$500,0)),"")</f>
        <v>كجم</v>
      </c>
      <c r="E1562" s="41" t="n">
        <f aca="false">IFERROR(INDEX(المكونات!$C$2:$C$500,MATCH($B1562,المكونات!$A$2:$A$500,0)),"")</f>
        <v>21</v>
      </c>
      <c r="F1562" s="42" t="n">
        <f aca="false">IFERROR($C1562*$E1562,"")</f>
        <v>0.63</v>
      </c>
    </row>
    <row r="1563" customFormat="false" ht="15" hidden="false" customHeight="true" outlineLevel="0" collapsed="false">
      <c r="A1563" s="39" t="s">
        <v>351</v>
      </c>
      <c r="B1563" s="39" t="s">
        <v>219</v>
      </c>
      <c r="C1563" s="39" t="n">
        <v>0.02</v>
      </c>
      <c r="D1563" s="40" t="str">
        <f aca="false">IFERROR(INDEX(المكونات!$B$2:$B$500,MATCH($B1563,المكونات!$A$2:$A$500,0)),"")</f>
        <v>كجم</v>
      </c>
      <c r="E1563" s="41" t="n">
        <f aca="false">IFERROR(INDEX(المكونات!$C$2:$C$500,MATCH($B1563,المكونات!$A$2:$A$500,0)),"")</f>
        <v>27</v>
      </c>
      <c r="F1563" s="42" t="n">
        <f aca="false">IFERROR($C1563*$E1563,"")</f>
        <v>0.54</v>
      </c>
    </row>
    <row r="1564" customFormat="false" ht="15" hidden="false" customHeight="true" outlineLevel="0" collapsed="false">
      <c r="A1564" s="39" t="s">
        <v>351</v>
      </c>
      <c r="B1564" s="39" t="s">
        <v>162</v>
      </c>
      <c r="C1564" s="39" t="n">
        <v>0.02</v>
      </c>
      <c r="D1564" s="40" t="str">
        <f aca="false">IFERROR(INDEX(المكونات!$B$2:$B$500,MATCH($B1564,المكونات!$A$2:$A$500,0)),"")</f>
        <v>كجم</v>
      </c>
      <c r="E1564" s="41" t="n">
        <f aca="false">IFERROR(INDEX(المكونات!$C$2:$C$500,MATCH($B1564,المكونات!$A$2:$A$500,0)),"")</f>
        <v>95</v>
      </c>
      <c r="F1564" s="42" t="n">
        <f aca="false">IFERROR($C1564*$E1564,"")</f>
        <v>1.9</v>
      </c>
    </row>
    <row r="1565" customFormat="false" ht="15" hidden="false" customHeight="true" outlineLevel="0" collapsed="false">
      <c r="A1565" s="39" t="s">
        <v>351</v>
      </c>
      <c r="B1565" s="39" t="s">
        <v>232</v>
      </c>
      <c r="C1565" s="39" t="n">
        <v>1</v>
      </c>
      <c r="D1565" s="40" t="str">
        <f aca="false">IFERROR(INDEX(المكونات!$B$2:$B$500,MATCH($B1565,المكونات!$A$2:$A$500,0)),"")</f>
        <v>قطعة</v>
      </c>
      <c r="E1565" s="41" t="n">
        <f aca="false">IFERROR(INDEX(المكونات!$C$2:$C$500,MATCH($B1565,المكونات!$A$2:$A$500,0)),"")</f>
        <v>2</v>
      </c>
      <c r="F1565" s="42" t="n">
        <f aca="false">IFERROR($C1565*$E1565,"")</f>
        <v>2</v>
      </c>
    </row>
    <row r="1566" customFormat="false" ht="15" hidden="false" customHeight="true" outlineLevel="0" collapsed="false">
      <c r="A1566" s="39" t="s">
        <v>351</v>
      </c>
      <c r="B1566" s="39" t="s">
        <v>169</v>
      </c>
      <c r="C1566" s="39" t="n">
        <v>1</v>
      </c>
      <c r="D1566" s="40" t="str">
        <f aca="false">IFERROR(INDEX(المكونات!$B$2:$B$500,MATCH($B1566,المكونات!$A$2:$A$500,0)),"")</f>
        <v>قطعة (استخدام)</v>
      </c>
      <c r="E1566" s="41" t="n">
        <f aca="false">IFERROR(INDEX(المكونات!$C$2:$C$500,MATCH($B1566,المكونات!$A$2:$A$500,0)),"")</f>
        <v>2.5189</v>
      </c>
      <c r="F1566" s="42" t="n">
        <f aca="false">IFERROR($C1566*$E1566,"")</f>
        <v>2.5189</v>
      </c>
    </row>
    <row r="1567" customFormat="false" ht="15" hidden="false" customHeight="true" outlineLevel="0" collapsed="false">
      <c r="A1567" s="39" t="s">
        <v>351</v>
      </c>
      <c r="B1567" s="39" t="s">
        <v>217</v>
      </c>
      <c r="C1567" s="39" t="n">
        <v>0.14</v>
      </c>
      <c r="D1567" s="40" t="str">
        <f aca="false">IFERROR(INDEX(المكونات!$B$2:$B$500,MATCH($B1567,المكونات!$A$2:$A$500,0)),"")</f>
        <v>كجم</v>
      </c>
      <c r="E1567" s="41" t="n">
        <f aca="false">IFERROR(INDEX(المكونات!$C$2:$C$500,MATCH($B1567,المكونات!$A$2:$A$500,0)),"")</f>
        <v>150</v>
      </c>
      <c r="F1567" s="42" t="n">
        <f aca="false">IFERROR($C1567*$E1567,"")</f>
        <v>21</v>
      </c>
    </row>
    <row r="1568" customFormat="false" ht="15" hidden="false" customHeight="true" outlineLevel="0" collapsed="false">
      <c r="A1568" s="39" t="s">
        <v>351</v>
      </c>
      <c r="B1568" s="39" t="s">
        <v>188</v>
      </c>
      <c r="C1568" s="39" t="n">
        <v>0.1</v>
      </c>
      <c r="D1568" s="40" t="str">
        <f aca="false">IFERROR(INDEX(المكونات!$B$2:$B$500,MATCH($B1568,المكونات!$A$2:$A$500,0)),"")</f>
        <v>كجم</v>
      </c>
      <c r="E1568" s="41" t="n">
        <f aca="false">IFERROR(INDEX(المكونات!$C$2:$C$500,MATCH($B1568,المكونات!$A$2:$A$500,0)),"")</f>
        <v>70</v>
      </c>
      <c r="F1568" s="42" t="n">
        <f aca="false">IFERROR($C1568*$E1568,"")</f>
        <v>7</v>
      </c>
    </row>
    <row r="1569" customFormat="false" ht="15" hidden="false" customHeight="true" outlineLevel="0" collapsed="false">
      <c r="A1569" s="39" t="s">
        <v>416</v>
      </c>
      <c r="B1569" s="39" t="s">
        <v>269</v>
      </c>
      <c r="C1569" s="39" t="n">
        <v>1</v>
      </c>
      <c r="D1569" s="40" t="str">
        <f aca="false">IFERROR(INDEX(المكونات!$B$2:$B$500,MATCH($B1569,المكونات!$A$2:$A$500,0)),"")</f>
        <v>قطعة</v>
      </c>
      <c r="E1569" s="41" t="n">
        <f aca="false">IFERROR(INDEX(المكونات!$C$2:$C$500,MATCH($B1569,المكونات!$A$2:$A$500,0)),"")</f>
        <v>2.29275583333333</v>
      </c>
      <c r="F1569" s="42" t="n">
        <f aca="false">IFERROR($C1569*$E1569,"")</f>
        <v>2.29275583333333</v>
      </c>
    </row>
    <row r="1570" customFormat="false" ht="15" hidden="false" customHeight="true" outlineLevel="0" collapsed="false">
      <c r="A1570" s="39" t="s">
        <v>416</v>
      </c>
      <c r="B1570" s="39" t="s">
        <v>110</v>
      </c>
      <c r="C1570" s="39" t="n">
        <v>1</v>
      </c>
      <c r="D1570" s="40" t="str">
        <f aca="false">IFERROR(INDEX(المكونات!$B$2:$B$500,MATCH($B1570,المكونات!$A$2:$A$500,0)),"")</f>
        <v>قطعة</v>
      </c>
      <c r="E1570" s="41" t="n">
        <f aca="false">IFERROR(INDEX(المكونات!$C$2:$C$500,MATCH($B1570,المكونات!$A$2:$A$500,0)),"")</f>
        <v>17.5</v>
      </c>
      <c r="F1570" s="42" t="n">
        <f aca="false">IFERROR($C1570*$E1570,"")</f>
        <v>17.5</v>
      </c>
    </row>
    <row r="1571" customFormat="false" ht="15" hidden="false" customHeight="true" outlineLevel="0" collapsed="false">
      <c r="A1571" s="39" t="s">
        <v>416</v>
      </c>
      <c r="B1571" s="39" t="s">
        <v>196</v>
      </c>
      <c r="C1571" s="39" t="n">
        <v>0.03</v>
      </c>
      <c r="D1571" s="40" t="str">
        <f aca="false">IFERROR(INDEX(المكونات!$B$2:$B$500,MATCH($B1571,المكونات!$A$2:$A$500,0)),"")</f>
        <v>كجم</v>
      </c>
      <c r="E1571" s="41" t="n">
        <f aca="false">IFERROR(INDEX(المكونات!$C$2:$C$500,MATCH($B1571,المكونات!$A$2:$A$500,0)),"")</f>
        <v>21</v>
      </c>
      <c r="F1571" s="42" t="n">
        <f aca="false">IFERROR($C1571*$E1571,"")</f>
        <v>0.63</v>
      </c>
    </row>
    <row r="1572" customFormat="false" ht="15" hidden="false" customHeight="true" outlineLevel="0" collapsed="false">
      <c r="A1572" s="39" t="s">
        <v>416</v>
      </c>
      <c r="B1572" s="39" t="s">
        <v>219</v>
      </c>
      <c r="C1572" s="39" t="n">
        <v>0.02</v>
      </c>
      <c r="D1572" s="40" t="str">
        <f aca="false">IFERROR(INDEX(المكونات!$B$2:$B$500,MATCH($B1572,المكونات!$A$2:$A$500,0)),"")</f>
        <v>كجم</v>
      </c>
      <c r="E1572" s="41" t="n">
        <f aca="false">IFERROR(INDEX(المكونات!$C$2:$C$500,MATCH($B1572,المكونات!$A$2:$A$500,0)),"")</f>
        <v>27</v>
      </c>
      <c r="F1572" s="42" t="n">
        <f aca="false">IFERROR($C1572*$E1572,"")</f>
        <v>0.54</v>
      </c>
    </row>
    <row r="1573" customFormat="false" ht="15" hidden="false" customHeight="true" outlineLevel="0" collapsed="false">
      <c r="A1573" s="39" t="s">
        <v>416</v>
      </c>
      <c r="B1573" s="39" t="s">
        <v>162</v>
      </c>
      <c r="C1573" s="39" t="n">
        <v>0.02</v>
      </c>
      <c r="D1573" s="40" t="str">
        <f aca="false">IFERROR(INDEX(المكونات!$B$2:$B$500,MATCH($B1573,المكونات!$A$2:$A$500,0)),"")</f>
        <v>كجم</v>
      </c>
      <c r="E1573" s="41" t="n">
        <f aca="false">IFERROR(INDEX(المكونات!$C$2:$C$500,MATCH($B1573,المكونات!$A$2:$A$500,0)),"")</f>
        <v>95</v>
      </c>
      <c r="F1573" s="42" t="n">
        <f aca="false">IFERROR($C1573*$E1573,"")</f>
        <v>1.9</v>
      </c>
    </row>
    <row r="1574" customFormat="false" ht="15" hidden="false" customHeight="true" outlineLevel="0" collapsed="false">
      <c r="A1574" s="39" t="s">
        <v>416</v>
      </c>
      <c r="B1574" s="39" t="s">
        <v>232</v>
      </c>
      <c r="C1574" s="39" t="n">
        <v>1</v>
      </c>
      <c r="D1574" s="40" t="str">
        <f aca="false">IFERROR(INDEX(المكونات!$B$2:$B$500,MATCH($B1574,المكونات!$A$2:$A$500,0)),"")</f>
        <v>قطعة</v>
      </c>
      <c r="E1574" s="41" t="n">
        <f aca="false">IFERROR(INDEX(المكونات!$C$2:$C$500,MATCH($B1574,المكونات!$A$2:$A$500,0)),"")</f>
        <v>2</v>
      </c>
      <c r="F1574" s="42" t="n">
        <f aca="false">IFERROR($C1574*$E1574,"")</f>
        <v>2</v>
      </c>
    </row>
    <row r="1575" customFormat="false" ht="15" hidden="false" customHeight="true" outlineLevel="0" collapsed="false">
      <c r="A1575" s="39" t="s">
        <v>416</v>
      </c>
      <c r="B1575" s="39" t="s">
        <v>169</v>
      </c>
      <c r="C1575" s="39" t="n">
        <v>1</v>
      </c>
      <c r="D1575" s="40" t="str">
        <f aca="false">IFERROR(INDEX(المكونات!$B$2:$B$500,MATCH($B1575,المكونات!$A$2:$A$500,0)),"")</f>
        <v>قطعة (استخدام)</v>
      </c>
      <c r="E1575" s="41" t="n">
        <f aca="false">IFERROR(INDEX(المكونات!$C$2:$C$500,MATCH($B1575,المكونات!$A$2:$A$500,0)),"")</f>
        <v>2.5189</v>
      </c>
      <c r="F1575" s="42" t="n">
        <f aca="false">IFERROR($C1575*$E1575,"")</f>
        <v>2.5189</v>
      </c>
    </row>
    <row r="1576" customFormat="false" ht="15" hidden="false" customHeight="true" outlineLevel="0" collapsed="false">
      <c r="A1576" s="39" t="s">
        <v>416</v>
      </c>
      <c r="B1576" s="39" t="s">
        <v>271</v>
      </c>
      <c r="C1576" s="39" t="n">
        <v>0.07</v>
      </c>
      <c r="D1576" s="40" t="str">
        <f aca="false">IFERROR(INDEX(المكونات!$B$2:$B$500,MATCH($B1576,المكونات!$A$2:$A$500,0)),"")</f>
        <v>كجم</v>
      </c>
      <c r="E1576" s="41" t="n">
        <f aca="false">IFERROR(INDEX(المكونات!$C$2:$C$500,MATCH($B1576,المكونات!$A$2:$A$500,0)),"")</f>
        <v>220.02</v>
      </c>
      <c r="F1576" s="42" t="n">
        <f aca="false">IFERROR($C1576*$E1576,"")</f>
        <v>15.4014</v>
      </c>
    </row>
    <row r="1577" customFormat="false" ht="15" hidden="false" customHeight="true" outlineLevel="0" collapsed="false">
      <c r="A1577" s="39" t="s">
        <v>416</v>
      </c>
      <c r="B1577" s="39" t="s">
        <v>273</v>
      </c>
      <c r="C1577" s="39" t="n">
        <v>0.07</v>
      </c>
      <c r="D1577" s="40" t="str">
        <f aca="false">IFERROR(INDEX(المكونات!$B$2:$B$500,MATCH($B1577,المكونات!$A$2:$A$500,0)),"")</f>
        <v>كجم</v>
      </c>
      <c r="E1577" s="41" t="n">
        <f aca="false">IFERROR(INDEX(المكونات!$C$2:$C$500,MATCH($B1577,المكونات!$A$2:$A$500,0)),"")</f>
        <v>219.23</v>
      </c>
      <c r="F1577" s="42" t="n">
        <f aca="false">IFERROR($C1577*$E1577,"")</f>
        <v>15.3461</v>
      </c>
    </row>
    <row r="1578" customFormat="false" ht="15" hidden="false" customHeight="true" outlineLevel="0" collapsed="false">
      <c r="A1578" s="39" t="s">
        <v>413</v>
      </c>
      <c r="B1578" s="39" t="s">
        <v>269</v>
      </c>
      <c r="C1578" s="39" t="n">
        <v>1</v>
      </c>
      <c r="D1578" s="40" t="str">
        <f aca="false">IFERROR(INDEX(المكونات!$B$2:$B$500,MATCH($B1578,المكونات!$A$2:$A$500,0)),"")</f>
        <v>قطعة</v>
      </c>
      <c r="E1578" s="41" t="n">
        <f aca="false">IFERROR(INDEX(المكونات!$C$2:$C$500,MATCH($B1578,المكونات!$A$2:$A$500,0)),"")</f>
        <v>2.29275583333333</v>
      </c>
      <c r="F1578" s="42" t="n">
        <f aca="false">IFERROR($C1578*$E1578,"")</f>
        <v>2.29275583333333</v>
      </c>
    </row>
    <row r="1579" customFormat="false" ht="15" hidden="false" customHeight="true" outlineLevel="0" collapsed="false">
      <c r="A1579" s="39" t="s">
        <v>413</v>
      </c>
      <c r="B1579" s="39" t="s">
        <v>110</v>
      </c>
      <c r="C1579" s="39" t="n">
        <v>1</v>
      </c>
      <c r="D1579" s="40" t="str">
        <f aca="false">IFERROR(INDEX(المكونات!$B$2:$B$500,MATCH($B1579,المكونات!$A$2:$A$500,0)),"")</f>
        <v>قطعة</v>
      </c>
      <c r="E1579" s="41" t="n">
        <f aca="false">IFERROR(INDEX(المكونات!$C$2:$C$500,MATCH($B1579,المكونات!$A$2:$A$500,0)),"")</f>
        <v>17.5</v>
      </c>
      <c r="F1579" s="42" t="n">
        <f aca="false">IFERROR($C1579*$E1579,"")</f>
        <v>17.5</v>
      </c>
    </row>
    <row r="1580" customFormat="false" ht="15" hidden="false" customHeight="true" outlineLevel="0" collapsed="false">
      <c r="A1580" s="39" t="s">
        <v>413</v>
      </c>
      <c r="B1580" s="39" t="s">
        <v>196</v>
      </c>
      <c r="C1580" s="39" t="n">
        <v>0.03</v>
      </c>
      <c r="D1580" s="40" t="str">
        <f aca="false">IFERROR(INDEX(المكونات!$B$2:$B$500,MATCH($B1580,المكونات!$A$2:$A$500,0)),"")</f>
        <v>كجم</v>
      </c>
      <c r="E1580" s="41" t="n">
        <f aca="false">IFERROR(INDEX(المكونات!$C$2:$C$500,MATCH($B1580,المكونات!$A$2:$A$500,0)),"")</f>
        <v>21</v>
      </c>
      <c r="F1580" s="42" t="n">
        <f aca="false">IFERROR($C1580*$E1580,"")</f>
        <v>0.63</v>
      </c>
    </row>
    <row r="1581" customFormat="false" ht="15" hidden="false" customHeight="true" outlineLevel="0" collapsed="false">
      <c r="A1581" s="39" t="s">
        <v>413</v>
      </c>
      <c r="B1581" s="39" t="s">
        <v>219</v>
      </c>
      <c r="C1581" s="39" t="n">
        <v>0.02</v>
      </c>
      <c r="D1581" s="40" t="str">
        <f aca="false">IFERROR(INDEX(المكونات!$B$2:$B$500,MATCH($B1581,المكونات!$A$2:$A$500,0)),"")</f>
        <v>كجم</v>
      </c>
      <c r="E1581" s="41" t="n">
        <f aca="false">IFERROR(INDEX(المكونات!$C$2:$C$500,MATCH($B1581,المكونات!$A$2:$A$500,0)),"")</f>
        <v>27</v>
      </c>
      <c r="F1581" s="42" t="n">
        <f aca="false">IFERROR($C1581*$E1581,"")</f>
        <v>0.54</v>
      </c>
    </row>
    <row r="1582" customFormat="false" ht="15" hidden="false" customHeight="true" outlineLevel="0" collapsed="false">
      <c r="A1582" s="39" t="s">
        <v>413</v>
      </c>
      <c r="B1582" s="39" t="s">
        <v>162</v>
      </c>
      <c r="C1582" s="39" t="n">
        <v>0.02</v>
      </c>
      <c r="D1582" s="40" t="str">
        <f aca="false">IFERROR(INDEX(المكونات!$B$2:$B$500,MATCH($B1582,المكونات!$A$2:$A$500,0)),"")</f>
        <v>كجم</v>
      </c>
      <c r="E1582" s="41" t="n">
        <f aca="false">IFERROR(INDEX(المكونات!$C$2:$C$500,MATCH($B1582,المكونات!$A$2:$A$500,0)),"")</f>
        <v>95</v>
      </c>
      <c r="F1582" s="42" t="n">
        <f aca="false">IFERROR($C1582*$E1582,"")</f>
        <v>1.9</v>
      </c>
    </row>
    <row r="1583" customFormat="false" ht="15" hidden="false" customHeight="true" outlineLevel="0" collapsed="false">
      <c r="A1583" s="39" t="s">
        <v>413</v>
      </c>
      <c r="B1583" s="39" t="s">
        <v>232</v>
      </c>
      <c r="C1583" s="39" t="n">
        <v>1</v>
      </c>
      <c r="D1583" s="40" t="str">
        <f aca="false">IFERROR(INDEX(المكونات!$B$2:$B$500,MATCH($B1583,المكونات!$A$2:$A$500,0)),"")</f>
        <v>قطعة</v>
      </c>
      <c r="E1583" s="41" t="n">
        <f aca="false">IFERROR(INDEX(المكونات!$C$2:$C$500,MATCH($B1583,المكونات!$A$2:$A$500,0)),"")</f>
        <v>2</v>
      </c>
      <c r="F1583" s="42" t="n">
        <f aca="false">IFERROR($C1583*$E1583,"")</f>
        <v>2</v>
      </c>
    </row>
    <row r="1584" customFormat="false" ht="15" hidden="false" customHeight="true" outlineLevel="0" collapsed="false">
      <c r="A1584" s="39" t="s">
        <v>413</v>
      </c>
      <c r="B1584" s="39" t="s">
        <v>169</v>
      </c>
      <c r="C1584" s="39" t="n">
        <v>1</v>
      </c>
      <c r="D1584" s="40" t="str">
        <f aca="false">IFERROR(INDEX(المكونات!$B$2:$B$500,MATCH($B1584,المكونات!$A$2:$A$500,0)),"")</f>
        <v>قطعة (استخدام)</v>
      </c>
      <c r="E1584" s="41" t="n">
        <f aca="false">IFERROR(INDEX(المكونات!$C$2:$C$500,MATCH($B1584,المكونات!$A$2:$A$500,0)),"")</f>
        <v>2.5189</v>
      </c>
      <c r="F1584" s="42" t="n">
        <f aca="false">IFERROR($C1584*$E1584,"")</f>
        <v>2.5189</v>
      </c>
    </row>
    <row r="1585" customFormat="false" ht="15" hidden="false" customHeight="true" outlineLevel="0" collapsed="false">
      <c r="A1585" s="39" t="s">
        <v>413</v>
      </c>
      <c r="B1585" s="39" t="s">
        <v>84</v>
      </c>
      <c r="C1585" s="39" t="n">
        <v>0.5</v>
      </c>
      <c r="D1585" s="40" t="str">
        <f aca="false">IFERROR(INDEX(المكونات!$B$2:$B$500,MATCH($B1585,المكونات!$A$2:$A$500,0)),"")</f>
        <v>قطعة</v>
      </c>
      <c r="E1585" s="41" t="n">
        <f aca="false">IFERROR(INDEX(المكونات!$C$2:$C$500,MATCH($B1585,المكونات!$A$2:$A$500,0)),"")</f>
        <v>95</v>
      </c>
      <c r="F1585" s="42" t="n">
        <f aca="false">IFERROR($C1585*$E1585,"")</f>
        <v>47.5</v>
      </c>
    </row>
    <row r="1586" customFormat="false" ht="15" hidden="false" customHeight="true" outlineLevel="0" collapsed="false">
      <c r="A1586" s="39" t="s">
        <v>397</v>
      </c>
      <c r="B1586" s="39" t="s">
        <v>283</v>
      </c>
      <c r="C1586" s="39" t="n">
        <v>1</v>
      </c>
      <c r="D1586" s="40" t="str">
        <f aca="false">IFERROR(INDEX(المكونات!$B$2:$B$500,MATCH($B1586,المكونات!$A$2:$A$500,0)),"")</f>
        <v>قطعة</v>
      </c>
      <c r="E1586" s="41" t="n">
        <f aca="false">IFERROR(INDEX(المكونات!$C$2:$C$500,MATCH($B1586,المكونات!$A$2:$A$500,0)),"")</f>
        <v>5.5777</v>
      </c>
      <c r="F1586" s="42" t="n">
        <f aca="false">IFERROR($C1586*$E1586,"")</f>
        <v>5.5777</v>
      </c>
    </row>
    <row r="1587" customFormat="false" ht="15" hidden="false" customHeight="true" outlineLevel="0" collapsed="false">
      <c r="A1587" s="39" t="s">
        <v>382</v>
      </c>
      <c r="B1587" s="39" t="s">
        <v>283</v>
      </c>
      <c r="C1587" s="39" t="n">
        <v>1</v>
      </c>
      <c r="D1587" s="40" t="str">
        <f aca="false">IFERROR(INDEX(المكونات!$B$2:$B$500,MATCH($B1587,المكونات!$A$2:$A$500,0)),"")</f>
        <v>قطعة</v>
      </c>
      <c r="E1587" s="41" t="n">
        <f aca="false">IFERROR(INDEX(المكونات!$C$2:$C$500,MATCH($B1587,المكونات!$A$2:$A$500,0)),"")</f>
        <v>5.5777</v>
      </c>
      <c r="F1587" s="42" t="n">
        <f aca="false">IFERROR($C1587*$E1587,"")</f>
        <v>5.5777</v>
      </c>
    </row>
    <row r="1588" customFormat="false" ht="15" hidden="false" customHeight="true" outlineLevel="0" collapsed="false">
      <c r="A1588" s="39" t="s">
        <v>364</v>
      </c>
      <c r="B1588" s="39" t="s">
        <v>283</v>
      </c>
      <c r="C1588" s="39" t="n">
        <v>1</v>
      </c>
      <c r="D1588" s="40" t="str">
        <f aca="false">IFERROR(INDEX(المكونات!$B$2:$B$500,MATCH($B1588,المكونات!$A$2:$A$500,0)),"")</f>
        <v>قطعة</v>
      </c>
      <c r="E1588" s="41" t="n">
        <f aca="false">IFERROR(INDEX(المكونات!$C$2:$C$500,MATCH($B1588,المكونات!$A$2:$A$500,0)),"")</f>
        <v>5.5777</v>
      </c>
      <c r="F1588" s="42" t="n">
        <f aca="false">IFERROR($C1588*$E1588,"")</f>
        <v>5.5777</v>
      </c>
    </row>
    <row r="1589" customFormat="false" ht="15" hidden="false" customHeight="true" outlineLevel="0" collapsed="false">
      <c r="A1589" s="39" t="s">
        <v>434</v>
      </c>
      <c r="B1589" s="39" t="s">
        <v>283</v>
      </c>
      <c r="C1589" s="39" t="n">
        <v>1</v>
      </c>
      <c r="D1589" s="40" t="str">
        <f aca="false">IFERROR(INDEX(المكونات!$B$2:$B$500,MATCH($B1589,المكونات!$A$2:$A$500,0)),"")</f>
        <v>قطعة</v>
      </c>
      <c r="E1589" s="41" t="n">
        <f aca="false">IFERROR(INDEX(المكونات!$C$2:$C$500,MATCH($B1589,المكونات!$A$2:$A$500,0)),"")</f>
        <v>5.5777</v>
      </c>
      <c r="F1589" s="42" t="n">
        <f aca="false">IFERROR($C1589*$E1589,"")</f>
        <v>5.5777</v>
      </c>
    </row>
    <row r="1590" customFormat="false" ht="15" hidden="false" customHeight="true" outlineLevel="0" collapsed="false">
      <c r="A1590" s="39" t="s">
        <v>463</v>
      </c>
      <c r="B1590" s="39" t="s">
        <v>283</v>
      </c>
      <c r="C1590" s="39" t="n">
        <v>1</v>
      </c>
      <c r="D1590" s="40" t="str">
        <f aca="false">IFERROR(INDEX(المكونات!$B$2:$B$500,MATCH($B1590,المكونات!$A$2:$A$500,0)),"")</f>
        <v>قطعة</v>
      </c>
      <c r="E1590" s="41" t="n">
        <f aca="false">IFERROR(INDEX(المكونات!$C$2:$C$500,MATCH($B1590,المكونات!$A$2:$A$500,0)),"")</f>
        <v>5.5777</v>
      </c>
      <c r="F1590" s="42" t="n">
        <f aca="false">IFERROR($C1590*$E1590,"")</f>
        <v>5.5777</v>
      </c>
    </row>
    <row r="1591" customFormat="false" ht="15" hidden="false" customHeight="true" outlineLevel="0" collapsed="false">
      <c r="A1591" s="39" t="s">
        <v>400</v>
      </c>
      <c r="B1591" s="39" t="s">
        <v>283</v>
      </c>
      <c r="C1591" s="39" t="n">
        <v>1</v>
      </c>
      <c r="D1591" s="40" t="str">
        <f aca="false">IFERROR(INDEX(المكونات!$B$2:$B$500,MATCH($B1591,المكونات!$A$2:$A$500,0)),"")</f>
        <v>قطعة</v>
      </c>
      <c r="E1591" s="41" t="n">
        <f aca="false">IFERROR(INDEX(المكونات!$C$2:$C$500,MATCH($B1591,المكونات!$A$2:$A$500,0)),"")</f>
        <v>5.5777</v>
      </c>
      <c r="F1591" s="42" t="n">
        <f aca="false">IFERROR($C1591*$E1591,"")</f>
        <v>5.5777</v>
      </c>
    </row>
    <row r="1592" customFormat="false" ht="15" hidden="false" customHeight="true" outlineLevel="0" collapsed="false">
      <c r="A1592" s="39" t="s">
        <v>386</v>
      </c>
      <c r="B1592" s="39" t="s">
        <v>283</v>
      </c>
      <c r="C1592" s="39" t="n">
        <v>1</v>
      </c>
      <c r="D1592" s="40" t="str">
        <f aca="false">IFERROR(INDEX(المكونات!$B$2:$B$500,MATCH($B1592,المكونات!$A$2:$A$500,0)),"")</f>
        <v>قطعة</v>
      </c>
      <c r="E1592" s="41" t="n">
        <f aca="false">IFERROR(INDEX(المكونات!$C$2:$C$500,MATCH($B1592,المكونات!$A$2:$A$500,0)),"")</f>
        <v>5.5777</v>
      </c>
      <c r="F1592" s="42" t="n">
        <f aca="false">IFERROR($C1592*$E1592,"")</f>
        <v>5.5777</v>
      </c>
    </row>
    <row r="1593" customFormat="false" ht="15" hidden="false" customHeight="true" outlineLevel="0" collapsed="false">
      <c r="A1593" s="39" t="s">
        <v>341</v>
      </c>
      <c r="B1593" s="39" t="s">
        <v>283</v>
      </c>
      <c r="C1593" s="39" t="n">
        <v>1</v>
      </c>
      <c r="D1593" s="40" t="str">
        <f aca="false">IFERROR(INDEX(المكونات!$B$2:$B$500,MATCH($B1593,المكونات!$A$2:$A$500,0)),"")</f>
        <v>قطعة</v>
      </c>
      <c r="E1593" s="41" t="n">
        <f aca="false">IFERROR(INDEX(المكونات!$C$2:$C$500,MATCH($B1593,المكونات!$A$2:$A$500,0)),"")</f>
        <v>5.5777</v>
      </c>
      <c r="F1593" s="42" t="n">
        <f aca="false">IFERROR($C1593*$E1593,"")</f>
        <v>5.5777</v>
      </c>
    </row>
    <row r="1594" customFormat="false" ht="15" hidden="false" customHeight="true" outlineLevel="0" collapsed="false">
      <c r="A1594" s="39" t="s">
        <v>342</v>
      </c>
      <c r="B1594" s="39" t="s">
        <v>283</v>
      </c>
      <c r="C1594" s="39" t="n">
        <v>1</v>
      </c>
      <c r="D1594" s="40" t="str">
        <f aca="false">IFERROR(INDEX(المكونات!$B$2:$B$500,MATCH($B1594,المكونات!$A$2:$A$500,0)),"")</f>
        <v>قطعة</v>
      </c>
      <c r="E1594" s="41" t="n">
        <f aca="false">IFERROR(INDEX(المكونات!$C$2:$C$500,MATCH($B1594,المكونات!$A$2:$A$500,0)),"")</f>
        <v>5.5777</v>
      </c>
      <c r="F1594" s="42" t="n">
        <f aca="false">IFERROR($C1594*$E1594,"")</f>
        <v>5.5777</v>
      </c>
    </row>
    <row r="1595" customFormat="false" ht="15" hidden="false" customHeight="true" outlineLevel="0" collapsed="false">
      <c r="A1595" s="39" t="s">
        <v>349</v>
      </c>
      <c r="B1595" s="39" t="s">
        <v>283</v>
      </c>
      <c r="C1595" s="39" t="n">
        <v>1</v>
      </c>
      <c r="D1595" s="40" t="str">
        <f aca="false">IFERROR(INDEX(المكونات!$B$2:$B$500,MATCH($B1595,المكونات!$A$2:$A$500,0)),"")</f>
        <v>قطعة</v>
      </c>
      <c r="E1595" s="41" t="n">
        <f aca="false">IFERROR(INDEX(المكونات!$C$2:$C$500,MATCH($B1595,المكونات!$A$2:$A$500,0)),"")</f>
        <v>5.5777</v>
      </c>
      <c r="F1595" s="42" t="n">
        <f aca="false">IFERROR($C1595*$E1595,"")</f>
        <v>5.5777</v>
      </c>
    </row>
    <row r="1596" customFormat="false" ht="15" hidden="false" customHeight="true" outlineLevel="0" collapsed="false">
      <c r="A1596" s="39" t="s">
        <v>350</v>
      </c>
      <c r="B1596" s="39" t="s">
        <v>283</v>
      </c>
      <c r="C1596" s="39" t="n">
        <v>1</v>
      </c>
      <c r="D1596" s="40" t="str">
        <f aca="false">IFERROR(INDEX(المكونات!$B$2:$B$500,MATCH($B1596,المكونات!$A$2:$A$500,0)),"")</f>
        <v>قطعة</v>
      </c>
      <c r="E1596" s="41" t="n">
        <f aca="false">IFERROR(INDEX(المكونات!$C$2:$C$500,MATCH($B1596,المكونات!$A$2:$A$500,0)),"")</f>
        <v>5.5777</v>
      </c>
      <c r="F1596" s="42" t="n">
        <f aca="false">IFERROR($C1596*$E1596,"")</f>
        <v>5.5777</v>
      </c>
    </row>
    <row r="1597" customFormat="false" ht="15" hidden="false" customHeight="true" outlineLevel="0" collapsed="false">
      <c r="A1597" s="39" t="s">
        <v>352</v>
      </c>
      <c r="B1597" s="39" t="s">
        <v>283</v>
      </c>
      <c r="C1597" s="39" t="n">
        <v>1</v>
      </c>
      <c r="D1597" s="40" t="str">
        <f aca="false">IFERROR(INDEX(المكونات!$B$2:$B$500,MATCH($B1597,المكونات!$A$2:$A$500,0)),"")</f>
        <v>قطعة</v>
      </c>
      <c r="E1597" s="41" t="n">
        <f aca="false">IFERROR(INDEX(المكونات!$C$2:$C$500,MATCH($B1597,المكونات!$A$2:$A$500,0)),"")</f>
        <v>5.5777</v>
      </c>
      <c r="F1597" s="42" t="n">
        <f aca="false">IFERROR($C1597*$E1597,"")</f>
        <v>5.5777</v>
      </c>
    </row>
    <row r="1598" customFormat="false" ht="15" hidden="false" customHeight="true" outlineLevel="0" collapsed="false">
      <c r="A1598" s="39" t="s">
        <v>351</v>
      </c>
      <c r="B1598" s="39" t="s">
        <v>283</v>
      </c>
      <c r="C1598" s="39" t="n">
        <v>1</v>
      </c>
      <c r="D1598" s="40" t="str">
        <f aca="false">IFERROR(INDEX(المكونات!$B$2:$B$500,MATCH($B1598,المكونات!$A$2:$A$500,0)),"")</f>
        <v>قطعة</v>
      </c>
      <c r="E1598" s="41" t="n">
        <f aca="false">IFERROR(INDEX(المكونات!$C$2:$C$500,MATCH($B1598,المكونات!$A$2:$A$500,0)),"")</f>
        <v>5.5777</v>
      </c>
      <c r="F1598" s="42" t="n">
        <f aca="false">IFERROR($C1598*$E1598,"")</f>
        <v>5.5777</v>
      </c>
    </row>
    <row r="1599" customFormat="false" ht="15" hidden="false" customHeight="true" outlineLevel="0" collapsed="false">
      <c r="A1599" s="39" t="s">
        <v>335</v>
      </c>
      <c r="B1599" s="39" t="s">
        <v>283</v>
      </c>
      <c r="C1599" s="39" t="n">
        <v>1</v>
      </c>
      <c r="D1599" s="40" t="str">
        <f aca="false">IFERROR(INDEX(المكونات!$B$2:$B$500,MATCH($B1599,المكونات!$A$2:$A$500,0)),"")</f>
        <v>قطعة</v>
      </c>
      <c r="E1599" s="41" t="n">
        <f aca="false">IFERROR(INDEX(المكونات!$C$2:$C$500,MATCH($B1599,المكونات!$A$2:$A$500,0)),"")</f>
        <v>5.5777</v>
      </c>
      <c r="F1599" s="42" t="n">
        <f aca="false">IFERROR($C1599*$E1599,"")</f>
        <v>5.5777</v>
      </c>
    </row>
    <row r="1600" customFormat="false" ht="15" hidden="false" customHeight="true" outlineLevel="0" collapsed="false">
      <c r="A1600" s="39" t="s">
        <v>337</v>
      </c>
      <c r="B1600" s="39" t="s">
        <v>283</v>
      </c>
      <c r="C1600" s="39" t="n">
        <v>1</v>
      </c>
      <c r="D1600" s="40" t="str">
        <f aca="false">IFERROR(INDEX(المكونات!$B$2:$B$500,MATCH($B1600,المكونات!$A$2:$A$500,0)),"")</f>
        <v>قطعة</v>
      </c>
      <c r="E1600" s="41" t="n">
        <f aca="false">IFERROR(INDEX(المكونات!$C$2:$C$500,MATCH($B1600,المكونات!$A$2:$A$500,0)),"")</f>
        <v>5.5777</v>
      </c>
      <c r="F1600" s="42" t="n">
        <f aca="false">IFERROR($C1600*$E1600,"")</f>
        <v>5.5777</v>
      </c>
    </row>
    <row r="1601" customFormat="false" ht="15" hidden="false" customHeight="true" outlineLevel="0" collapsed="false">
      <c r="A1601" s="39" t="s">
        <v>394</v>
      </c>
      <c r="B1601" s="39" t="s">
        <v>283</v>
      </c>
      <c r="C1601" s="39" t="n">
        <v>1</v>
      </c>
      <c r="D1601" s="40" t="str">
        <f aca="false">IFERROR(INDEX(المكونات!$B$2:$B$500,MATCH($B1601,المكونات!$A$2:$A$500,0)),"")</f>
        <v>قطعة</v>
      </c>
      <c r="E1601" s="41" t="n">
        <f aca="false">IFERROR(INDEX(المكونات!$C$2:$C$500,MATCH($B1601,المكونات!$A$2:$A$500,0)),"")</f>
        <v>5.5777</v>
      </c>
      <c r="F1601" s="42" t="n">
        <f aca="false">IFERROR($C1601*$E1601,"")</f>
        <v>5.5777</v>
      </c>
    </row>
    <row r="1602" customFormat="false" ht="15" hidden="false" customHeight="true" outlineLevel="0" collapsed="false">
      <c r="A1602" s="39" t="s">
        <v>318</v>
      </c>
      <c r="B1602" s="39" t="s">
        <v>283</v>
      </c>
      <c r="C1602" s="39" t="n">
        <v>1</v>
      </c>
      <c r="D1602" s="40" t="str">
        <f aca="false">IFERROR(INDEX(المكونات!$B$2:$B$500,MATCH($B1602,المكونات!$A$2:$A$500,0)),"")</f>
        <v>قطعة</v>
      </c>
      <c r="E1602" s="41" t="n">
        <f aca="false">IFERROR(INDEX(المكونات!$C$2:$C$500,MATCH($B1602,المكونات!$A$2:$A$500,0)),"")</f>
        <v>5.5777</v>
      </c>
      <c r="F1602" s="42" t="n">
        <f aca="false">IFERROR($C1602*$E1602,"")</f>
        <v>5.5777</v>
      </c>
    </row>
    <row r="1603" customFormat="false" ht="15" hidden="false" customHeight="true" outlineLevel="0" collapsed="false">
      <c r="A1603" s="39" t="s">
        <v>411</v>
      </c>
      <c r="B1603" s="39" t="s">
        <v>283</v>
      </c>
      <c r="C1603" s="39" t="n">
        <v>1</v>
      </c>
      <c r="D1603" s="40" t="str">
        <f aca="false">IFERROR(INDEX(المكونات!$B$2:$B$500,MATCH($B1603,المكونات!$A$2:$A$500,0)),"")</f>
        <v>قطعة</v>
      </c>
      <c r="E1603" s="41" t="n">
        <f aca="false">IFERROR(INDEX(المكونات!$C$2:$C$500,MATCH($B1603,المكونات!$A$2:$A$500,0)),"")</f>
        <v>5.5777</v>
      </c>
      <c r="F1603" s="42" t="n">
        <f aca="false">IFERROR($C1603*$E1603,"")</f>
        <v>5.5777</v>
      </c>
    </row>
    <row r="1604" customFormat="false" ht="15" hidden="false" customHeight="true" outlineLevel="0" collapsed="false">
      <c r="A1604" s="39" t="s">
        <v>324</v>
      </c>
      <c r="B1604" s="39" t="s">
        <v>283</v>
      </c>
      <c r="C1604" s="39" t="n">
        <v>1</v>
      </c>
      <c r="D1604" s="40" t="str">
        <f aca="false">IFERROR(INDEX(المكونات!$B$2:$B$500,MATCH($B1604,المكونات!$A$2:$A$500,0)),"")</f>
        <v>قطعة</v>
      </c>
      <c r="E1604" s="41" t="n">
        <f aca="false">IFERROR(INDEX(المكونات!$C$2:$C$500,MATCH($B1604,المكونات!$A$2:$A$500,0)),"")</f>
        <v>5.5777</v>
      </c>
      <c r="F1604" s="42" t="n">
        <f aca="false">IFERROR($C1604*$E1604,"")</f>
        <v>5.5777</v>
      </c>
    </row>
    <row r="1605" customFormat="false" ht="15" hidden="false" customHeight="true" outlineLevel="0" collapsed="false">
      <c r="A1605" s="39" t="s">
        <v>375</v>
      </c>
      <c r="B1605" s="39" t="s">
        <v>283</v>
      </c>
      <c r="C1605" s="39" t="n">
        <v>1</v>
      </c>
      <c r="D1605" s="40" t="str">
        <f aca="false">IFERROR(INDEX(المكونات!$B$2:$B$500,MATCH($B1605,المكونات!$A$2:$A$500,0)),"")</f>
        <v>قطعة</v>
      </c>
      <c r="E1605" s="41" t="n">
        <f aca="false">IFERROR(INDEX(المكونات!$C$2:$C$500,MATCH($B1605,المكونات!$A$2:$A$500,0)),"")</f>
        <v>5.5777</v>
      </c>
      <c r="F1605" s="42" t="n">
        <f aca="false">IFERROR($C1605*$E1605,"")</f>
        <v>5.5777</v>
      </c>
    </row>
    <row r="1606" customFormat="false" ht="15" hidden="false" customHeight="true" outlineLevel="0" collapsed="false">
      <c r="A1606" s="39" t="s">
        <v>322</v>
      </c>
      <c r="B1606" s="39" t="s">
        <v>283</v>
      </c>
      <c r="C1606" s="39" t="n">
        <v>1</v>
      </c>
      <c r="D1606" s="40" t="str">
        <f aca="false">IFERROR(INDEX(المكونات!$B$2:$B$500,MATCH($B1606,المكونات!$A$2:$A$500,0)),"")</f>
        <v>قطعة</v>
      </c>
      <c r="E1606" s="41" t="n">
        <f aca="false">IFERROR(INDEX(المكونات!$C$2:$C$500,MATCH($B1606,المكونات!$A$2:$A$500,0)),"")</f>
        <v>5.5777</v>
      </c>
      <c r="F1606" s="42" t="n">
        <f aca="false">IFERROR($C1606*$E1606,"")</f>
        <v>5.5777</v>
      </c>
    </row>
    <row r="1607" customFormat="false" ht="15" hidden="false" customHeight="true" outlineLevel="0" collapsed="false">
      <c r="A1607" s="39" t="s">
        <v>389</v>
      </c>
      <c r="B1607" s="39" t="s">
        <v>283</v>
      </c>
      <c r="C1607" s="39" t="n">
        <v>1</v>
      </c>
      <c r="D1607" s="40" t="str">
        <f aca="false">IFERROR(INDEX(المكونات!$B$2:$B$500,MATCH($B1607,المكونات!$A$2:$A$500,0)),"")</f>
        <v>قطعة</v>
      </c>
      <c r="E1607" s="41" t="n">
        <f aca="false">IFERROR(INDEX(المكونات!$C$2:$C$500,MATCH($B1607,المكونات!$A$2:$A$500,0)),"")</f>
        <v>5.5777</v>
      </c>
      <c r="F1607" s="42" t="n">
        <f aca="false">IFERROR($C1607*$E1607,"")</f>
        <v>5.5777</v>
      </c>
    </row>
    <row r="1608" customFormat="false" ht="15" hidden="false" customHeight="true" outlineLevel="0" collapsed="false">
      <c r="A1608" s="39" t="s">
        <v>327</v>
      </c>
      <c r="B1608" s="39" t="s">
        <v>283</v>
      </c>
      <c r="C1608" s="39" t="n">
        <v>1</v>
      </c>
      <c r="D1608" s="40" t="str">
        <f aca="false">IFERROR(INDEX(المكونات!$B$2:$B$500,MATCH($B1608,المكونات!$A$2:$A$500,0)),"")</f>
        <v>قطعة</v>
      </c>
      <c r="E1608" s="41" t="n">
        <f aca="false">IFERROR(INDEX(المكونات!$C$2:$C$500,MATCH($B1608,المكونات!$A$2:$A$500,0)),"")</f>
        <v>5.5777</v>
      </c>
      <c r="F1608" s="42" t="n">
        <f aca="false">IFERROR($C1608*$E1608,"")</f>
        <v>5.5777</v>
      </c>
    </row>
    <row r="1609" customFormat="false" ht="15" hidden="false" customHeight="true" outlineLevel="0" collapsed="false">
      <c r="A1609" s="39" t="s">
        <v>464</v>
      </c>
      <c r="B1609" s="39" t="s">
        <v>223</v>
      </c>
      <c r="C1609" s="39" t="n">
        <v>2</v>
      </c>
      <c r="D1609" s="40" t="str">
        <f aca="false">IFERROR(INDEX(المكونات!$B$2:$B$500,MATCH($B1609,المكونات!$A$2:$A$500,0)),"")</f>
        <v>قطعة</v>
      </c>
      <c r="E1609" s="41" t="n">
        <f aca="false">IFERROR(INDEX(المكونات!$C$2:$C$500,MATCH($B1609,المكونات!$A$2:$A$500,0)),"")</f>
        <v>7</v>
      </c>
      <c r="F1609" s="42" t="n">
        <f aca="false">IFERROR($C1609*$E1609,"")</f>
        <v>14</v>
      </c>
    </row>
    <row r="1610" customFormat="false" ht="15" hidden="false" customHeight="true" outlineLevel="0" collapsed="false">
      <c r="A1610" s="39" t="s">
        <v>465</v>
      </c>
      <c r="B1610" s="39" t="s">
        <v>223</v>
      </c>
      <c r="C1610" s="39" t="n">
        <v>3</v>
      </c>
      <c r="D1610" s="40" t="str">
        <f aca="false">IFERROR(INDEX(المكونات!$B$2:$B$500,MATCH($B1610,المكونات!$A$2:$A$500,0)),"")</f>
        <v>قطعة</v>
      </c>
      <c r="E1610" s="41" t="n">
        <f aca="false">IFERROR(INDEX(المكونات!$C$2:$C$500,MATCH($B1610,المكونات!$A$2:$A$500,0)),"")</f>
        <v>7</v>
      </c>
      <c r="F1610" s="42" t="n">
        <f aca="false">IFERROR($C1610*$E1610,"")</f>
        <v>21</v>
      </c>
    </row>
    <row r="1611" customFormat="false" ht="15" hidden="false" customHeight="true" outlineLevel="0" collapsed="false">
      <c r="A1611" s="39" t="s">
        <v>466</v>
      </c>
      <c r="B1611" s="39" t="s">
        <v>223</v>
      </c>
      <c r="C1611" s="39" t="n">
        <v>2</v>
      </c>
      <c r="D1611" s="40" t="str">
        <f aca="false">IFERROR(INDEX(المكونات!$B$2:$B$500,MATCH($B1611,المكونات!$A$2:$A$500,0)),"")</f>
        <v>قطعة</v>
      </c>
      <c r="E1611" s="41" t="n">
        <f aca="false">IFERROR(INDEX(المكونات!$C$2:$C$500,MATCH($B1611,المكونات!$A$2:$A$500,0)),"")</f>
        <v>7</v>
      </c>
      <c r="F1611" s="42" t="n">
        <f aca="false">IFERROR($C1611*$E1611,"")</f>
        <v>14</v>
      </c>
    </row>
    <row r="1612" customFormat="false" ht="15" hidden="false" customHeight="true" outlineLevel="0" collapsed="false">
      <c r="A1612" s="39" t="s">
        <v>467</v>
      </c>
      <c r="B1612" s="39" t="s">
        <v>110</v>
      </c>
      <c r="C1612" s="39" t="n">
        <v>1</v>
      </c>
      <c r="D1612" s="40" t="str">
        <f aca="false">IFERROR(INDEX(المكونات!$B$2:$B$500,MATCH($B1612,المكونات!$A$2:$A$500,0)),"")</f>
        <v>قطعة</v>
      </c>
      <c r="E1612" s="41" t="n">
        <f aca="false">IFERROR(INDEX(المكونات!$C$2:$C$500,MATCH($B1612,المكونات!$A$2:$A$500,0)),"")</f>
        <v>17.5</v>
      </c>
      <c r="F1612" s="42" t="n">
        <f aca="false">IFERROR($C1612*$E1612,"")</f>
        <v>17.5</v>
      </c>
    </row>
    <row r="1613" customFormat="false" ht="15" hidden="false" customHeight="true" outlineLevel="0" collapsed="false">
      <c r="A1613" s="39" t="s">
        <v>468</v>
      </c>
      <c r="B1613" s="39" t="s">
        <v>112</v>
      </c>
      <c r="C1613" s="39" t="n">
        <v>1</v>
      </c>
      <c r="D1613" s="40" t="str">
        <f aca="false">IFERROR(INDEX(المكونات!$B$2:$B$500,MATCH($B1613,المكونات!$A$2:$A$500,0)),"")</f>
        <v>قطعة</v>
      </c>
      <c r="E1613" s="41" t="n">
        <f aca="false">IFERROR(INDEX(المكونات!$C$2:$C$500,MATCH($B1613,المكونات!$A$2:$A$500,0)),"")</f>
        <v>25</v>
      </c>
      <c r="F1613" s="42" t="n">
        <f aca="false">IFERROR($C1613*$E1613,"")</f>
        <v>25</v>
      </c>
    </row>
    <row r="1614" customFormat="false" ht="15" hidden="false" customHeight="true" outlineLevel="0" collapsed="false">
      <c r="A1614" s="39" t="s">
        <v>469</v>
      </c>
      <c r="B1614" s="39" t="s">
        <v>106</v>
      </c>
      <c r="C1614" s="39" t="n">
        <v>1</v>
      </c>
      <c r="D1614" s="40" t="str">
        <f aca="false">IFERROR(INDEX(المكونات!$B$2:$B$500,MATCH($B1614,المكونات!$A$2:$A$500,0)),"")</f>
        <v>قطعة</v>
      </c>
      <c r="E1614" s="41" t="n">
        <f aca="false">IFERROR(INDEX(المكونات!$C$2:$C$500,MATCH($B1614,المكونات!$A$2:$A$500,0)),"")</f>
        <v>20</v>
      </c>
      <c r="F1614" s="42" t="n">
        <f aca="false">IFERROR($C1614*$E1614,"")</f>
        <v>20</v>
      </c>
    </row>
    <row r="1615" customFormat="false" ht="15" hidden="false" customHeight="true" outlineLevel="0" collapsed="false">
      <c r="A1615" s="39" t="s">
        <v>332</v>
      </c>
      <c r="B1615" s="39" t="s">
        <v>108</v>
      </c>
      <c r="C1615" s="39" t="n">
        <v>1</v>
      </c>
      <c r="D1615" s="40" t="str">
        <f aca="false">IFERROR(INDEX(المكونات!$B$2:$B$500,MATCH($B1615,المكونات!$A$2:$A$500,0)),"")</f>
        <v>قطعة</v>
      </c>
      <c r="E1615" s="41" t="n">
        <f aca="false">IFERROR(INDEX(المكونات!$C$2:$C$500,MATCH($B1615,المكونات!$A$2:$A$500,0)),"")</f>
        <v>26.4194</v>
      </c>
      <c r="F1615" s="42" t="n">
        <f aca="false">IFERROR($C1615*$E1615,"")</f>
        <v>26.4194</v>
      </c>
    </row>
    <row r="1616" customFormat="false" ht="15" hidden="false" customHeight="true" outlineLevel="0" collapsed="false">
      <c r="A1616" s="39" t="s">
        <v>470</v>
      </c>
      <c r="B1616" s="39" t="s">
        <v>82</v>
      </c>
      <c r="C1616" s="39" t="n">
        <v>1</v>
      </c>
      <c r="D1616" s="40" t="str">
        <f aca="false">IFERROR(INDEX(المكونات!$B$2:$B$500,MATCH($B1616,المكونات!$A$2:$A$500,0)),"")</f>
        <v>قطعة</v>
      </c>
      <c r="E1616" s="41" t="n">
        <f aca="false">IFERROR(INDEX(المكونات!$C$2:$C$500,MATCH($B1616,المكونات!$A$2:$A$500,0)),"")</f>
        <v>9</v>
      </c>
      <c r="F1616" s="42" t="n">
        <f aca="false">IFERROR($C1616*$E1616,"")</f>
        <v>9</v>
      </c>
    </row>
    <row r="1617" customFormat="false" ht="15" hidden="false" customHeight="true" outlineLevel="0" collapsed="false">
      <c r="A1617" s="39" t="s">
        <v>471</v>
      </c>
      <c r="B1617" s="39" t="s">
        <v>82</v>
      </c>
      <c r="C1617" s="39" t="n">
        <v>1</v>
      </c>
      <c r="D1617" s="40" t="str">
        <f aca="false">IFERROR(INDEX(المكونات!$B$2:$B$500,MATCH($B1617,المكونات!$A$2:$A$500,0)),"")</f>
        <v>قطعة</v>
      </c>
      <c r="E1617" s="41" t="n">
        <f aca="false">IFERROR(INDEX(المكونات!$C$2:$C$500,MATCH($B1617,المكونات!$A$2:$A$500,0)),"")</f>
        <v>9</v>
      </c>
      <c r="F1617" s="42" t="n">
        <f aca="false">IFERROR($C1617*$E1617,"")</f>
        <v>9</v>
      </c>
    </row>
    <row r="1618" customFormat="false" ht="15" hidden="false" customHeight="true" outlineLevel="0" collapsed="false">
      <c r="A1618" s="39" t="s">
        <v>472</v>
      </c>
      <c r="B1618" s="39" t="s">
        <v>82</v>
      </c>
      <c r="C1618" s="39" t="n">
        <v>1.5</v>
      </c>
      <c r="D1618" s="40" t="str">
        <f aca="false">IFERROR(INDEX(المكونات!$B$2:$B$500,MATCH($B1618,المكونات!$A$2:$A$500,0)),"")</f>
        <v>قطعة</v>
      </c>
      <c r="E1618" s="41" t="n">
        <f aca="false">IFERROR(INDEX(المكونات!$C$2:$C$500,MATCH($B1618,المكونات!$A$2:$A$500,0)),"")</f>
        <v>9</v>
      </c>
      <c r="F1618" s="42" t="n">
        <f aca="false">IFERROR($C1618*$E1618,"")</f>
        <v>13.5</v>
      </c>
    </row>
    <row r="1619" customFormat="false" ht="15" hidden="false" customHeight="true" outlineLevel="0" collapsed="false">
      <c r="A1619" s="39" t="s">
        <v>448</v>
      </c>
      <c r="B1619" s="39" t="s">
        <v>104</v>
      </c>
      <c r="C1619" s="39" t="n">
        <v>1</v>
      </c>
      <c r="D1619" s="40" t="str">
        <f aca="false">IFERROR(INDEX(المكونات!$B$2:$B$500,MATCH($B1619,المكونات!$A$2:$A$500,0)),"")</f>
        <v>قطعة</v>
      </c>
      <c r="E1619" s="41" t="n">
        <f aca="false">IFERROR(INDEX(المكونات!$C$2:$C$500,MATCH($B1619,المكونات!$A$2:$A$500,0)),"")</f>
        <v>23</v>
      </c>
      <c r="F1619" s="42" t="n">
        <f aca="false">IFERROR($C1619*$E1619,"")</f>
        <v>23</v>
      </c>
    </row>
    <row r="1620" customFormat="false" ht="15" hidden="false" customHeight="true" outlineLevel="0" collapsed="false">
      <c r="A1620" s="39" t="s">
        <v>449</v>
      </c>
      <c r="B1620" s="39" t="s">
        <v>104</v>
      </c>
      <c r="C1620" s="39" t="n">
        <v>2</v>
      </c>
      <c r="D1620" s="40" t="str">
        <f aca="false">IFERROR(INDEX(المكونات!$B$2:$B$500,MATCH($B1620,المكونات!$A$2:$A$500,0)),"")</f>
        <v>قطعة</v>
      </c>
      <c r="E1620" s="41" t="n">
        <f aca="false">IFERROR(INDEX(المكونات!$C$2:$C$500,MATCH($B1620,المكونات!$A$2:$A$500,0)),"")</f>
        <v>23</v>
      </c>
      <c r="F1620" s="42" t="n">
        <f aca="false">IFERROR($C1620*$E1620,"")</f>
        <v>46</v>
      </c>
    </row>
    <row r="1621" customFormat="false" ht="15" hidden="false" customHeight="true" outlineLevel="0" collapsed="false">
      <c r="A1621" s="39" t="s">
        <v>316</v>
      </c>
      <c r="B1621" s="39" t="s">
        <v>180</v>
      </c>
      <c r="C1621" s="39" t="n">
        <v>0.1</v>
      </c>
      <c r="D1621" s="40" t="str">
        <f aca="false">IFERROR(INDEX(المكونات!$B$2:$B$500,MATCH($B1621,المكونات!$A$2:$A$500,0)),"")</f>
        <v>كجم</v>
      </c>
      <c r="E1621" s="41" t="n">
        <f aca="false">IFERROR(INDEX(المكونات!$C$2:$C$500,MATCH($B1621,المكونات!$A$2:$A$500,0)),"")</f>
        <v>130</v>
      </c>
      <c r="F1621" s="42" t="n">
        <f aca="false">IFERROR($C1621*$E1621,"")</f>
        <v>13</v>
      </c>
    </row>
    <row r="1622" customFormat="false" ht="15" hidden="false" customHeight="true" outlineLevel="0" collapsed="false">
      <c r="A1622" s="39" t="s">
        <v>323</v>
      </c>
      <c r="B1622" s="39" t="s">
        <v>100</v>
      </c>
      <c r="C1622" s="39" t="n">
        <v>1</v>
      </c>
      <c r="D1622" s="40" t="str">
        <f aca="false">IFERROR(INDEX(المكونات!$B$2:$B$500,MATCH($B1622,المكونات!$A$2:$A$500,0)),"")</f>
        <v>قطعة</v>
      </c>
      <c r="E1622" s="41" t="n">
        <f aca="false">IFERROR(INDEX(المكونات!$C$2:$C$500,MATCH($B1622,المكونات!$A$2:$A$500,0)),"")</f>
        <v>25</v>
      </c>
      <c r="F1622" s="42" t="n">
        <f aca="false">IFERROR($C1622*$E1622,"")</f>
        <v>25</v>
      </c>
    </row>
    <row r="1623" customFormat="false" ht="15" hidden="false" customHeight="true" outlineLevel="0" collapsed="false">
      <c r="A1623" s="39" t="s">
        <v>473</v>
      </c>
      <c r="B1623" s="39" t="s">
        <v>102</v>
      </c>
      <c r="C1623" s="39" t="n">
        <v>1</v>
      </c>
      <c r="D1623" s="40" t="str">
        <f aca="false">IFERROR(INDEX(المكونات!$B$2:$B$500,MATCH($B1623,المكونات!$A$2:$A$500,0)),"")</f>
        <v>قطعة</v>
      </c>
      <c r="E1623" s="41" t="n">
        <f aca="false">IFERROR(INDEX(المكونات!$C$2:$C$500,MATCH($B1623,المكونات!$A$2:$A$500,0)),"")</f>
        <v>21</v>
      </c>
      <c r="F1623" s="42" t="n">
        <f aca="false">IFERROR($C1623*$E1623,"")</f>
        <v>21</v>
      </c>
    </row>
    <row r="1624" customFormat="false" ht="15" hidden="false" customHeight="true" outlineLevel="0" collapsed="false">
      <c r="A1624" s="39" t="s">
        <v>474</v>
      </c>
      <c r="B1624" s="39" t="s">
        <v>102</v>
      </c>
      <c r="C1624" s="39" t="n">
        <v>1</v>
      </c>
      <c r="D1624" s="40" t="str">
        <f aca="false">IFERROR(INDEX(المكونات!$B$2:$B$500,MATCH($B1624,المكونات!$A$2:$A$500,0)),"")</f>
        <v>قطعة</v>
      </c>
      <c r="E1624" s="41" t="n">
        <f aca="false">IFERROR(INDEX(المكونات!$C$2:$C$500,MATCH($B1624,المكونات!$A$2:$A$500,0)),"")</f>
        <v>21</v>
      </c>
      <c r="F1624" s="42" t="n">
        <f aca="false">IFERROR($C1624*$E1624,"")</f>
        <v>21</v>
      </c>
    </row>
    <row r="1625" customFormat="false" ht="15" hidden="false" customHeight="true" outlineLevel="0" collapsed="false">
      <c r="A1625" s="39" t="s">
        <v>475</v>
      </c>
      <c r="B1625" s="39" t="s">
        <v>86</v>
      </c>
      <c r="C1625" s="39" t="n">
        <v>1</v>
      </c>
      <c r="D1625" s="40" t="str">
        <f aca="false">IFERROR(INDEX(المكونات!$B$2:$B$500,MATCH($B1625,المكونات!$A$2:$A$500,0)),"")</f>
        <v>قطعة</v>
      </c>
      <c r="E1625" s="41" t="n">
        <f aca="false">IFERROR(INDEX(المكونات!$C$2:$C$500,MATCH($B1625,المكونات!$A$2:$A$500,0)),"")</f>
        <v>34</v>
      </c>
      <c r="F1625" s="42" t="n">
        <f aca="false">IFERROR($C1625*$E1625,"")</f>
        <v>34</v>
      </c>
    </row>
    <row r="1626" customFormat="false" ht="15" hidden="false" customHeight="true" outlineLevel="0" collapsed="false">
      <c r="A1626" s="39" t="s">
        <v>476</v>
      </c>
      <c r="B1626" s="39" t="s">
        <v>86</v>
      </c>
      <c r="C1626" s="39" t="n">
        <v>1</v>
      </c>
      <c r="D1626" s="40" t="str">
        <f aca="false">IFERROR(INDEX(المكونات!$B$2:$B$500,MATCH($B1626,المكونات!$A$2:$A$500,0)),"")</f>
        <v>قطعة</v>
      </c>
      <c r="E1626" s="41" t="n">
        <f aca="false">IFERROR(INDEX(المكونات!$C$2:$C$500,MATCH($B1626,المكونات!$A$2:$A$500,0)),"")</f>
        <v>34</v>
      </c>
      <c r="F1626" s="42" t="n">
        <f aca="false">IFERROR($C1626*$E1626,"")</f>
        <v>34</v>
      </c>
    </row>
    <row r="1627" customFormat="false" ht="15" hidden="false" customHeight="true" outlineLevel="0" collapsed="false">
      <c r="A1627" s="39" t="s">
        <v>367</v>
      </c>
      <c r="B1627" s="39" t="s">
        <v>88</v>
      </c>
      <c r="C1627" s="39" t="n">
        <v>1</v>
      </c>
      <c r="D1627" s="40" t="str">
        <f aca="false">IFERROR(INDEX(المكونات!$B$2:$B$500,MATCH($B1627,المكونات!$A$2:$A$500,0)),"")</f>
        <v>قطعة</v>
      </c>
      <c r="E1627" s="41" t="n">
        <f aca="false">IFERROR(INDEX(المكونات!$C$2:$C$500,MATCH($B1627,المكونات!$A$2:$A$500,0)),"")</f>
        <v>45</v>
      </c>
      <c r="F1627" s="42" t="n">
        <f aca="false">IFERROR($C1627*$E1627,"")</f>
        <v>45</v>
      </c>
    </row>
    <row r="1628" customFormat="false" ht="15" hidden="false" customHeight="true" outlineLevel="0" collapsed="false">
      <c r="A1628" s="39" t="s">
        <v>344</v>
      </c>
      <c r="B1628" s="39" t="s">
        <v>76</v>
      </c>
      <c r="C1628" s="39" t="n">
        <v>1</v>
      </c>
      <c r="D1628" s="40" t="str">
        <f aca="false">IFERROR(INDEX(المكونات!$B$2:$B$500,MATCH($B1628,المكونات!$A$2:$A$500,0)),"")</f>
        <v>قطعة</v>
      </c>
      <c r="E1628" s="41" t="n">
        <f aca="false">IFERROR(INDEX(المكونات!$C$2:$C$500,MATCH($B1628,المكونات!$A$2:$A$500,0)),"")</f>
        <v>35</v>
      </c>
      <c r="F1628" s="42" t="n">
        <f aca="false">IFERROR($C1628*$E1628,"")</f>
        <v>35</v>
      </c>
    </row>
    <row r="1629" customFormat="false" ht="15" hidden="false" customHeight="true" outlineLevel="0" collapsed="false">
      <c r="A1629" s="39" t="s">
        <v>345</v>
      </c>
      <c r="B1629" s="39" t="s">
        <v>76</v>
      </c>
      <c r="C1629" s="39" t="n">
        <v>1</v>
      </c>
      <c r="D1629" s="40" t="str">
        <f aca="false">IFERROR(INDEX(المكونات!$B$2:$B$500,MATCH($B1629,المكونات!$A$2:$A$500,0)),"")</f>
        <v>قطعة</v>
      </c>
      <c r="E1629" s="41" t="n">
        <f aca="false">IFERROR(INDEX(المكونات!$C$2:$C$500,MATCH($B1629,المكونات!$A$2:$A$500,0)),"")</f>
        <v>35</v>
      </c>
      <c r="F1629" s="42" t="n">
        <f aca="false">IFERROR($C1629*$E1629,"")</f>
        <v>35</v>
      </c>
    </row>
    <row r="1630" customFormat="false" ht="15" hidden="false" customHeight="true" outlineLevel="0" collapsed="false">
      <c r="A1630" s="39" t="s">
        <v>330</v>
      </c>
      <c r="B1630" s="39" t="s">
        <v>78</v>
      </c>
      <c r="C1630" s="39" t="n">
        <v>1</v>
      </c>
      <c r="D1630" s="40" t="str">
        <f aca="false">IFERROR(INDEX(المكونات!$B$2:$B$500,MATCH($B1630,المكونات!$A$2:$A$500,0)),"")</f>
        <v>قطعة</v>
      </c>
      <c r="E1630" s="41" t="n">
        <f aca="false">IFERROR(INDEX(المكونات!$C$2:$C$500,MATCH($B1630,المكونات!$A$2:$A$500,0)),"")</f>
        <v>46.8889</v>
      </c>
      <c r="F1630" s="42" t="n">
        <f aca="false">IFERROR($C1630*$E1630,"")</f>
        <v>46.8889</v>
      </c>
    </row>
    <row r="1631" customFormat="false" ht="15" hidden="false" customHeight="true" outlineLevel="0" collapsed="false">
      <c r="A1631" s="39" t="s">
        <v>343</v>
      </c>
      <c r="B1631" s="39" t="s">
        <v>90</v>
      </c>
      <c r="C1631" s="39" t="n">
        <v>1</v>
      </c>
      <c r="D1631" s="40" t="str">
        <f aca="false">IFERROR(INDEX(المكونات!$B$2:$B$500,MATCH($B1631,المكونات!$A$2:$A$500,0)),"")</f>
        <v>قطعة</v>
      </c>
      <c r="E1631" s="41" t="n">
        <f aca="false">IFERROR(INDEX(المكونات!$C$2:$C$500,MATCH($B1631,المكونات!$A$2:$A$500,0)),"")</f>
        <v>27.1442</v>
      </c>
      <c r="F1631" s="42" t="n">
        <f aca="false">IFERROR($C1631*$E1631,"")</f>
        <v>27.1442</v>
      </c>
    </row>
    <row r="1632" customFormat="false" ht="15" hidden="false" customHeight="true" outlineLevel="0" collapsed="false">
      <c r="A1632" s="39" t="s">
        <v>462</v>
      </c>
      <c r="B1632" s="39" t="s">
        <v>215</v>
      </c>
      <c r="C1632" s="39" t="n">
        <v>1</v>
      </c>
      <c r="D1632" s="40" t="str">
        <f aca="false">IFERROR(INDEX(المكونات!$B$2:$B$500,MATCH($B1632,المكونات!$A$2:$A$500,0)),"")</f>
        <v>قطعة</v>
      </c>
      <c r="E1632" s="41" t="n">
        <f aca="false">IFERROR(INDEX(المكونات!$C$2:$C$500,MATCH($B1632,المكونات!$A$2:$A$500,0)),"")</f>
        <v>42.03</v>
      </c>
      <c r="F1632" s="42" t="n">
        <f aca="false">IFERROR($C1632*$E1632,"")</f>
        <v>42.03</v>
      </c>
    </row>
    <row r="1633" customFormat="false" ht="15" hidden="false" customHeight="true" outlineLevel="0" collapsed="false">
      <c r="A1633" s="39" t="s">
        <v>426</v>
      </c>
      <c r="B1633" s="39" t="s">
        <v>84</v>
      </c>
      <c r="C1633" s="39" t="n">
        <v>1</v>
      </c>
      <c r="D1633" s="40" t="str">
        <f aca="false">IFERROR(INDEX(المكونات!$B$2:$B$500,MATCH($B1633,المكونات!$A$2:$A$500,0)),"")</f>
        <v>قطعة</v>
      </c>
      <c r="E1633" s="41" t="n">
        <f aca="false">IFERROR(INDEX(المكونات!$C$2:$C$500,MATCH($B1633,المكونات!$A$2:$A$500,0)),"")</f>
        <v>95</v>
      </c>
      <c r="F1633" s="42" t="n">
        <f aca="false">IFERROR($C1633*$E1633,"")</f>
        <v>95</v>
      </c>
    </row>
    <row r="1634" customFormat="false" ht="15" hidden="false" customHeight="true" outlineLevel="0" collapsed="false">
      <c r="A1634" s="39" t="s">
        <v>363</v>
      </c>
      <c r="B1634" s="39" t="s">
        <v>92</v>
      </c>
      <c r="C1634" s="39" t="n">
        <v>1</v>
      </c>
      <c r="D1634" s="40" t="str">
        <f aca="false">IFERROR(INDEX(المكونات!$B$2:$B$500,MATCH($B1634,المكونات!$A$2:$A$500,0)),"")</f>
        <v>قطعة</v>
      </c>
      <c r="E1634" s="41" t="n">
        <f aca="false">IFERROR(INDEX(المكونات!$C$2:$C$500,MATCH($B1634,المكونات!$A$2:$A$500,0)),"")</f>
        <v>33.7609</v>
      </c>
      <c r="F1634" s="42" t="n">
        <f aca="false">IFERROR($C1634*$E1634,"")</f>
        <v>33.7609</v>
      </c>
    </row>
    <row r="1635" customFormat="false" ht="15" hidden="false" customHeight="true" outlineLevel="0" collapsed="false">
      <c r="A1635" s="39" t="s">
        <v>346</v>
      </c>
      <c r="B1635" s="39" t="s">
        <v>94</v>
      </c>
      <c r="C1635" s="39" t="n">
        <v>1</v>
      </c>
      <c r="D1635" s="40" t="str">
        <f aca="false">IFERROR(INDEX(المكونات!$B$2:$B$500,MATCH($B1635,المكونات!$A$2:$A$500,0)),"")</f>
        <v>قطعة</v>
      </c>
      <c r="E1635" s="41" t="n">
        <f aca="false">IFERROR(INDEX(المكونات!$C$2:$C$500,MATCH($B1635,المكونات!$A$2:$A$500,0)),"")</f>
        <v>48.2857</v>
      </c>
      <c r="F1635" s="42" t="n">
        <f aca="false">IFERROR($C1635*$E1635,"")</f>
        <v>48.2857</v>
      </c>
    </row>
    <row r="1636" customFormat="false" ht="15" hidden="false" customHeight="true" outlineLevel="0" collapsed="false">
      <c r="A1636" s="39" t="s">
        <v>347</v>
      </c>
      <c r="B1636" s="39" t="s">
        <v>94</v>
      </c>
      <c r="C1636" s="39" t="n">
        <v>1</v>
      </c>
      <c r="D1636" s="40" t="str">
        <f aca="false">IFERROR(INDEX(المكونات!$B$2:$B$500,MATCH($B1636,المكونات!$A$2:$A$500,0)),"")</f>
        <v>قطعة</v>
      </c>
      <c r="E1636" s="41" t="n">
        <f aca="false">IFERROR(INDEX(المكونات!$C$2:$C$500,MATCH($B1636,المكونات!$A$2:$A$500,0)),"")</f>
        <v>48.2857</v>
      </c>
      <c r="F1636" s="42" t="n">
        <f aca="false">IFERROR($C1636*$E1636,"")</f>
        <v>48.2857</v>
      </c>
    </row>
    <row r="1637" customFormat="false" ht="15" hidden="false" customHeight="true" outlineLevel="0" collapsed="false">
      <c r="A1637" s="39" t="s">
        <v>338</v>
      </c>
      <c r="B1637" s="39" t="s">
        <v>96</v>
      </c>
      <c r="C1637" s="39" t="n">
        <v>1</v>
      </c>
      <c r="D1637" s="40" t="str">
        <f aca="false">IFERROR(INDEX(المكونات!$B$2:$B$500,MATCH($B1637,المكونات!$A$2:$A$500,0)),"")</f>
        <v>قطعة</v>
      </c>
      <c r="E1637" s="41" t="n">
        <f aca="false">IFERROR(INDEX(المكونات!$C$2:$C$500,MATCH($B1637,المكونات!$A$2:$A$500,0)),"")</f>
        <v>30</v>
      </c>
      <c r="F1637" s="42" t="n">
        <f aca="false">IFERROR($C1637*$E1637,"")</f>
        <v>30</v>
      </c>
    </row>
    <row r="1638" customFormat="false" ht="15" hidden="false" customHeight="true" outlineLevel="0" collapsed="false">
      <c r="A1638" s="39" t="s">
        <v>339</v>
      </c>
      <c r="B1638" s="39" t="s">
        <v>96</v>
      </c>
      <c r="C1638" s="39" t="n">
        <v>1</v>
      </c>
      <c r="D1638" s="40" t="str">
        <f aca="false">IFERROR(INDEX(المكونات!$B$2:$B$500,MATCH($B1638,المكونات!$A$2:$A$500,0)),"")</f>
        <v>قطعة</v>
      </c>
      <c r="E1638" s="41" t="n">
        <f aca="false">IFERROR(INDEX(المكونات!$C$2:$C$500,MATCH($B1638,المكونات!$A$2:$A$500,0)),"")</f>
        <v>30</v>
      </c>
      <c r="F1638" s="42" t="n">
        <f aca="false">IFERROR($C1638*$E1638,"")</f>
        <v>30</v>
      </c>
    </row>
    <row r="1639" customFormat="false" ht="15" hidden="false" customHeight="true" outlineLevel="0" collapsed="false">
      <c r="A1639" s="39" t="s">
        <v>315</v>
      </c>
      <c r="B1639" s="39" t="s">
        <v>98</v>
      </c>
      <c r="C1639" s="39" t="n">
        <v>1</v>
      </c>
      <c r="D1639" s="40" t="str">
        <f aca="false">IFERROR(INDEX(المكونات!$B$2:$B$500,MATCH($B1639,المكونات!$A$2:$A$500,0)),"")</f>
        <v>قطعة</v>
      </c>
      <c r="E1639" s="41" t="n">
        <f aca="false">IFERROR(INDEX(المكونات!$C$2:$C$500,MATCH($B1639,المكونات!$A$2:$A$500,0)),"")</f>
        <v>29</v>
      </c>
      <c r="F1639" s="42" t="n">
        <f aca="false">IFERROR($C1639*$E1639,"")</f>
        <v>29</v>
      </c>
    </row>
    <row r="1640" customFormat="false" ht="15" hidden="false" customHeight="true" outlineLevel="0" collapsed="false">
      <c r="A1640" s="39" t="s">
        <v>311</v>
      </c>
      <c r="B1640" s="39" t="s">
        <v>242</v>
      </c>
      <c r="C1640" s="39" t="n">
        <v>0.06</v>
      </c>
      <c r="D1640" s="40" t="str">
        <f aca="false">IFERROR(INDEX(المكونات!$B$2:$B$500,MATCH($B1640,المكونات!$A$2:$A$500,0)),"")</f>
        <v>كجم</v>
      </c>
      <c r="E1640" s="41" t="n">
        <f aca="false">IFERROR(INDEX(المكونات!$C$2:$C$500,MATCH($B1640,المكونات!$A$2:$A$500,0)),"")</f>
        <v>151.2027</v>
      </c>
      <c r="F1640" s="42" t="n">
        <f aca="false">IFERROR($C1640*$E1640,"")</f>
        <v>9.072162</v>
      </c>
    </row>
    <row r="1641" customFormat="false" ht="15" hidden="false" customHeight="true" outlineLevel="0" collapsed="false">
      <c r="A1641" s="39" t="s">
        <v>312</v>
      </c>
      <c r="B1641" s="39" t="s">
        <v>242</v>
      </c>
      <c r="C1641" s="39" t="n">
        <v>0.09</v>
      </c>
      <c r="D1641" s="40" t="str">
        <f aca="false">IFERROR(INDEX(المكونات!$B$2:$B$500,MATCH($B1641,المكونات!$A$2:$A$500,0)),"")</f>
        <v>كجم</v>
      </c>
      <c r="E1641" s="41" t="n">
        <f aca="false">IFERROR(INDEX(المكونات!$C$2:$C$500,MATCH($B1641,المكونات!$A$2:$A$500,0)),"")</f>
        <v>151.2027</v>
      </c>
      <c r="F1641" s="42" t="n">
        <f aca="false">IFERROR($C1641*$E1641,"")</f>
        <v>13.608243</v>
      </c>
    </row>
    <row r="1642" customFormat="false" ht="15" hidden="false" customHeight="true" outlineLevel="0" collapsed="false">
      <c r="A1642" s="39" t="s">
        <v>313</v>
      </c>
      <c r="B1642" s="39" t="s">
        <v>242</v>
      </c>
      <c r="C1642" s="39" t="n">
        <v>0.06</v>
      </c>
      <c r="D1642" s="40" t="str">
        <f aca="false">IFERROR(INDEX(المكونات!$B$2:$B$500,MATCH($B1642,المكونات!$A$2:$A$500,0)),"")</f>
        <v>كجم</v>
      </c>
      <c r="E1642" s="41" t="n">
        <f aca="false">IFERROR(INDEX(المكونات!$C$2:$C$500,MATCH($B1642,المكونات!$A$2:$A$500,0)),"")</f>
        <v>151.2027</v>
      </c>
      <c r="F1642" s="42" t="n">
        <f aca="false">IFERROR($C1642*$E1642,"")</f>
        <v>9.072162</v>
      </c>
    </row>
    <row r="1643" customFormat="false" ht="15" hidden="false" customHeight="true" outlineLevel="0" collapsed="false">
      <c r="A1643" s="39" t="s">
        <v>314</v>
      </c>
      <c r="B1643" s="39" t="s">
        <v>242</v>
      </c>
      <c r="C1643" s="39" t="n">
        <v>0.09</v>
      </c>
      <c r="D1643" s="40" t="str">
        <f aca="false">IFERROR(INDEX(المكونات!$B$2:$B$500,MATCH($B1643,المكونات!$A$2:$A$500,0)),"")</f>
        <v>كجم</v>
      </c>
      <c r="E1643" s="41" t="n">
        <f aca="false">IFERROR(INDEX(المكونات!$C$2:$C$500,MATCH($B1643,المكونات!$A$2:$A$500,0)),"")</f>
        <v>151.2027</v>
      </c>
      <c r="F1643" s="42" t="n">
        <f aca="false">IFERROR($C1643*$E1643,"")</f>
        <v>13.608243</v>
      </c>
    </row>
    <row r="1644" customFormat="false" ht="15" hidden="false" customHeight="true" outlineLevel="0" collapsed="false">
      <c r="A1644" s="39" t="s">
        <v>477</v>
      </c>
      <c r="B1644" s="39" t="s">
        <v>106</v>
      </c>
      <c r="C1644" s="39" t="n">
        <v>1</v>
      </c>
      <c r="D1644" s="40" t="str">
        <f aca="false">IFERROR(INDEX(المكونات!$B$2:$B$500,MATCH($B1644,المكونات!$A$2:$A$500,0)),"")</f>
        <v>قطعة</v>
      </c>
      <c r="E1644" s="41" t="n">
        <f aca="false">IFERROR(INDEX(المكونات!$C$2:$C$500,MATCH($B1644,المكونات!$A$2:$A$500,0)),"")</f>
        <v>20</v>
      </c>
      <c r="F1644" s="42" t="n">
        <f aca="false">IFERROR($C1644*$E1644,"")</f>
        <v>20</v>
      </c>
    </row>
    <row r="1645" customFormat="false" ht="15" hidden="false" customHeight="true" outlineLevel="0" collapsed="false">
      <c r="A1645" s="39" t="s">
        <v>333</v>
      </c>
      <c r="B1645" s="39" t="s">
        <v>108</v>
      </c>
      <c r="C1645" s="39" t="n">
        <v>1</v>
      </c>
      <c r="D1645" s="40" t="str">
        <f aca="false">IFERROR(INDEX(المكونات!$B$2:$B$500,MATCH($B1645,المكونات!$A$2:$A$500,0)),"")</f>
        <v>قطعة</v>
      </c>
      <c r="E1645" s="41" t="n">
        <f aca="false">IFERROR(INDEX(المكونات!$C$2:$C$500,MATCH($B1645,المكونات!$A$2:$A$500,0)),"")</f>
        <v>26.4194</v>
      </c>
      <c r="F1645" s="42" t="n">
        <f aca="false">IFERROR($C1645*$E1645,"")</f>
        <v>26.4194</v>
      </c>
    </row>
    <row r="1646" customFormat="false" ht="15" hidden="false" customHeight="true" outlineLevel="0" collapsed="false">
      <c r="A1646" s="39" t="s">
        <v>478</v>
      </c>
      <c r="B1646" s="39" t="s">
        <v>106</v>
      </c>
      <c r="C1646" s="39" t="n">
        <v>0.5</v>
      </c>
      <c r="D1646" s="40" t="str">
        <f aca="false">IFERROR(INDEX(المكونات!$B$2:$B$500,MATCH($B1646,المكونات!$A$2:$A$500,0)),"")</f>
        <v>قطعة</v>
      </c>
      <c r="E1646" s="41" t="n">
        <f aca="false">IFERROR(INDEX(المكونات!$C$2:$C$500,MATCH($B1646,المكونات!$A$2:$A$500,0)),"")</f>
        <v>20</v>
      </c>
      <c r="F1646" s="42" t="n">
        <f aca="false">IFERROR($C1646*$E1646,"")</f>
        <v>10</v>
      </c>
    </row>
    <row r="1647" customFormat="false" ht="15" hidden="false" customHeight="true" outlineLevel="0" collapsed="false">
      <c r="A1647" s="39" t="s">
        <v>334</v>
      </c>
      <c r="B1647" s="39" t="s">
        <v>108</v>
      </c>
      <c r="C1647" s="39" t="n">
        <v>0.75</v>
      </c>
      <c r="D1647" s="40" t="str">
        <f aca="false">IFERROR(INDEX(المكونات!$B$2:$B$500,MATCH($B1647,المكونات!$A$2:$A$500,0)),"")</f>
        <v>قطعة</v>
      </c>
      <c r="E1647" s="41" t="n">
        <f aca="false">IFERROR(INDEX(المكونات!$C$2:$C$500,MATCH($B1647,المكونات!$A$2:$A$500,0)),"")</f>
        <v>26.4194</v>
      </c>
      <c r="F1647" s="42" t="n">
        <f aca="false">IFERROR($C1647*$E1647,"")</f>
        <v>19.81455</v>
      </c>
    </row>
    <row r="1648" customFormat="false" ht="15" hidden="false" customHeight="true" outlineLevel="0" collapsed="false">
      <c r="A1648" s="39" t="s">
        <v>479</v>
      </c>
      <c r="B1648" s="39" t="s">
        <v>192</v>
      </c>
      <c r="C1648" s="39" t="n">
        <v>0.1</v>
      </c>
      <c r="D1648" s="40" t="str">
        <f aca="false">IFERROR(INDEX(المكونات!$B$2:$B$500,MATCH($B1648,المكونات!$A$2:$A$500,0)),"")</f>
        <v>كجم</v>
      </c>
      <c r="E1648" s="41" t="n">
        <f aca="false">IFERROR(INDEX(المكونات!$C$2:$C$500,MATCH($B1648,المكونات!$A$2:$A$500,0)),"")</f>
        <v>105</v>
      </c>
      <c r="F1648" s="42" t="n">
        <f aca="false">IFERROR($C1648*$E1648,"")</f>
        <v>10.5</v>
      </c>
    </row>
    <row r="1649" customFormat="false" ht="15" hidden="false" customHeight="true" outlineLevel="0" collapsed="false">
      <c r="A1649" s="39" t="s">
        <v>480</v>
      </c>
      <c r="B1649" s="39" t="s">
        <v>192</v>
      </c>
      <c r="C1649" s="39" t="n">
        <v>0.15</v>
      </c>
      <c r="D1649" s="40" t="str">
        <f aca="false">IFERROR(INDEX(المكونات!$B$2:$B$500,MATCH($B1649,المكونات!$A$2:$A$500,0)),"")</f>
        <v>كجم</v>
      </c>
      <c r="E1649" s="41" t="n">
        <f aca="false">IFERROR(INDEX(المكونات!$C$2:$C$500,MATCH($B1649,المكونات!$A$2:$A$500,0)),"")</f>
        <v>105</v>
      </c>
      <c r="F1649" s="42" t="n">
        <f aca="false">IFERROR($C1649*$E1649,"")</f>
        <v>15.75</v>
      </c>
    </row>
    <row r="1650" customFormat="false" ht="15" hidden="false" customHeight="true" outlineLevel="0" collapsed="false">
      <c r="A1650" s="39" t="s">
        <v>359</v>
      </c>
      <c r="B1650" s="39" t="s">
        <v>194</v>
      </c>
      <c r="C1650" s="39" t="n">
        <v>0.1</v>
      </c>
      <c r="D1650" s="40" t="str">
        <f aca="false">IFERROR(INDEX(المكونات!$B$2:$B$500,MATCH($B1650,المكونات!$A$2:$A$500,0)),"")</f>
        <v>كجم</v>
      </c>
      <c r="E1650" s="41" t="n">
        <f aca="false">IFERROR(INDEX(المكونات!$C$2:$C$500,MATCH($B1650,المكونات!$A$2:$A$500,0)),"")</f>
        <v>140</v>
      </c>
      <c r="F1650" s="42" t="n">
        <f aca="false">IFERROR($C1650*$E1650,"")</f>
        <v>14</v>
      </c>
    </row>
    <row r="1651" customFormat="false" ht="15" hidden="false" customHeight="true" outlineLevel="0" collapsed="false">
      <c r="A1651" s="39" t="s">
        <v>360</v>
      </c>
      <c r="B1651" s="39" t="s">
        <v>194</v>
      </c>
      <c r="C1651" s="39" t="n">
        <v>0.15</v>
      </c>
      <c r="D1651" s="40" t="str">
        <f aca="false">IFERROR(INDEX(المكونات!$B$2:$B$500,MATCH($B1651,المكونات!$A$2:$A$500,0)),"")</f>
        <v>كجم</v>
      </c>
      <c r="E1651" s="41" t="n">
        <f aca="false">IFERROR(INDEX(المكونات!$C$2:$C$500,MATCH($B1651,المكونات!$A$2:$A$500,0)),"")</f>
        <v>140</v>
      </c>
      <c r="F1651" s="42" t="n">
        <f aca="false">IFERROR($C1651*$E1651,"")</f>
        <v>21</v>
      </c>
    </row>
    <row r="1652" customFormat="false" ht="15" hidden="false" customHeight="true" outlineLevel="0" collapsed="false">
      <c r="A1652" s="39" t="s">
        <v>387</v>
      </c>
      <c r="B1652" s="39" t="s">
        <v>188</v>
      </c>
      <c r="C1652" s="39" t="n">
        <v>0.1</v>
      </c>
      <c r="D1652" s="40" t="str">
        <f aca="false">IFERROR(INDEX(المكونات!$B$2:$B$500,MATCH($B1652,المكونات!$A$2:$A$500,0)),"")</f>
        <v>كجم</v>
      </c>
      <c r="E1652" s="41" t="n">
        <f aca="false">IFERROR(INDEX(المكونات!$C$2:$C$500,MATCH($B1652,المكونات!$A$2:$A$500,0)),"")</f>
        <v>70</v>
      </c>
      <c r="F1652" s="42" t="n">
        <f aca="false">IFERROR($C1652*$E1652,"")</f>
        <v>7</v>
      </c>
    </row>
    <row r="1653" customFormat="false" ht="15" hidden="false" customHeight="true" outlineLevel="0" collapsed="false">
      <c r="A1653" s="39" t="s">
        <v>388</v>
      </c>
      <c r="B1653" s="39" t="s">
        <v>188</v>
      </c>
      <c r="C1653" s="39" t="n">
        <v>0.15</v>
      </c>
      <c r="D1653" s="40" t="str">
        <f aca="false">IFERROR(INDEX(المكونات!$B$2:$B$500,MATCH($B1653,المكونات!$A$2:$A$500,0)),"")</f>
        <v>كجم</v>
      </c>
      <c r="E1653" s="41" t="n">
        <f aca="false">IFERROR(INDEX(المكونات!$C$2:$C$500,MATCH($B1653,المكونات!$A$2:$A$500,0)),"")</f>
        <v>70</v>
      </c>
      <c r="F1653" s="42" t="n">
        <f aca="false">IFERROR($C1653*$E1653,"")</f>
        <v>10.5</v>
      </c>
    </row>
    <row r="1654" customFormat="false" ht="15" hidden="false" customHeight="true" outlineLevel="0" collapsed="false">
      <c r="A1654" s="21"/>
      <c r="B1654" s="21"/>
      <c r="C1654" s="21"/>
      <c r="D1654" s="43" t="str">
        <f aca="false">IFERROR(INDEX(المكونات!$B$2:$B$500,MATCH($B1654,المكونات!$A$2:$A$500,0)),"")</f>
        <v/>
      </c>
      <c r="E1654" s="44" t="str">
        <f aca="false">IFERROR(INDEX(المكونات!$C$2:$C$500,MATCH($B1654,المكونات!$A$2:$A$500,0)),"")</f>
        <v/>
      </c>
      <c r="F1654" s="13" t="str">
        <f aca="false">IFERROR($C1654*$E1654,"")</f>
        <v/>
      </c>
    </row>
    <row r="1655" customFormat="false" ht="15" hidden="false" customHeight="true" outlineLevel="0" collapsed="false">
      <c r="A1655" s="21"/>
      <c r="B1655" s="21"/>
      <c r="C1655" s="21"/>
      <c r="D1655" s="43" t="str">
        <f aca="false">IFERROR(INDEX(المكونات!$B$2:$B$500,MATCH($B1655,المكونات!$A$2:$A$500,0)),"")</f>
        <v/>
      </c>
      <c r="E1655" s="44" t="str">
        <f aca="false">IFERROR(INDEX(المكونات!$C$2:$C$500,MATCH($B1655,المكونات!$A$2:$A$500,0)),"")</f>
        <v/>
      </c>
      <c r="F1655" s="13" t="str">
        <f aca="false">IFERROR($C1655*$E1655,"")</f>
        <v/>
      </c>
    </row>
    <row r="1656" customFormat="false" ht="15" hidden="false" customHeight="true" outlineLevel="0" collapsed="false">
      <c r="A1656" s="21"/>
      <c r="B1656" s="21"/>
      <c r="C1656" s="21"/>
      <c r="D1656" s="43" t="str">
        <f aca="false">IFERROR(INDEX(المكونات!$B$2:$B$500,MATCH($B1656,المكونات!$A$2:$A$500,0)),"")</f>
        <v/>
      </c>
      <c r="E1656" s="44" t="str">
        <f aca="false">IFERROR(INDEX(المكونات!$C$2:$C$500,MATCH($B1656,المكونات!$A$2:$A$500,0)),"")</f>
        <v/>
      </c>
      <c r="F1656" s="13" t="str">
        <f aca="false">IFERROR($C1656*$E1656,"")</f>
        <v/>
      </c>
    </row>
    <row r="1657" customFormat="false" ht="15" hidden="false" customHeight="true" outlineLevel="0" collapsed="false">
      <c r="A1657" s="21"/>
      <c r="B1657" s="21"/>
      <c r="C1657" s="21"/>
      <c r="D1657" s="43" t="str">
        <f aca="false">IFERROR(INDEX(المكونات!$B$2:$B$500,MATCH($B1657,المكونات!$A$2:$A$500,0)),"")</f>
        <v/>
      </c>
      <c r="E1657" s="44" t="str">
        <f aca="false">IFERROR(INDEX(المكونات!$C$2:$C$500,MATCH($B1657,المكونات!$A$2:$A$500,0)),"")</f>
        <v/>
      </c>
      <c r="F1657" s="13" t="str">
        <f aca="false">IFERROR($C1657*$E1657,"")</f>
        <v/>
      </c>
    </row>
    <row r="1658" customFormat="false" ht="15" hidden="false" customHeight="true" outlineLevel="0" collapsed="false">
      <c r="A1658" s="21"/>
      <c r="B1658" s="21"/>
      <c r="C1658" s="21"/>
      <c r="D1658" s="43" t="str">
        <f aca="false">IFERROR(INDEX(المكونات!$B$2:$B$500,MATCH($B1658,المكونات!$A$2:$A$500,0)),"")</f>
        <v/>
      </c>
      <c r="E1658" s="44" t="str">
        <f aca="false">IFERROR(INDEX(المكونات!$C$2:$C$500,MATCH($B1658,المكونات!$A$2:$A$500,0)),"")</f>
        <v/>
      </c>
      <c r="F1658" s="13" t="str">
        <f aca="false">IFERROR($C1658*$E1658,"")</f>
        <v/>
      </c>
    </row>
    <row r="1659" customFormat="false" ht="15" hidden="false" customHeight="true" outlineLevel="0" collapsed="false">
      <c r="A1659" s="21"/>
      <c r="B1659" s="21"/>
      <c r="C1659" s="21"/>
      <c r="D1659" s="43" t="str">
        <f aca="false">IFERROR(INDEX(المكونات!$B$2:$B$500,MATCH($B1659,المكونات!$A$2:$A$500,0)),"")</f>
        <v/>
      </c>
      <c r="E1659" s="44" t="str">
        <f aca="false">IFERROR(INDEX(المكونات!$C$2:$C$500,MATCH($B1659,المكونات!$A$2:$A$500,0)),"")</f>
        <v/>
      </c>
      <c r="F1659" s="13" t="str">
        <f aca="false">IFERROR($C1659*$E1659,"")</f>
        <v/>
      </c>
    </row>
    <row r="1660" customFormat="false" ht="15" hidden="false" customHeight="true" outlineLevel="0" collapsed="false">
      <c r="A1660" s="21"/>
      <c r="B1660" s="21"/>
      <c r="C1660" s="21"/>
      <c r="D1660" s="43" t="str">
        <f aca="false">IFERROR(INDEX(المكونات!$B$2:$B$500,MATCH($B1660,المكونات!$A$2:$A$500,0)),"")</f>
        <v/>
      </c>
      <c r="E1660" s="44" t="str">
        <f aca="false">IFERROR(INDEX(المكونات!$C$2:$C$500,MATCH($B1660,المكونات!$A$2:$A$500,0)),"")</f>
        <v/>
      </c>
      <c r="F1660" s="13" t="str">
        <f aca="false">IFERROR($C1660*$E1660,"")</f>
        <v/>
      </c>
    </row>
    <row r="1661" customFormat="false" ht="15" hidden="false" customHeight="true" outlineLevel="0" collapsed="false">
      <c r="A1661" s="21"/>
      <c r="B1661" s="21"/>
      <c r="C1661" s="21"/>
      <c r="D1661" s="43" t="str">
        <f aca="false">IFERROR(INDEX(المكونات!$B$2:$B$500,MATCH($B1661,المكونات!$A$2:$A$500,0)),"")</f>
        <v/>
      </c>
      <c r="E1661" s="44" t="str">
        <f aca="false">IFERROR(INDEX(المكونات!$C$2:$C$500,MATCH($B1661,المكونات!$A$2:$A$500,0)),"")</f>
        <v/>
      </c>
      <c r="F1661" s="13" t="str">
        <f aca="false">IFERROR($C1661*$E1661,"")</f>
        <v/>
      </c>
    </row>
    <row r="1662" customFormat="false" ht="15" hidden="false" customHeight="true" outlineLevel="0" collapsed="false">
      <c r="A1662" s="21"/>
      <c r="B1662" s="21"/>
      <c r="C1662" s="21"/>
      <c r="D1662" s="43" t="str">
        <f aca="false">IFERROR(INDEX(المكونات!$B$2:$B$500,MATCH($B1662,المكونات!$A$2:$A$500,0)),"")</f>
        <v/>
      </c>
      <c r="E1662" s="44" t="str">
        <f aca="false">IFERROR(INDEX(المكونات!$C$2:$C$500,MATCH($B1662,المكونات!$A$2:$A$500,0)),"")</f>
        <v/>
      </c>
      <c r="F1662" s="13" t="str">
        <f aca="false">IFERROR($C1662*$E1662,"")</f>
        <v/>
      </c>
    </row>
    <row r="1663" customFormat="false" ht="15" hidden="false" customHeight="true" outlineLevel="0" collapsed="false">
      <c r="A1663" s="21"/>
      <c r="B1663" s="21"/>
      <c r="C1663" s="21"/>
      <c r="D1663" s="43" t="str">
        <f aca="false">IFERROR(INDEX(المكونات!$B$2:$B$500,MATCH($B1663,المكونات!$A$2:$A$500,0)),"")</f>
        <v/>
      </c>
      <c r="E1663" s="44" t="str">
        <f aca="false">IFERROR(INDEX(المكونات!$C$2:$C$500,MATCH($B1663,المكونات!$A$2:$A$500,0)),"")</f>
        <v/>
      </c>
      <c r="F1663" s="13" t="str">
        <f aca="false">IFERROR($C1663*$E1663,"")</f>
        <v/>
      </c>
    </row>
    <row r="1664" customFormat="false" ht="15" hidden="false" customHeight="true" outlineLevel="0" collapsed="false">
      <c r="A1664" s="21"/>
      <c r="B1664" s="21"/>
      <c r="C1664" s="21"/>
      <c r="D1664" s="43" t="str">
        <f aca="false">IFERROR(INDEX(المكونات!$B$2:$B$500,MATCH($B1664,المكونات!$A$2:$A$500,0)),"")</f>
        <v/>
      </c>
      <c r="E1664" s="44" t="str">
        <f aca="false">IFERROR(INDEX(المكونات!$C$2:$C$500,MATCH($B1664,المكونات!$A$2:$A$500,0)),"")</f>
        <v/>
      </c>
      <c r="F1664" s="13" t="str">
        <f aca="false">IFERROR($C1664*$E1664,"")</f>
        <v/>
      </c>
    </row>
    <row r="1665" customFormat="false" ht="15" hidden="false" customHeight="true" outlineLevel="0" collapsed="false">
      <c r="A1665" s="21"/>
      <c r="B1665" s="21"/>
      <c r="C1665" s="21"/>
      <c r="D1665" s="43" t="str">
        <f aca="false">IFERROR(INDEX(المكونات!$B$2:$B$500,MATCH($B1665,المكونات!$A$2:$A$500,0)),"")</f>
        <v/>
      </c>
      <c r="E1665" s="44" t="str">
        <f aca="false">IFERROR(INDEX(المكونات!$C$2:$C$500,MATCH($B1665,المكونات!$A$2:$A$500,0)),"")</f>
        <v/>
      </c>
      <c r="F1665" s="13" t="str">
        <f aca="false">IFERROR($C1665*$E1665,"")</f>
        <v/>
      </c>
    </row>
    <row r="1666" customFormat="false" ht="15" hidden="false" customHeight="true" outlineLevel="0" collapsed="false">
      <c r="A1666" s="21"/>
      <c r="B1666" s="21"/>
      <c r="C1666" s="21"/>
      <c r="D1666" s="43" t="str">
        <f aca="false">IFERROR(INDEX(المكونات!$B$2:$B$500,MATCH($B1666,المكونات!$A$2:$A$500,0)),"")</f>
        <v/>
      </c>
      <c r="E1666" s="44" t="str">
        <f aca="false">IFERROR(INDEX(المكونات!$C$2:$C$500,MATCH($B1666,المكونات!$A$2:$A$500,0)),"")</f>
        <v/>
      </c>
      <c r="F1666" s="13" t="str">
        <f aca="false">IFERROR($C1666*$E1666,"")</f>
        <v/>
      </c>
    </row>
    <row r="1667" customFormat="false" ht="15" hidden="false" customHeight="true" outlineLevel="0" collapsed="false">
      <c r="A1667" s="21"/>
      <c r="B1667" s="21"/>
      <c r="C1667" s="21"/>
      <c r="D1667" s="43" t="str">
        <f aca="false">IFERROR(INDEX(المكونات!$B$2:$B$500,MATCH($B1667,المكونات!$A$2:$A$500,0)),"")</f>
        <v/>
      </c>
      <c r="E1667" s="44" t="str">
        <f aca="false">IFERROR(INDEX(المكونات!$C$2:$C$500,MATCH($B1667,المكونات!$A$2:$A$500,0)),"")</f>
        <v/>
      </c>
      <c r="F1667" s="13" t="str">
        <f aca="false">IFERROR($C1667*$E1667,"")</f>
        <v/>
      </c>
    </row>
    <row r="1668" customFormat="false" ht="15" hidden="false" customHeight="true" outlineLevel="0" collapsed="false">
      <c r="A1668" s="21"/>
      <c r="B1668" s="21"/>
      <c r="C1668" s="21"/>
      <c r="D1668" s="43" t="str">
        <f aca="false">IFERROR(INDEX(المكونات!$B$2:$B$500,MATCH($B1668,المكونات!$A$2:$A$500,0)),"")</f>
        <v/>
      </c>
      <c r="E1668" s="44" t="str">
        <f aca="false">IFERROR(INDEX(المكونات!$C$2:$C$500,MATCH($B1668,المكونات!$A$2:$A$500,0)),"")</f>
        <v/>
      </c>
      <c r="F1668" s="13" t="str">
        <f aca="false">IFERROR($C1668*$E1668,"")</f>
        <v/>
      </c>
    </row>
    <row r="1669" customFormat="false" ht="15" hidden="false" customHeight="true" outlineLevel="0" collapsed="false">
      <c r="A1669" s="21"/>
      <c r="B1669" s="21"/>
      <c r="C1669" s="21"/>
      <c r="D1669" s="43" t="str">
        <f aca="false">IFERROR(INDEX(المكونات!$B$2:$B$500,MATCH($B1669,المكونات!$A$2:$A$500,0)),"")</f>
        <v/>
      </c>
      <c r="E1669" s="44" t="str">
        <f aca="false">IFERROR(INDEX(المكونات!$C$2:$C$500,MATCH($B1669,المكونات!$A$2:$A$500,0)),"")</f>
        <v/>
      </c>
      <c r="F1669" s="13" t="str">
        <f aca="false">IFERROR($C1669*$E1669,"")</f>
        <v/>
      </c>
    </row>
    <row r="1670" customFormat="false" ht="15" hidden="false" customHeight="true" outlineLevel="0" collapsed="false">
      <c r="A1670" s="21"/>
      <c r="B1670" s="21"/>
      <c r="C1670" s="21"/>
      <c r="D1670" s="43" t="str">
        <f aca="false">IFERROR(INDEX(المكونات!$B$2:$B$500,MATCH($B1670,المكونات!$A$2:$A$500,0)),"")</f>
        <v/>
      </c>
      <c r="E1670" s="44" t="str">
        <f aca="false">IFERROR(INDEX(المكونات!$C$2:$C$500,MATCH($B1670,المكونات!$A$2:$A$500,0)),"")</f>
        <v/>
      </c>
      <c r="F1670" s="13" t="str">
        <f aca="false">IFERROR($C1670*$E1670,"")</f>
        <v/>
      </c>
    </row>
    <row r="1671" customFormat="false" ht="15" hidden="false" customHeight="true" outlineLevel="0" collapsed="false">
      <c r="A1671" s="21"/>
      <c r="B1671" s="21"/>
      <c r="C1671" s="21"/>
      <c r="D1671" s="43" t="str">
        <f aca="false">IFERROR(INDEX(المكونات!$B$2:$B$500,MATCH($B1671,المكونات!$A$2:$A$500,0)),"")</f>
        <v/>
      </c>
      <c r="E1671" s="44" t="str">
        <f aca="false">IFERROR(INDEX(المكونات!$C$2:$C$500,MATCH($B1671,المكونات!$A$2:$A$500,0)),"")</f>
        <v/>
      </c>
      <c r="F1671" s="13" t="str">
        <f aca="false">IFERROR($C1671*$E1671,"")</f>
        <v/>
      </c>
    </row>
    <row r="1672" customFormat="false" ht="15" hidden="false" customHeight="true" outlineLevel="0" collapsed="false">
      <c r="A1672" s="21"/>
      <c r="B1672" s="21"/>
      <c r="C1672" s="21"/>
      <c r="D1672" s="43" t="str">
        <f aca="false">IFERROR(INDEX(المكونات!$B$2:$B$500,MATCH($B1672,المكونات!$A$2:$A$500,0)),"")</f>
        <v/>
      </c>
      <c r="E1672" s="44" t="str">
        <f aca="false">IFERROR(INDEX(المكونات!$C$2:$C$500,MATCH($B1672,المكونات!$A$2:$A$500,0)),"")</f>
        <v/>
      </c>
      <c r="F1672" s="13" t="str">
        <f aca="false">IFERROR($C1672*$E1672,"")</f>
        <v/>
      </c>
    </row>
    <row r="1673" customFormat="false" ht="15" hidden="false" customHeight="true" outlineLevel="0" collapsed="false">
      <c r="A1673" s="21"/>
      <c r="B1673" s="21"/>
      <c r="C1673" s="21"/>
      <c r="D1673" s="43" t="str">
        <f aca="false">IFERROR(INDEX(المكونات!$B$2:$B$500,MATCH($B1673,المكونات!$A$2:$A$500,0)),"")</f>
        <v/>
      </c>
      <c r="E1673" s="44" t="str">
        <f aca="false">IFERROR(INDEX(المكونات!$C$2:$C$500,MATCH($B1673,المكونات!$A$2:$A$500,0)),"")</f>
        <v/>
      </c>
      <c r="F1673" s="13" t="str">
        <f aca="false">IFERROR($C1673*$E1673,"")</f>
        <v/>
      </c>
    </row>
    <row r="1674" customFormat="false" ht="15" hidden="false" customHeight="true" outlineLevel="0" collapsed="false">
      <c r="A1674" s="21"/>
      <c r="B1674" s="21"/>
      <c r="C1674" s="21"/>
      <c r="D1674" s="43" t="str">
        <f aca="false">IFERROR(INDEX(المكونات!$B$2:$B$500,MATCH($B1674,المكونات!$A$2:$A$500,0)),"")</f>
        <v/>
      </c>
      <c r="E1674" s="44" t="str">
        <f aca="false">IFERROR(INDEX(المكونات!$C$2:$C$500,MATCH($B1674,المكونات!$A$2:$A$500,0)),"")</f>
        <v/>
      </c>
      <c r="F1674" s="13" t="str">
        <f aca="false">IFERROR($C1674*$E1674,"")</f>
        <v/>
      </c>
    </row>
    <row r="1675" customFormat="false" ht="15" hidden="false" customHeight="true" outlineLevel="0" collapsed="false">
      <c r="A1675" s="21"/>
      <c r="B1675" s="21"/>
      <c r="C1675" s="21"/>
      <c r="D1675" s="43" t="str">
        <f aca="false">IFERROR(INDEX(المكونات!$B$2:$B$500,MATCH($B1675,المكونات!$A$2:$A$500,0)),"")</f>
        <v/>
      </c>
      <c r="E1675" s="44" t="str">
        <f aca="false">IFERROR(INDEX(المكونات!$C$2:$C$500,MATCH($B1675,المكونات!$A$2:$A$500,0)),"")</f>
        <v/>
      </c>
      <c r="F1675" s="13" t="str">
        <f aca="false">IFERROR($C1675*$E1675,"")</f>
        <v/>
      </c>
    </row>
    <row r="1676" customFormat="false" ht="15" hidden="false" customHeight="true" outlineLevel="0" collapsed="false">
      <c r="A1676" s="21"/>
      <c r="B1676" s="21"/>
      <c r="C1676" s="21"/>
      <c r="D1676" s="43" t="str">
        <f aca="false">IFERROR(INDEX(المكونات!$B$2:$B$500,MATCH($B1676,المكونات!$A$2:$A$500,0)),"")</f>
        <v/>
      </c>
      <c r="E1676" s="44" t="str">
        <f aca="false">IFERROR(INDEX(المكونات!$C$2:$C$500,MATCH($B1676,المكونات!$A$2:$A$500,0)),"")</f>
        <v/>
      </c>
      <c r="F1676" s="13" t="str">
        <f aca="false">IFERROR($C1676*$E1676,"")</f>
        <v/>
      </c>
    </row>
    <row r="1677" customFormat="false" ht="15" hidden="false" customHeight="true" outlineLevel="0" collapsed="false">
      <c r="A1677" s="21"/>
      <c r="B1677" s="21"/>
      <c r="C1677" s="21"/>
      <c r="D1677" s="43" t="str">
        <f aca="false">IFERROR(INDEX(المكونات!$B$2:$B$500,MATCH($B1677,المكونات!$A$2:$A$500,0)),"")</f>
        <v/>
      </c>
      <c r="E1677" s="44" t="str">
        <f aca="false">IFERROR(INDEX(المكونات!$C$2:$C$500,MATCH($B1677,المكونات!$A$2:$A$500,0)),"")</f>
        <v/>
      </c>
      <c r="F1677" s="13" t="str">
        <f aca="false">IFERROR($C1677*$E1677,"")</f>
        <v/>
      </c>
    </row>
    <row r="1678" customFormat="false" ht="15" hidden="false" customHeight="true" outlineLevel="0" collapsed="false">
      <c r="A1678" s="21"/>
      <c r="B1678" s="21"/>
      <c r="C1678" s="21"/>
      <c r="D1678" s="43" t="str">
        <f aca="false">IFERROR(INDEX(المكونات!$B$2:$B$500,MATCH($B1678,المكونات!$A$2:$A$500,0)),"")</f>
        <v/>
      </c>
      <c r="E1678" s="44" t="str">
        <f aca="false">IFERROR(INDEX(المكونات!$C$2:$C$500,MATCH($B1678,المكونات!$A$2:$A$500,0)),"")</f>
        <v/>
      </c>
      <c r="F1678" s="13" t="str">
        <f aca="false">IFERROR($C1678*$E1678,"")</f>
        <v/>
      </c>
    </row>
    <row r="1679" customFormat="false" ht="15" hidden="false" customHeight="true" outlineLevel="0" collapsed="false">
      <c r="A1679" s="21"/>
      <c r="B1679" s="21"/>
      <c r="C1679" s="21"/>
      <c r="D1679" s="43" t="str">
        <f aca="false">IFERROR(INDEX(المكونات!$B$2:$B$500,MATCH($B1679,المكونات!$A$2:$A$500,0)),"")</f>
        <v/>
      </c>
      <c r="E1679" s="44" t="str">
        <f aca="false">IFERROR(INDEX(المكونات!$C$2:$C$500,MATCH($B1679,المكونات!$A$2:$A$500,0)),"")</f>
        <v/>
      </c>
      <c r="F1679" s="13" t="str">
        <f aca="false">IFERROR($C1679*$E1679,"")</f>
        <v/>
      </c>
    </row>
    <row r="1680" customFormat="false" ht="15" hidden="false" customHeight="true" outlineLevel="0" collapsed="false">
      <c r="A1680" s="21"/>
      <c r="B1680" s="21"/>
      <c r="C1680" s="21"/>
      <c r="D1680" s="43" t="str">
        <f aca="false">IFERROR(INDEX(المكونات!$B$2:$B$500,MATCH($B1680,المكونات!$A$2:$A$500,0)),"")</f>
        <v/>
      </c>
      <c r="E1680" s="44" t="str">
        <f aca="false">IFERROR(INDEX(المكونات!$C$2:$C$500,MATCH($B1680,المكونات!$A$2:$A$500,0)),"")</f>
        <v/>
      </c>
      <c r="F1680" s="13" t="str">
        <f aca="false">IFERROR($C1680*$E1680,"")</f>
        <v/>
      </c>
    </row>
    <row r="1681" customFormat="false" ht="15" hidden="false" customHeight="true" outlineLevel="0" collapsed="false">
      <c r="A1681" s="21"/>
      <c r="B1681" s="21"/>
      <c r="C1681" s="21"/>
      <c r="D1681" s="43" t="str">
        <f aca="false">IFERROR(INDEX(المكونات!$B$2:$B$500,MATCH($B1681,المكونات!$A$2:$A$500,0)),"")</f>
        <v/>
      </c>
      <c r="E1681" s="44" t="str">
        <f aca="false">IFERROR(INDEX(المكونات!$C$2:$C$500,MATCH($B1681,المكونات!$A$2:$A$500,0)),"")</f>
        <v/>
      </c>
      <c r="F1681" s="13" t="str">
        <f aca="false">IFERROR($C1681*$E1681,"")</f>
        <v/>
      </c>
    </row>
    <row r="1682" customFormat="false" ht="15" hidden="false" customHeight="true" outlineLevel="0" collapsed="false">
      <c r="A1682" s="21"/>
      <c r="B1682" s="21"/>
      <c r="C1682" s="21"/>
      <c r="D1682" s="43" t="str">
        <f aca="false">IFERROR(INDEX(المكونات!$B$2:$B$500,MATCH($B1682,المكونات!$A$2:$A$500,0)),"")</f>
        <v/>
      </c>
      <c r="E1682" s="44" t="str">
        <f aca="false">IFERROR(INDEX(المكونات!$C$2:$C$500,MATCH($B1682,المكونات!$A$2:$A$500,0)),"")</f>
        <v/>
      </c>
      <c r="F1682" s="13" t="str">
        <f aca="false">IFERROR($C1682*$E1682,"")</f>
        <v/>
      </c>
    </row>
    <row r="1683" customFormat="false" ht="15" hidden="false" customHeight="true" outlineLevel="0" collapsed="false">
      <c r="A1683" s="21"/>
      <c r="B1683" s="21"/>
      <c r="C1683" s="21"/>
      <c r="D1683" s="43" t="str">
        <f aca="false">IFERROR(INDEX(المكونات!$B$2:$B$500,MATCH($B1683,المكونات!$A$2:$A$500,0)),"")</f>
        <v/>
      </c>
      <c r="E1683" s="44" t="str">
        <f aca="false">IFERROR(INDEX(المكونات!$C$2:$C$500,MATCH($B1683,المكونات!$A$2:$A$500,0)),"")</f>
        <v/>
      </c>
      <c r="F1683" s="13" t="str">
        <f aca="false">IFERROR($C1683*$E1683,"")</f>
        <v/>
      </c>
    </row>
    <row r="1684" customFormat="false" ht="15" hidden="false" customHeight="true" outlineLevel="0" collapsed="false">
      <c r="A1684" s="21"/>
      <c r="B1684" s="21"/>
      <c r="C1684" s="21"/>
      <c r="D1684" s="43" t="str">
        <f aca="false">IFERROR(INDEX(المكونات!$B$2:$B$500,MATCH($B1684,المكونات!$A$2:$A$500,0)),"")</f>
        <v/>
      </c>
      <c r="E1684" s="44" t="str">
        <f aca="false">IFERROR(INDEX(المكونات!$C$2:$C$500,MATCH($B1684,المكونات!$A$2:$A$500,0)),"")</f>
        <v/>
      </c>
      <c r="F1684" s="13" t="str">
        <f aca="false">IFERROR($C1684*$E1684,"")</f>
        <v/>
      </c>
    </row>
    <row r="1685" customFormat="false" ht="15" hidden="false" customHeight="true" outlineLevel="0" collapsed="false">
      <c r="A1685" s="21"/>
      <c r="B1685" s="21"/>
      <c r="C1685" s="21"/>
      <c r="D1685" s="43" t="str">
        <f aca="false">IFERROR(INDEX(المكونات!$B$2:$B$500,MATCH($B1685,المكونات!$A$2:$A$500,0)),"")</f>
        <v/>
      </c>
      <c r="E1685" s="44" t="str">
        <f aca="false">IFERROR(INDEX(المكونات!$C$2:$C$500,MATCH($B1685,المكونات!$A$2:$A$500,0)),"")</f>
        <v/>
      </c>
      <c r="F1685" s="13" t="str">
        <f aca="false">IFERROR($C1685*$E1685,"")</f>
        <v/>
      </c>
    </row>
    <row r="1686" customFormat="false" ht="15" hidden="false" customHeight="true" outlineLevel="0" collapsed="false">
      <c r="A1686" s="21"/>
      <c r="B1686" s="21"/>
      <c r="C1686" s="21"/>
      <c r="D1686" s="43" t="str">
        <f aca="false">IFERROR(INDEX(المكونات!$B$2:$B$500,MATCH($B1686,المكونات!$A$2:$A$500,0)),"")</f>
        <v/>
      </c>
      <c r="E1686" s="44" t="str">
        <f aca="false">IFERROR(INDEX(المكونات!$C$2:$C$500,MATCH($B1686,المكونات!$A$2:$A$500,0)),"")</f>
        <v/>
      </c>
      <c r="F1686" s="13" t="str">
        <f aca="false">IFERROR($C1686*$E1686,"")</f>
        <v/>
      </c>
    </row>
    <row r="1687" customFormat="false" ht="15" hidden="false" customHeight="true" outlineLevel="0" collapsed="false">
      <c r="A1687" s="21"/>
      <c r="B1687" s="21"/>
      <c r="C1687" s="21"/>
      <c r="D1687" s="43" t="str">
        <f aca="false">IFERROR(INDEX(المكونات!$B$2:$B$500,MATCH($B1687,المكونات!$A$2:$A$500,0)),"")</f>
        <v/>
      </c>
      <c r="E1687" s="44" t="str">
        <f aca="false">IFERROR(INDEX(المكونات!$C$2:$C$500,MATCH($B1687,المكونات!$A$2:$A$500,0)),"")</f>
        <v/>
      </c>
      <c r="F1687" s="13" t="str">
        <f aca="false">IFERROR($C1687*$E1687,"")</f>
        <v/>
      </c>
    </row>
    <row r="1688" customFormat="false" ht="15" hidden="false" customHeight="true" outlineLevel="0" collapsed="false">
      <c r="A1688" s="21"/>
      <c r="B1688" s="21"/>
      <c r="C1688" s="21"/>
      <c r="D1688" s="43" t="str">
        <f aca="false">IFERROR(INDEX(المكونات!$B$2:$B$500,MATCH($B1688,المكونات!$A$2:$A$500,0)),"")</f>
        <v/>
      </c>
      <c r="E1688" s="44" t="str">
        <f aca="false">IFERROR(INDEX(المكونات!$C$2:$C$500,MATCH($B1688,المكونات!$A$2:$A$500,0)),"")</f>
        <v/>
      </c>
      <c r="F1688" s="13" t="str">
        <f aca="false">IFERROR($C1688*$E1688,"")</f>
        <v/>
      </c>
    </row>
    <row r="1689" customFormat="false" ht="15" hidden="false" customHeight="true" outlineLevel="0" collapsed="false">
      <c r="A1689" s="21"/>
      <c r="B1689" s="21"/>
      <c r="C1689" s="21"/>
      <c r="D1689" s="43" t="str">
        <f aca="false">IFERROR(INDEX(المكونات!$B$2:$B$500,MATCH($B1689,المكونات!$A$2:$A$500,0)),"")</f>
        <v/>
      </c>
      <c r="E1689" s="44" t="str">
        <f aca="false">IFERROR(INDEX(المكونات!$C$2:$C$500,MATCH($B1689,المكونات!$A$2:$A$500,0)),"")</f>
        <v/>
      </c>
      <c r="F1689" s="13" t="str">
        <f aca="false">IFERROR($C1689*$E1689,"")</f>
        <v/>
      </c>
    </row>
    <row r="1690" customFormat="false" ht="15" hidden="false" customHeight="true" outlineLevel="0" collapsed="false">
      <c r="A1690" s="21"/>
      <c r="B1690" s="21"/>
      <c r="C1690" s="21"/>
      <c r="D1690" s="43" t="str">
        <f aca="false">IFERROR(INDEX(المكونات!$B$2:$B$500,MATCH($B1690,المكونات!$A$2:$A$500,0)),"")</f>
        <v/>
      </c>
      <c r="E1690" s="44" t="str">
        <f aca="false">IFERROR(INDEX(المكونات!$C$2:$C$500,MATCH($B1690,المكونات!$A$2:$A$500,0)),"")</f>
        <v/>
      </c>
      <c r="F1690" s="13" t="str">
        <f aca="false">IFERROR($C1690*$E1690,"")</f>
        <v/>
      </c>
    </row>
    <row r="1691" customFormat="false" ht="15" hidden="false" customHeight="true" outlineLevel="0" collapsed="false">
      <c r="A1691" s="21"/>
      <c r="B1691" s="21"/>
      <c r="C1691" s="21"/>
      <c r="D1691" s="43" t="str">
        <f aca="false">IFERROR(INDEX(المكونات!$B$2:$B$500,MATCH($B1691,المكونات!$A$2:$A$500,0)),"")</f>
        <v/>
      </c>
      <c r="E1691" s="44" t="str">
        <f aca="false">IFERROR(INDEX(المكونات!$C$2:$C$500,MATCH($B1691,المكونات!$A$2:$A$500,0)),"")</f>
        <v/>
      </c>
      <c r="F1691" s="13" t="str">
        <f aca="false">IFERROR($C1691*$E1691,"")</f>
        <v/>
      </c>
    </row>
    <row r="1692" customFormat="false" ht="15" hidden="false" customHeight="true" outlineLevel="0" collapsed="false">
      <c r="A1692" s="21"/>
      <c r="B1692" s="21"/>
      <c r="C1692" s="21"/>
      <c r="D1692" s="43" t="str">
        <f aca="false">IFERROR(INDEX(المكونات!$B$2:$B$500,MATCH($B1692,المكونات!$A$2:$A$500,0)),"")</f>
        <v/>
      </c>
      <c r="E1692" s="44" t="str">
        <f aca="false">IFERROR(INDEX(المكونات!$C$2:$C$500,MATCH($B1692,المكونات!$A$2:$A$500,0)),"")</f>
        <v/>
      </c>
      <c r="F1692" s="13" t="str">
        <f aca="false">IFERROR($C1692*$E1692,"")</f>
        <v/>
      </c>
    </row>
    <row r="1693" customFormat="false" ht="15" hidden="false" customHeight="true" outlineLevel="0" collapsed="false">
      <c r="A1693" s="21"/>
      <c r="B1693" s="21"/>
      <c r="C1693" s="21"/>
      <c r="D1693" s="43" t="str">
        <f aca="false">IFERROR(INDEX(المكونات!$B$2:$B$500,MATCH($B1693,المكونات!$A$2:$A$500,0)),"")</f>
        <v/>
      </c>
      <c r="E1693" s="44" t="str">
        <f aca="false">IFERROR(INDEX(المكونات!$C$2:$C$500,MATCH($B1693,المكونات!$A$2:$A$500,0)),"")</f>
        <v/>
      </c>
      <c r="F1693" s="13" t="str">
        <f aca="false">IFERROR($C1693*$E1693,"")</f>
        <v/>
      </c>
    </row>
    <row r="1694" customFormat="false" ht="15" hidden="false" customHeight="true" outlineLevel="0" collapsed="false">
      <c r="A1694" s="21"/>
      <c r="B1694" s="21"/>
      <c r="C1694" s="21"/>
      <c r="D1694" s="43" t="str">
        <f aca="false">IFERROR(INDEX(المكونات!$B$2:$B$500,MATCH($B1694,المكونات!$A$2:$A$500,0)),"")</f>
        <v/>
      </c>
      <c r="E1694" s="44" t="str">
        <f aca="false">IFERROR(INDEX(المكونات!$C$2:$C$500,MATCH($B1694,المكونات!$A$2:$A$500,0)),"")</f>
        <v/>
      </c>
      <c r="F1694" s="13" t="str">
        <f aca="false">IFERROR($C1694*$E1694,"")</f>
        <v/>
      </c>
    </row>
    <row r="1695" customFormat="false" ht="15" hidden="false" customHeight="true" outlineLevel="0" collapsed="false">
      <c r="A1695" s="21"/>
      <c r="B1695" s="21"/>
      <c r="C1695" s="21"/>
      <c r="D1695" s="43" t="str">
        <f aca="false">IFERROR(INDEX(المكونات!$B$2:$B$500,MATCH($B1695,المكونات!$A$2:$A$500,0)),"")</f>
        <v/>
      </c>
      <c r="E1695" s="44" t="str">
        <f aca="false">IFERROR(INDEX(المكونات!$C$2:$C$500,MATCH($B1695,المكونات!$A$2:$A$500,0)),"")</f>
        <v/>
      </c>
      <c r="F1695" s="13" t="str">
        <f aca="false">IFERROR($C1695*$E1695,"")</f>
        <v/>
      </c>
    </row>
    <row r="1696" customFormat="false" ht="15" hidden="false" customHeight="true" outlineLevel="0" collapsed="false">
      <c r="A1696" s="21"/>
      <c r="B1696" s="21"/>
      <c r="C1696" s="21"/>
      <c r="D1696" s="43" t="str">
        <f aca="false">IFERROR(INDEX(المكونات!$B$2:$B$500,MATCH($B1696,المكونات!$A$2:$A$500,0)),"")</f>
        <v/>
      </c>
      <c r="E1696" s="44" t="str">
        <f aca="false">IFERROR(INDEX(المكونات!$C$2:$C$500,MATCH($B1696,المكونات!$A$2:$A$500,0)),"")</f>
        <v/>
      </c>
      <c r="F1696" s="13" t="str">
        <f aca="false">IFERROR($C1696*$E1696,"")</f>
        <v/>
      </c>
    </row>
    <row r="1697" customFormat="false" ht="15" hidden="false" customHeight="true" outlineLevel="0" collapsed="false">
      <c r="A1697" s="21"/>
      <c r="B1697" s="21"/>
      <c r="C1697" s="21"/>
      <c r="D1697" s="43" t="str">
        <f aca="false">IFERROR(INDEX(المكونات!$B$2:$B$500,MATCH($B1697,المكونات!$A$2:$A$500,0)),"")</f>
        <v/>
      </c>
      <c r="E1697" s="44" t="str">
        <f aca="false">IFERROR(INDEX(المكونات!$C$2:$C$500,MATCH($B1697,المكونات!$A$2:$A$500,0)),"")</f>
        <v/>
      </c>
      <c r="F1697" s="13" t="str">
        <f aca="false">IFERROR($C1697*$E1697,"")</f>
        <v/>
      </c>
    </row>
    <row r="1698" customFormat="false" ht="15" hidden="false" customHeight="true" outlineLevel="0" collapsed="false">
      <c r="A1698" s="21"/>
      <c r="B1698" s="21"/>
      <c r="C1698" s="21"/>
      <c r="D1698" s="43" t="str">
        <f aca="false">IFERROR(INDEX(المكونات!$B$2:$B$500,MATCH($B1698,المكونات!$A$2:$A$500,0)),"")</f>
        <v/>
      </c>
      <c r="E1698" s="44" t="str">
        <f aca="false">IFERROR(INDEX(المكونات!$C$2:$C$500,MATCH($B1698,المكونات!$A$2:$A$500,0)),"")</f>
        <v/>
      </c>
      <c r="F1698" s="13" t="str">
        <f aca="false">IFERROR($C1698*$E1698,"")</f>
        <v/>
      </c>
    </row>
    <row r="1699" customFormat="false" ht="15" hidden="false" customHeight="true" outlineLevel="0" collapsed="false">
      <c r="A1699" s="21"/>
      <c r="B1699" s="21"/>
      <c r="C1699" s="21"/>
      <c r="D1699" s="43" t="str">
        <f aca="false">IFERROR(INDEX(المكونات!$B$2:$B$500,MATCH($B1699,المكونات!$A$2:$A$500,0)),"")</f>
        <v/>
      </c>
      <c r="E1699" s="44" t="str">
        <f aca="false">IFERROR(INDEX(المكونات!$C$2:$C$500,MATCH($B1699,المكونات!$A$2:$A$500,0)),"")</f>
        <v/>
      </c>
      <c r="F1699" s="13" t="str">
        <f aca="false">IFERROR($C1699*$E1699,"")</f>
        <v/>
      </c>
    </row>
    <row r="1700" customFormat="false" ht="15" hidden="false" customHeight="true" outlineLevel="0" collapsed="false">
      <c r="A1700" s="21"/>
      <c r="B1700" s="21"/>
      <c r="C1700" s="21"/>
      <c r="D1700" s="43" t="str">
        <f aca="false">IFERROR(INDEX(المكونات!$B$2:$B$500,MATCH($B1700,المكونات!$A$2:$A$500,0)),"")</f>
        <v/>
      </c>
      <c r="E1700" s="44" t="str">
        <f aca="false">IFERROR(INDEX(المكونات!$C$2:$C$500,MATCH($B1700,المكونات!$A$2:$A$500,0)),"")</f>
        <v/>
      </c>
      <c r="F1700" s="13" t="str">
        <f aca="false">IFERROR($C1700*$E1700,"")</f>
        <v/>
      </c>
    </row>
    <row r="1701" customFormat="false" ht="15" hidden="false" customHeight="true" outlineLevel="0" collapsed="false">
      <c r="A1701" s="21"/>
      <c r="B1701" s="21"/>
      <c r="C1701" s="21"/>
      <c r="D1701" s="43" t="str">
        <f aca="false">IFERROR(INDEX(المكونات!$B$2:$B$500,MATCH($B1701,المكونات!$A$2:$A$500,0)),"")</f>
        <v/>
      </c>
      <c r="E1701" s="44" t="str">
        <f aca="false">IFERROR(INDEX(المكونات!$C$2:$C$500,MATCH($B1701,المكونات!$A$2:$A$500,0)),"")</f>
        <v/>
      </c>
      <c r="F1701" s="13" t="str">
        <f aca="false">IFERROR($C1701*$E1701,"")</f>
        <v/>
      </c>
    </row>
    <row r="1702" customFormat="false" ht="15" hidden="false" customHeight="true" outlineLevel="0" collapsed="false">
      <c r="A1702" s="21"/>
      <c r="B1702" s="21"/>
      <c r="C1702" s="21"/>
      <c r="D1702" s="43" t="str">
        <f aca="false">IFERROR(INDEX(المكونات!$B$2:$B$500,MATCH($B1702,المكونات!$A$2:$A$500,0)),"")</f>
        <v/>
      </c>
      <c r="E1702" s="44" t="str">
        <f aca="false">IFERROR(INDEX(المكونات!$C$2:$C$500,MATCH($B1702,المكونات!$A$2:$A$500,0)),"")</f>
        <v/>
      </c>
      <c r="F1702" s="13" t="str">
        <f aca="false">IFERROR($C1702*$E1702,"")</f>
        <v/>
      </c>
    </row>
    <row r="1703" customFormat="false" ht="15" hidden="false" customHeight="true" outlineLevel="0" collapsed="false">
      <c r="A1703" s="21"/>
      <c r="B1703" s="21"/>
      <c r="C1703" s="21"/>
      <c r="D1703" s="43" t="str">
        <f aca="false">IFERROR(INDEX(المكونات!$B$2:$B$500,MATCH($B1703,المكونات!$A$2:$A$500,0)),"")</f>
        <v/>
      </c>
      <c r="E1703" s="44" t="str">
        <f aca="false">IFERROR(INDEX(المكونات!$C$2:$C$500,MATCH($B1703,المكونات!$A$2:$A$500,0)),"")</f>
        <v/>
      </c>
      <c r="F1703" s="13" t="str">
        <f aca="false">IFERROR($C1703*$E1703,"")</f>
        <v/>
      </c>
    </row>
    <row r="1704" customFormat="false" ht="15" hidden="false" customHeight="true" outlineLevel="0" collapsed="false">
      <c r="A1704" s="21"/>
      <c r="B1704" s="21"/>
      <c r="C1704" s="21"/>
      <c r="D1704" s="43" t="str">
        <f aca="false">IFERROR(INDEX(المكونات!$B$2:$B$500,MATCH($B1704,المكونات!$A$2:$A$500,0)),"")</f>
        <v/>
      </c>
      <c r="E1704" s="44" t="str">
        <f aca="false">IFERROR(INDEX(المكونات!$C$2:$C$500,MATCH($B1704,المكونات!$A$2:$A$500,0)),"")</f>
        <v/>
      </c>
      <c r="F1704" s="13" t="str">
        <f aca="false">IFERROR($C1704*$E1704,"")</f>
        <v/>
      </c>
    </row>
    <row r="1705" customFormat="false" ht="15" hidden="false" customHeight="true" outlineLevel="0" collapsed="false">
      <c r="A1705" s="21"/>
      <c r="B1705" s="21"/>
      <c r="C1705" s="21"/>
      <c r="D1705" s="43" t="str">
        <f aca="false">IFERROR(INDEX(المكونات!$B$2:$B$500,MATCH($B1705,المكونات!$A$2:$A$500,0)),"")</f>
        <v/>
      </c>
      <c r="E1705" s="44" t="str">
        <f aca="false">IFERROR(INDEX(المكونات!$C$2:$C$500,MATCH($B1705,المكونات!$A$2:$A$500,0)),"")</f>
        <v/>
      </c>
      <c r="F1705" s="13" t="str">
        <f aca="false">IFERROR($C1705*$E1705,"")</f>
        <v/>
      </c>
    </row>
    <row r="1706" customFormat="false" ht="15" hidden="false" customHeight="true" outlineLevel="0" collapsed="false">
      <c r="A1706" s="21"/>
      <c r="B1706" s="21"/>
      <c r="C1706" s="21"/>
      <c r="D1706" s="43" t="str">
        <f aca="false">IFERROR(INDEX(المكونات!$B$2:$B$500,MATCH($B1706,المكونات!$A$2:$A$500,0)),"")</f>
        <v/>
      </c>
      <c r="E1706" s="44" t="str">
        <f aca="false">IFERROR(INDEX(المكونات!$C$2:$C$500,MATCH($B1706,المكونات!$A$2:$A$500,0)),"")</f>
        <v/>
      </c>
      <c r="F1706" s="13" t="str">
        <f aca="false">IFERROR($C1706*$E1706,"")</f>
        <v/>
      </c>
    </row>
    <row r="1707" customFormat="false" ht="15" hidden="false" customHeight="true" outlineLevel="0" collapsed="false">
      <c r="A1707" s="21"/>
      <c r="B1707" s="21"/>
      <c r="C1707" s="21"/>
      <c r="D1707" s="43" t="str">
        <f aca="false">IFERROR(INDEX(المكونات!$B$2:$B$500,MATCH($B1707,المكونات!$A$2:$A$500,0)),"")</f>
        <v/>
      </c>
      <c r="E1707" s="44" t="str">
        <f aca="false">IFERROR(INDEX(المكونات!$C$2:$C$500,MATCH($B1707,المكونات!$A$2:$A$500,0)),"")</f>
        <v/>
      </c>
      <c r="F1707" s="13" t="str">
        <f aca="false">IFERROR($C1707*$E1707,"")</f>
        <v/>
      </c>
    </row>
    <row r="1708" customFormat="false" ht="15" hidden="false" customHeight="true" outlineLevel="0" collapsed="false">
      <c r="A1708" s="21"/>
      <c r="B1708" s="21"/>
      <c r="C1708" s="21"/>
      <c r="D1708" s="43" t="str">
        <f aca="false">IFERROR(INDEX(المكونات!$B$2:$B$500,MATCH($B1708,المكونات!$A$2:$A$500,0)),"")</f>
        <v/>
      </c>
      <c r="E1708" s="44" t="str">
        <f aca="false">IFERROR(INDEX(المكونات!$C$2:$C$500,MATCH($B1708,المكونات!$A$2:$A$500,0)),"")</f>
        <v/>
      </c>
      <c r="F1708" s="13" t="str">
        <f aca="false">IFERROR($C1708*$E1708,"")</f>
        <v/>
      </c>
    </row>
    <row r="1709" customFormat="false" ht="15" hidden="false" customHeight="true" outlineLevel="0" collapsed="false">
      <c r="A1709" s="21"/>
      <c r="B1709" s="21"/>
      <c r="C1709" s="21"/>
      <c r="D1709" s="43" t="str">
        <f aca="false">IFERROR(INDEX(المكونات!$B$2:$B$500,MATCH($B1709,المكونات!$A$2:$A$500,0)),"")</f>
        <v/>
      </c>
      <c r="E1709" s="44" t="str">
        <f aca="false">IFERROR(INDEX(المكونات!$C$2:$C$500,MATCH($B1709,المكونات!$A$2:$A$500,0)),"")</f>
        <v/>
      </c>
      <c r="F1709" s="13" t="str">
        <f aca="false">IFERROR($C1709*$E1709,"")</f>
        <v/>
      </c>
    </row>
    <row r="1710" customFormat="false" ht="15" hidden="false" customHeight="true" outlineLevel="0" collapsed="false">
      <c r="A1710" s="21"/>
      <c r="B1710" s="21"/>
      <c r="C1710" s="21"/>
      <c r="D1710" s="43" t="str">
        <f aca="false">IFERROR(INDEX(المكونات!$B$2:$B$500,MATCH($B1710,المكونات!$A$2:$A$500,0)),"")</f>
        <v/>
      </c>
      <c r="E1710" s="44" t="str">
        <f aca="false">IFERROR(INDEX(المكونات!$C$2:$C$500,MATCH($B1710,المكونات!$A$2:$A$500,0)),"")</f>
        <v/>
      </c>
      <c r="F1710" s="13" t="str">
        <f aca="false">IFERROR($C1710*$E1710,"")</f>
        <v/>
      </c>
    </row>
    <row r="1711" customFormat="false" ht="15" hidden="false" customHeight="true" outlineLevel="0" collapsed="false">
      <c r="A1711" s="21"/>
      <c r="B1711" s="21"/>
      <c r="C1711" s="21"/>
      <c r="D1711" s="43" t="str">
        <f aca="false">IFERROR(INDEX(المكونات!$B$2:$B$500,MATCH($B1711,المكونات!$A$2:$A$500,0)),"")</f>
        <v/>
      </c>
      <c r="E1711" s="44" t="str">
        <f aca="false">IFERROR(INDEX(المكونات!$C$2:$C$500,MATCH($B1711,المكونات!$A$2:$A$500,0)),"")</f>
        <v/>
      </c>
      <c r="F1711" s="13" t="str">
        <f aca="false">IFERROR($C1711*$E1711,"")</f>
        <v/>
      </c>
    </row>
    <row r="1712" customFormat="false" ht="15" hidden="false" customHeight="true" outlineLevel="0" collapsed="false">
      <c r="A1712" s="21"/>
      <c r="B1712" s="21"/>
      <c r="C1712" s="21"/>
      <c r="D1712" s="43" t="str">
        <f aca="false">IFERROR(INDEX(المكونات!$B$2:$B$500,MATCH($B1712,المكونات!$A$2:$A$500,0)),"")</f>
        <v/>
      </c>
      <c r="E1712" s="44" t="str">
        <f aca="false">IFERROR(INDEX(المكونات!$C$2:$C$500,MATCH($B1712,المكونات!$A$2:$A$500,0)),"")</f>
        <v/>
      </c>
      <c r="F1712" s="13" t="str">
        <f aca="false">IFERROR($C1712*$E1712,"")</f>
        <v/>
      </c>
    </row>
    <row r="1713" customFormat="false" ht="15" hidden="false" customHeight="true" outlineLevel="0" collapsed="false">
      <c r="A1713" s="21"/>
      <c r="B1713" s="21"/>
      <c r="C1713" s="21"/>
      <c r="D1713" s="43" t="str">
        <f aca="false">IFERROR(INDEX(المكونات!$B$2:$B$500,MATCH($B1713,المكونات!$A$2:$A$500,0)),"")</f>
        <v/>
      </c>
      <c r="E1713" s="44" t="str">
        <f aca="false">IFERROR(INDEX(المكونات!$C$2:$C$500,MATCH($B1713,المكونات!$A$2:$A$500,0)),"")</f>
        <v/>
      </c>
      <c r="F1713" s="13" t="str">
        <f aca="false">IFERROR($C1713*$E1713,"")</f>
        <v/>
      </c>
    </row>
    <row r="1714" customFormat="false" ht="15" hidden="false" customHeight="true" outlineLevel="0" collapsed="false">
      <c r="A1714" s="21"/>
      <c r="B1714" s="21"/>
      <c r="C1714" s="21"/>
      <c r="D1714" s="43" t="str">
        <f aca="false">IFERROR(INDEX(المكونات!$B$2:$B$500,MATCH($B1714,المكونات!$A$2:$A$500,0)),"")</f>
        <v/>
      </c>
      <c r="E1714" s="44" t="str">
        <f aca="false">IFERROR(INDEX(المكونات!$C$2:$C$500,MATCH($B1714,المكونات!$A$2:$A$500,0)),"")</f>
        <v/>
      </c>
      <c r="F1714" s="13" t="str">
        <f aca="false">IFERROR($C1714*$E1714,"")</f>
        <v/>
      </c>
    </row>
    <row r="1715" customFormat="false" ht="15" hidden="false" customHeight="true" outlineLevel="0" collapsed="false">
      <c r="A1715" s="21"/>
      <c r="B1715" s="21"/>
      <c r="C1715" s="21"/>
      <c r="D1715" s="43" t="str">
        <f aca="false">IFERROR(INDEX(المكونات!$B$2:$B$500,MATCH($B1715,المكونات!$A$2:$A$500,0)),"")</f>
        <v/>
      </c>
      <c r="E1715" s="44" t="str">
        <f aca="false">IFERROR(INDEX(المكونات!$C$2:$C$500,MATCH($B1715,المكونات!$A$2:$A$500,0)),"")</f>
        <v/>
      </c>
      <c r="F1715" s="13" t="str">
        <f aca="false">IFERROR($C1715*$E1715,"")</f>
        <v/>
      </c>
    </row>
    <row r="1716" customFormat="false" ht="15" hidden="false" customHeight="true" outlineLevel="0" collapsed="false">
      <c r="A1716" s="21"/>
      <c r="B1716" s="21"/>
      <c r="C1716" s="21"/>
      <c r="D1716" s="43" t="str">
        <f aca="false">IFERROR(INDEX(المكونات!$B$2:$B$500,MATCH($B1716,المكونات!$A$2:$A$500,0)),"")</f>
        <v/>
      </c>
      <c r="E1716" s="44" t="str">
        <f aca="false">IFERROR(INDEX(المكونات!$C$2:$C$500,MATCH($B1716,المكونات!$A$2:$A$500,0)),"")</f>
        <v/>
      </c>
      <c r="F1716" s="13" t="str">
        <f aca="false">IFERROR($C1716*$E1716,"")</f>
        <v/>
      </c>
    </row>
    <row r="1717" customFormat="false" ht="15" hidden="false" customHeight="true" outlineLevel="0" collapsed="false">
      <c r="A1717" s="21"/>
      <c r="B1717" s="21"/>
      <c r="C1717" s="21"/>
      <c r="D1717" s="43" t="str">
        <f aca="false">IFERROR(INDEX(المكونات!$B$2:$B$500,MATCH($B1717,المكونات!$A$2:$A$500,0)),"")</f>
        <v/>
      </c>
      <c r="E1717" s="44" t="str">
        <f aca="false">IFERROR(INDEX(المكونات!$C$2:$C$500,MATCH($B1717,المكونات!$A$2:$A$500,0)),"")</f>
        <v/>
      </c>
      <c r="F1717" s="13" t="str">
        <f aca="false">IFERROR($C1717*$E1717,"")</f>
        <v/>
      </c>
    </row>
    <row r="1718" customFormat="false" ht="15" hidden="false" customHeight="true" outlineLevel="0" collapsed="false">
      <c r="A1718" s="21"/>
      <c r="B1718" s="21"/>
      <c r="C1718" s="21"/>
      <c r="D1718" s="43" t="str">
        <f aca="false">IFERROR(INDEX(المكونات!$B$2:$B$500,MATCH($B1718,المكونات!$A$2:$A$500,0)),"")</f>
        <v/>
      </c>
      <c r="E1718" s="44" t="str">
        <f aca="false">IFERROR(INDEX(المكونات!$C$2:$C$500,MATCH($B1718,المكونات!$A$2:$A$500,0)),"")</f>
        <v/>
      </c>
      <c r="F1718" s="13" t="str">
        <f aca="false">IFERROR($C1718*$E1718,"")</f>
        <v/>
      </c>
    </row>
    <row r="1719" customFormat="false" ht="15" hidden="false" customHeight="true" outlineLevel="0" collapsed="false">
      <c r="A1719" s="21"/>
      <c r="B1719" s="21"/>
      <c r="C1719" s="21"/>
      <c r="D1719" s="43" t="str">
        <f aca="false">IFERROR(INDEX(المكونات!$B$2:$B$500,MATCH($B1719,المكونات!$A$2:$A$500,0)),"")</f>
        <v/>
      </c>
      <c r="E1719" s="44" t="str">
        <f aca="false">IFERROR(INDEX(المكونات!$C$2:$C$500,MATCH($B1719,المكونات!$A$2:$A$500,0)),"")</f>
        <v/>
      </c>
      <c r="F1719" s="13" t="str">
        <f aca="false">IFERROR($C1719*$E1719,"")</f>
        <v/>
      </c>
    </row>
    <row r="1720" customFormat="false" ht="15" hidden="false" customHeight="true" outlineLevel="0" collapsed="false">
      <c r="A1720" s="21"/>
      <c r="B1720" s="21"/>
      <c r="C1720" s="21"/>
      <c r="D1720" s="43" t="str">
        <f aca="false">IFERROR(INDEX(المكونات!$B$2:$B$500,MATCH($B1720,المكونات!$A$2:$A$500,0)),"")</f>
        <v/>
      </c>
      <c r="E1720" s="44" t="str">
        <f aca="false">IFERROR(INDEX(المكونات!$C$2:$C$500,MATCH($B1720,المكونات!$A$2:$A$500,0)),"")</f>
        <v/>
      </c>
      <c r="F1720" s="13" t="str">
        <f aca="false">IFERROR($C1720*$E1720,"")</f>
        <v/>
      </c>
    </row>
    <row r="1721" customFormat="false" ht="15" hidden="false" customHeight="true" outlineLevel="0" collapsed="false">
      <c r="A1721" s="21"/>
      <c r="B1721" s="21"/>
      <c r="C1721" s="21"/>
      <c r="D1721" s="43" t="str">
        <f aca="false">IFERROR(INDEX(المكونات!$B$2:$B$500,MATCH($B1721,المكونات!$A$2:$A$500,0)),"")</f>
        <v/>
      </c>
      <c r="E1721" s="44" t="str">
        <f aca="false">IFERROR(INDEX(المكونات!$C$2:$C$500,MATCH($B1721,المكونات!$A$2:$A$500,0)),"")</f>
        <v/>
      </c>
      <c r="F1721" s="13" t="str">
        <f aca="false">IFERROR($C1721*$E1721,"")</f>
        <v/>
      </c>
    </row>
    <row r="1722" customFormat="false" ht="15" hidden="false" customHeight="true" outlineLevel="0" collapsed="false">
      <c r="A1722" s="21"/>
      <c r="B1722" s="21"/>
      <c r="C1722" s="21"/>
      <c r="D1722" s="43" t="str">
        <f aca="false">IFERROR(INDEX(المكونات!$B$2:$B$500,MATCH($B1722,المكونات!$A$2:$A$500,0)),"")</f>
        <v/>
      </c>
      <c r="E1722" s="44" t="str">
        <f aca="false">IFERROR(INDEX(المكونات!$C$2:$C$500,MATCH($B1722,المكونات!$A$2:$A$500,0)),"")</f>
        <v/>
      </c>
      <c r="F1722" s="13" t="str">
        <f aca="false">IFERROR($C1722*$E1722,"")</f>
        <v/>
      </c>
    </row>
    <row r="1723" customFormat="false" ht="15" hidden="false" customHeight="true" outlineLevel="0" collapsed="false">
      <c r="A1723" s="21"/>
      <c r="B1723" s="21"/>
      <c r="C1723" s="21"/>
      <c r="D1723" s="43" t="str">
        <f aca="false">IFERROR(INDEX(المكونات!$B$2:$B$500,MATCH($B1723,المكونات!$A$2:$A$500,0)),"")</f>
        <v/>
      </c>
      <c r="E1723" s="44" t="str">
        <f aca="false">IFERROR(INDEX(المكونات!$C$2:$C$500,MATCH($B1723,المكونات!$A$2:$A$500,0)),"")</f>
        <v/>
      </c>
      <c r="F1723" s="13" t="str">
        <f aca="false">IFERROR($C1723*$E1723,"")</f>
        <v/>
      </c>
    </row>
    <row r="1724" customFormat="false" ht="15" hidden="false" customHeight="true" outlineLevel="0" collapsed="false">
      <c r="A1724" s="21"/>
      <c r="B1724" s="21"/>
      <c r="C1724" s="21"/>
      <c r="D1724" s="43" t="str">
        <f aca="false">IFERROR(INDEX(المكونات!$B$2:$B$500,MATCH($B1724,المكونات!$A$2:$A$500,0)),"")</f>
        <v/>
      </c>
      <c r="E1724" s="44" t="str">
        <f aca="false">IFERROR(INDEX(المكونات!$C$2:$C$500,MATCH($B1724,المكونات!$A$2:$A$500,0)),"")</f>
        <v/>
      </c>
      <c r="F1724" s="13" t="str">
        <f aca="false">IFERROR($C1724*$E1724,"")</f>
        <v/>
      </c>
    </row>
    <row r="1725" customFormat="false" ht="15" hidden="false" customHeight="true" outlineLevel="0" collapsed="false">
      <c r="A1725" s="21"/>
      <c r="B1725" s="21"/>
      <c r="C1725" s="21"/>
      <c r="D1725" s="43" t="str">
        <f aca="false">IFERROR(INDEX(المكونات!$B$2:$B$500,MATCH($B1725,المكونات!$A$2:$A$500,0)),"")</f>
        <v/>
      </c>
      <c r="E1725" s="44" t="str">
        <f aca="false">IFERROR(INDEX(المكونات!$C$2:$C$500,MATCH($B1725,المكونات!$A$2:$A$500,0)),"")</f>
        <v/>
      </c>
      <c r="F1725" s="13" t="str">
        <f aca="false">IFERROR($C1725*$E1725,"")</f>
        <v/>
      </c>
    </row>
    <row r="1726" customFormat="false" ht="15" hidden="false" customHeight="true" outlineLevel="0" collapsed="false">
      <c r="A1726" s="21"/>
      <c r="B1726" s="21"/>
      <c r="C1726" s="21"/>
      <c r="D1726" s="43" t="str">
        <f aca="false">IFERROR(INDEX(المكونات!$B$2:$B$500,MATCH($B1726,المكونات!$A$2:$A$500,0)),"")</f>
        <v/>
      </c>
      <c r="E1726" s="44" t="str">
        <f aca="false">IFERROR(INDEX(المكونات!$C$2:$C$500,MATCH($B1726,المكونات!$A$2:$A$500,0)),"")</f>
        <v/>
      </c>
      <c r="F1726" s="13" t="str">
        <f aca="false">IFERROR($C1726*$E1726,"")</f>
        <v/>
      </c>
    </row>
    <row r="1727" customFormat="false" ht="15" hidden="false" customHeight="true" outlineLevel="0" collapsed="false">
      <c r="A1727" s="21"/>
      <c r="B1727" s="21"/>
      <c r="C1727" s="21"/>
      <c r="D1727" s="43" t="str">
        <f aca="false">IFERROR(INDEX(المكونات!$B$2:$B$500,MATCH($B1727,المكونات!$A$2:$A$500,0)),"")</f>
        <v/>
      </c>
      <c r="E1727" s="44" t="str">
        <f aca="false">IFERROR(INDEX(المكونات!$C$2:$C$500,MATCH($B1727,المكونات!$A$2:$A$500,0)),"")</f>
        <v/>
      </c>
      <c r="F1727" s="13" t="str">
        <f aca="false">IFERROR($C1727*$E1727,"")</f>
        <v/>
      </c>
    </row>
    <row r="1728" customFormat="false" ht="15" hidden="false" customHeight="true" outlineLevel="0" collapsed="false">
      <c r="A1728" s="21"/>
      <c r="B1728" s="21"/>
      <c r="C1728" s="21"/>
      <c r="D1728" s="43" t="str">
        <f aca="false">IFERROR(INDEX(المكونات!$B$2:$B$500,MATCH($B1728,المكونات!$A$2:$A$500,0)),"")</f>
        <v/>
      </c>
      <c r="E1728" s="44" t="str">
        <f aca="false">IFERROR(INDEX(المكونات!$C$2:$C$500,MATCH($B1728,المكونات!$A$2:$A$500,0)),"")</f>
        <v/>
      </c>
      <c r="F1728" s="13" t="str">
        <f aca="false">IFERROR($C1728*$E1728,"")</f>
        <v/>
      </c>
    </row>
    <row r="1729" customFormat="false" ht="15" hidden="false" customHeight="true" outlineLevel="0" collapsed="false">
      <c r="A1729" s="21"/>
      <c r="B1729" s="21"/>
      <c r="C1729" s="21"/>
      <c r="D1729" s="43" t="str">
        <f aca="false">IFERROR(INDEX(المكونات!$B$2:$B$500,MATCH($B1729,المكونات!$A$2:$A$500,0)),"")</f>
        <v/>
      </c>
      <c r="E1729" s="44" t="str">
        <f aca="false">IFERROR(INDEX(المكونات!$C$2:$C$500,MATCH($B1729,المكونات!$A$2:$A$500,0)),"")</f>
        <v/>
      </c>
      <c r="F1729" s="13" t="str">
        <f aca="false">IFERROR($C1729*$E1729,"")</f>
        <v/>
      </c>
    </row>
    <row r="1730" customFormat="false" ht="15" hidden="false" customHeight="true" outlineLevel="0" collapsed="false">
      <c r="A1730" s="21"/>
      <c r="B1730" s="21"/>
      <c r="C1730" s="21"/>
      <c r="D1730" s="43" t="str">
        <f aca="false">IFERROR(INDEX(المكونات!$B$2:$B$500,MATCH($B1730,المكونات!$A$2:$A$500,0)),"")</f>
        <v/>
      </c>
      <c r="E1730" s="44" t="str">
        <f aca="false">IFERROR(INDEX(المكونات!$C$2:$C$500,MATCH($B1730,المكونات!$A$2:$A$500,0)),"")</f>
        <v/>
      </c>
      <c r="F1730" s="13" t="str">
        <f aca="false">IFERROR($C1730*$E1730,"")</f>
        <v/>
      </c>
    </row>
    <row r="1731" customFormat="false" ht="15" hidden="false" customHeight="true" outlineLevel="0" collapsed="false">
      <c r="A1731" s="21"/>
      <c r="B1731" s="21"/>
      <c r="C1731" s="21"/>
      <c r="D1731" s="43" t="str">
        <f aca="false">IFERROR(INDEX(المكونات!$B$2:$B$500,MATCH($B1731,المكونات!$A$2:$A$500,0)),"")</f>
        <v/>
      </c>
      <c r="E1731" s="44" t="str">
        <f aca="false">IFERROR(INDEX(المكونات!$C$2:$C$500,MATCH($B1731,المكونات!$A$2:$A$500,0)),"")</f>
        <v/>
      </c>
      <c r="F1731" s="13" t="str">
        <f aca="false">IFERROR($C1731*$E1731,"")</f>
        <v/>
      </c>
    </row>
    <row r="1732" customFormat="false" ht="15" hidden="false" customHeight="true" outlineLevel="0" collapsed="false">
      <c r="A1732" s="21"/>
      <c r="B1732" s="21"/>
      <c r="C1732" s="21"/>
      <c r="D1732" s="43" t="str">
        <f aca="false">IFERROR(INDEX(المكونات!$B$2:$B$500,MATCH($B1732,المكونات!$A$2:$A$500,0)),"")</f>
        <v/>
      </c>
      <c r="E1732" s="44" t="str">
        <f aca="false">IFERROR(INDEX(المكونات!$C$2:$C$500,MATCH($B1732,المكونات!$A$2:$A$500,0)),"")</f>
        <v/>
      </c>
      <c r="F1732" s="13" t="str">
        <f aca="false">IFERROR($C1732*$E1732,"")</f>
        <v/>
      </c>
    </row>
    <row r="1733" customFormat="false" ht="15" hidden="false" customHeight="true" outlineLevel="0" collapsed="false">
      <c r="A1733" s="21"/>
      <c r="B1733" s="21"/>
      <c r="C1733" s="21"/>
      <c r="D1733" s="43" t="str">
        <f aca="false">IFERROR(INDEX(المكونات!$B$2:$B$500,MATCH($B1733,المكونات!$A$2:$A$500,0)),"")</f>
        <v/>
      </c>
      <c r="E1733" s="44" t="str">
        <f aca="false">IFERROR(INDEX(المكونات!$C$2:$C$500,MATCH($B1733,المكونات!$A$2:$A$500,0)),"")</f>
        <v/>
      </c>
      <c r="F1733" s="13" t="str">
        <f aca="false">IFERROR($C1733*$E1733,"")</f>
        <v/>
      </c>
    </row>
    <row r="1734" customFormat="false" ht="15" hidden="false" customHeight="true" outlineLevel="0" collapsed="false">
      <c r="A1734" s="21"/>
      <c r="B1734" s="21"/>
      <c r="C1734" s="21"/>
      <c r="D1734" s="43" t="str">
        <f aca="false">IFERROR(INDEX(المكونات!$B$2:$B$500,MATCH($B1734,المكونات!$A$2:$A$500,0)),"")</f>
        <v/>
      </c>
      <c r="E1734" s="44" t="str">
        <f aca="false">IFERROR(INDEX(المكونات!$C$2:$C$500,MATCH($B1734,المكونات!$A$2:$A$500,0)),"")</f>
        <v/>
      </c>
      <c r="F1734" s="13" t="str">
        <f aca="false">IFERROR($C1734*$E1734,"")</f>
        <v/>
      </c>
    </row>
    <row r="1735" customFormat="false" ht="15" hidden="false" customHeight="true" outlineLevel="0" collapsed="false">
      <c r="A1735" s="21"/>
      <c r="B1735" s="21"/>
      <c r="C1735" s="21"/>
      <c r="D1735" s="43" t="str">
        <f aca="false">IFERROR(INDEX(المكونات!$B$2:$B$500,MATCH($B1735,المكونات!$A$2:$A$500,0)),"")</f>
        <v/>
      </c>
      <c r="E1735" s="44" t="str">
        <f aca="false">IFERROR(INDEX(المكونات!$C$2:$C$500,MATCH($B1735,المكونات!$A$2:$A$500,0)),"")</f>
        <v/>
      </c>
      <c r="F1735" s="13" t="str">
        <f aca="false">IFERROR($C1735*$E1735,"")</f>
        <v/>
      </c>
    </row>
    <row r="1736" customFormat="false" ht="15" hidden="false" customHeight="true" outlineLevel="0" collapsed="false">
      <c r="A1736" s="21"/>
      <c r="B1736" s="21"/>
      <c r="C1736" s="21"/>
      <c r="D1736" s="43" t="str">
        <f aca="false">IFERROR(INDEX(المكونات!$B$2:$B$500,MATCH($B1736,المكونات!$A$2:$A$500,0)),"")</f>
        <v/>
      </c>
      <c r="E1736" s="44" t="str">
        <f aca="false">IFERROR(INDEX(المكونات!$C$2:$C$500,MATCH($B1736,المكونات!$A$2:$A$500,0)),"")</f>
        <v/>
      </c>
      <c r="F1736" s="13" t="str">
        <f aca="false">IFERROR($C1736*$E1736,"")</f>
        <v/>
      </c>
    </row>
    <row r="1737" customFormat="false" ht="15" hidden="false" customHeight="true" outlineLevel="0" collapsed="false">
      <c r="A1737" s="21"/>
      <c r="B1737" s="21"/>
      <c r="C1737" s="21"/>
      <c r="D1737" s="43" t="str">
        <f aca="false">IFERROR(INDEX(المكونات!$B$2:$B$500,MATCH($B1737,المكونات!$A$2:$A$500,0)),"")</f>
        <v/>
      </c>
      <c r="E1737" s="44" t="str">
        <f aca="false">IFERROR(INDEX(المكونات!$C$2:$C$500,MATCH($B1737,المكونات!$A$2:$A$500,0)),"")</f>
        <v/>
      </c>
      <c r="F1737" s="13" t="str">
        <f aca="false">IFERROR($C1737*$E1737,"")</f>
        <v/>
      </c>
    </row>
    <row r="1738" customFormat="false" ht="15" hidden="false" customHeight="true" outlineLevel="0" collapsed="false">
      <c r="A1738" s="21"/>
      <c r="B1738" s="21"/>
      <c r="C1738" s="21"/>
      <c r="D1738" s="43" t="str">
        <f aca="false">IFERROR(INDEX(المكونات!$B$2:$B$500,MATCH($B1738,المكونات!$A$2:$A$500,0)),"")</f>
        <v/>
      </c>
      <c r="E1738" s="44" t="str">
        <f aca="false">IFERROR(INDEX(المكونات!$C$2:$C$500,MATCH($B1738,المكونات!$A$2:$A$500,0)),"")</f>
        <v/>
      </c>
      <c r="F1738" s="13" t="str">
        <f aca="false">IFERROR($C1738*$E1738,"")</f>
        <v/>
      </c>
    </row>
    <row r="1739" customFormat="false" ht="15" hidden="false" customHeight="true" outlineLevel="0" collapsed="false">
      <c r="A1739" s="21"/>
      <c r="B1739" s="21"/>
      <c r="C1739" s="21"/>
      <c r="D1739" s="43" t="str">
        <f aca="false">IFERROR(INDEX(المكونات!$B$2:$B$500,MATCH($B1739,المكونات!$A$2:$A$500,0)),"")</f>
        <v/>
      </c>
      <c r="E1739" s="44" t="str">
        <f aca="false">IFERROR(INDEX(المكونات!$C$2:$C$500,MATCH($B1739,المكونات!$A$2:$A$500,0)),"")</f>
        <v/>
      </c>
      <c r="F1739" s="13" t="str">
        <f aca="false">IFERROR($C1739*$E1739,"")</f>
        <v/>
      </c>
    </row>
    <row r="1740" customFormat="false" ht="15" hidden="false" customHeight="true" outlineLevel="0" collapsed="false">
      <c r="A1740" s="21"/>
      <c r="B1740" s="21"/>
      <c r="C1740" s="21"/>
      <c r="D1740" s="43" t="str">
        <f aca="false">IFERROR(INDEX(المكونات!$B$2:$B$500,MATCH($B1740,المكونات!$A$2:$A$500,0)),"")</f>
        <v/>
      </c>
      <c r="E1740" s="44" t="str">
        <f aca="false">IFERROR(INDEX(المكونات!$C$2:$C$500,MATCH($B1740,المكونات!$A$2:$A$500,0)),"")</f>
        <v/>
      </c>
      <c r="F1740" s="13" t="str">
        <f aca="false">IFERROR($C1740*$E1740,"")</f>
        <v/>
      </c>
    </row>
    <row r="1741" customFormat="false" ht="15" hidden="false" customHeight="true" outlineLevel="0" collapsed="false">
      <c r="A1741" s="21"/>
      <c r="B1741" s="21"/>
      <c r="C1741" s="21"/>
      <c r="D1741" s="43" t="str">
        <f aca="false">IFERROR(INDEX(المكونات!$B$2:$B$500,MATCH($B1741,المكونات!$A$2:$A$500,0)),"")</f>
        <v/>
      </c>
      <c r="E1741" s="44" t="str">
        <f aca="false">IFERROR(INDEX(المكونات!$C$2:$C$500,MATCH($B1741,المكونات!$A$2:$A$500,0)),"")</f>
        <v/>
      </c>
      <c r="F1741" s="13" t="str">
        <f aca="false">IFERROR($C1741*$E1741,"")</f>
        <v/>
      </c>
    </row>
    <row r="1742" customFormat="false" ht="15" hidden="false" customHeight="true" outlineLevel="0" collapsed="false">
      <c r="A1742" s="21"/>
      <c r="B1742" s="21"/>
      <c r="C1742" s="21"/>
      <c r="D1742" s="43" t="str">
        <f aca="false">IFERROR(INDEX(المكونات!$B$2:$B$500,MATCH($B1742,المكونات!$A$2:$A$500,0)),"")</f>
        <v/>
      </c>
      <c r="E1742" s="44" t="str">
        <f aca="false">IFERROR(INDEX(المكونات!$C$2:$C$500,MATCH($B1742,المكونات!$A$2:$A$500,0)),"")</f>
        <v/>
      </c>
      <c r="F1742" s="13" t="str">
        <f aca="false">IFERROR($C1742*$E1742,"")</f>
        <v/>
      </c>
    </row>
    <row r="1743" customFormat="false" ht="15" hidden="false" customHeight="true" outlineLevel="0" collapsed="false">
      <c r="A1743" s="21"/>
      <c r="B1743" s="21"/>
      <c r="C1743" s="21"/>
      <c r="D1743" s="43" t="str">
        <f aca="false">IFERROR(INDEX(المكونات!$B$2:$B$500,MATCH($B1743,المكونات!$A$2:$A$500,0)),"")</f>
        <v/>
      </c>
      <c r="E1743" s="44" t="str">
        <f aca="false">IFERROR(INDEX(المكونات!$C$2:$C$500,MATCH($B1743,المكونات!$A$2:$A$500,0)),"")</f>
        <v/>
      </c>
      <c r="F1743" s="13" t="str">
        <f aca="false">IFERROR($C1743*$E1743,"")</f>
        <v/>
      </c>
    </row>
    <row r="1744" customFormat="false" ht="15" hidden="false" customHeight="true" outlineLevel="0" collapsed="false">
      <c r="A1744" s="21"/>
      <c r="B1744" s="21"/>
      <c r="C1744" s="21"/>
      <c r="D1744" s="43" t="str">
        <f aca="false">IFERROR(INDEX(المكونات!$B$2:$B$500,MATCH($B1744,المكونات!$A$2:$A$500,0)),"")</f>
        <v/>
      </c>
      <c r="E1744" s="44" t="str">
        <f aca="false">IFERROR(INDEX(المكونات!$C$2:$C$500,MATCH($B1744,المكونات!$A$2:$A$500,0)),"")</f>
        <v/>
      </c>
      <c r="F1744" s="13" t="str">
        <f aca="false">IFERROR($C1744*$E1744,"")</f>
        <v/>
      </c>
    </row>
    <row r="1745" customFormat="false" ht="15" hidden="false" customHeight="true" outlineLevel="0" collapsed="false">
      <c r="A1745" s="21"/>
      <c r="B1745" s="21"/>
      <c r="C1745" s="21"/>
      <c r="D1745" s="43" t="str">
        <f aca="false">IFERROR(INDEX(المكونات!$B$2:$B$500,MATCH($B1745,المكونات!$A$2:$A$500,0)),"")</f>
        <v/>
      </c>
      <c r="E1745" s="44" t="str">
        <f aca="false">IFERROR(INDEX(المكونات!$C$2:$C$500,MATCH($B1745,المكونات!$A$2:$A$500,0)),"")</f>
        <v/>
      </c>
      <c r="F1745" s="13" t="str">
        <f aca="false">IFERROR($C1745*$E1745,"")</f>
        <v/>
      </c>
    </row>
    <row r="1746" customFormat="false" ht="15" hidden="false" customHeight="true" outlineLevel="0" collapsed="false">
      <c r="A1746" s="21"/>
      <c r="B1746" s="21"/>
      <c r="C1746" s="21"/>
      <c r="D1746" s="43" t="str">
        <f aca="false">IFERROR(INDEX(المكونات!$B$2:$B$500,MATCH($B1746,المكونات!$A$2:$A$500,0)),"")</f>
        <v/>
      </c>
      <c r="E1746" s="44" t="str">
        <f aca="false">IFERROR(INDEX(المكونات!$C$2:$C$500,MATCH($B1746,المكونات!$A$2:$A$500,0)),"")</f>
        <v/>
      </c>
      <c r="F1746" s="13" t="str">
        <f aca="false">IFERROR($C1746*$E1746,"")</f>
        <v/>
      </c>
    </row>
    <row r="1747" customFormat="false" ht="15" hidden="false" customHeight="true" outlineLevel="0" collapsed="false">
      <c r="A1747" s="21"/>
      <c r="B1747" s="21"/>
      <c r="C1747" s="21"/>
      <c r="D1747" s="43" t="str">
        <f aca="false">IFERROR(INDEX(المكونات!$B$2:$B$500,MATCH($B1747,المكونات!$A$2:$A$500,0)),"")</f>
        <v/>
      </c>
      <c r="E1747" s="44" t="str">
        <f aca="false">IFERROR(INDEX(المكونات!$C$2:$C$500,MATCH($B1747,المكونات!$A$2:$A$500,0)),"")</f>
        <v/>
      </c>
      <c r="F1747" s="13" t="str">
        <f aca="false">IFERROR($C1747*$E1747,"")</f>
        <v/>
      </c>
    </row>
    <row r="1748" customFormat="false" ht="15" hidden="false" customHeight="true" outlineLevel="0" collapsed="false">
      <c r="A1748" s="21"/>
      <c r="B1748" s="21"/>
      <c r="C1748" s="21"/>
      <c r="D1748" s="43" t="str">
        <f aca="false">IFERROR(INDEX(المكونات!$B$2:$B$500,MATCH($B1748,المكونات!$A$2:$A$500,0)),"")</f>
        <v/>
      </c>
      <c r="E1748" s="44" t="str">
        <f aca="false">IFERROR(INDEX(المكونات!$C$2:$C$500,MATCH($B1748,المكونات!$A$2:$A$500,0)),"")</f>
        <v/>
      </c>
      <c r="F1748" s="13" t="str">
        <f aca="false">IFERROR($C1748*$E1748,"")</f>
        <v/>
      </c>
    </row>
    <row r="1749" customFormat="false" ht="15" hidden="false" customHeight="true" outlineLevel="0" collapsed="false">
      <c r="A1749" s="21"/>
      <c r="B1749" s="21"/>
      <c r="C1749" s="21"/>
      <c r="D1749" s="43" t="str">
        <f aca="false">IFERROR(INDEX(المكونات!$B$2:$B$500,MATCH($B1749,المكونات!$A$2:$A$500,0)),"")</f>
        <v/>
      </c>
      <c r="E1749" s="44" t="str">
        <f aca="false">IFERROR(INDEX(المكونات!$C$2:$C$500,MATCH($B1749,المكونات!$A$2:$A$500,0)),"")</f>
        <v/>
      </c>
      <c r="F1749" s="13" t="str">
        <f aca="false">IFERROR($C1749*$E1749,"")</f>
        <v/>
      </c>
    </row>
    <row r="1750" customFormat="false" ht="15" hidden="false" customHeight="true" outlineLevel="0" collapsed="false">
      <c r="A1750" s="21"/>
      <c r="B1750" s="21"/>
      <c r="C1750" s="21"/>
      <c r="D1750" s="43" t="str">
        <f aca="false">IFERROR(INDEX(المكونات!$B$2:$B$500,MATCH($B1750,المكونات!$A$2:$A$500,0)),"")</f>
        <v/>
      </c>
      <c r="E1750" s="44" t="str">
        <f aca="false">IFERROR(INDEX(المكونات!$C$2:$C$500,MATCH($B1750,المكونات!$A$2:$A$500,0)),"")</f>
        <v/>
      </c>
      <c r="F1750" s="13" t="str">
        <f aca="false">IFERROR($C1750*$E1750,"")</f>
        <v/>
      </c>
    </row>
    <row r="1751" customFormat="false" ht="15" hidden="false" customHeight="true" outlineLevel="0" collapsed="false">
      <c r="A1751" s="21"/>
      <c r="B1751" s="21"/>
      <c r="C1751" s="21"/>
      <c r="D1751" s="43" t="str">
        <f aca="false">IFERROR(INDEX(المكونات!$B$2:$B$500,MATCH($B1751,المكونات!$A$2:$A$500,0)),"")</f>
        <v/>
      </c>
      <c r="E1751" s="44" t="str">
        <f aca="false">IFERROR(INDEX(المكونات!$C$2:$C$500,MATCH($B1751,المكونات!$A$2:$A$500,0)),"")</f>
        <v/>
      </c>
      <c r="F1751" s="13" t="str">
        <f aca="false">IFERROR($C1751*$E1751,"")</f>
        <v/>
      </c>
    </row>
    <row r="1752" customFormat="false" ht="15" hidden="false" customHeight="true" outlineLevel="0" collapsed="false">
      <c r="A1752" s="21"/>
      <c r="B1752" s="21"/>
      <c r="C1752" s="21"/>
      <c r="D1752" s="43" t="str">
        <f aca="false">IFERROR(INDEX(المكونات!$B$2:$B$500,MATCH($B1752,المكونات!$A$2:$A$500,0)),"")</f>
        <v/>
      </c>
      <c r="E1752" s="44" t="str">
        <f aca="false">IFERROR(INDEX(المكونات!$C$2:$C$500,MATCH($B1752,المكونات!$A$2:$A$500,0)),"")</f>
        <v/>
      </c>
      <c r="F1752" s="13" t="str">
        <f aca="false">IFERROR($C1752*$E1752,"")</f>
        <v/>
      </c>
    </row>
    <row r="1753" customFormat="false" ht="15" hidden="false" customHeight="true" outlineLevel="0" collapsed="false">
      <c r="A1753" s="21"/>
      <c r="B1753" s="21"/>
      <c r="C1753" s="21"/>
      <c r="D1753" s="43" t="str">
        <f aca="false">IFERROR(INDEX(المكونات!$B$2:$B$500,MATCH($B1753,المكونات!$A$2:$A$500,0)),"")</f>
        <v/>
      </c>
      <c r="E1753" s="44" t="str">
        <f aca="false">IFERROR(INDEX(المكونات!$C$2:$C$500,MATCH($B1753,المكونات!$A$2:$A$500,0)),"")</f>
        <v/>
      </c>
      <c r="F1753" s="13" t="str">
        <f aca="false">IFERROR($C1753*$E1753,"")</f>
        <v/>
      </c>
    </row>
    <row r="1754" customFormat="false" ht="15" hidden="false" customHeight="true" outlineLevel="0" collapsed="false">
      <c r="A1754" s="21"/>
      <c r="B1754" s="21"/>
      <c r="C1754" s="21"/>
      <c r="D1754" s="43" t="str">
        <f aca="false">IFERROR(INDEX(المكونات!$B$2:$B$500,MATCH($B1754,المكونات!$A$2:$A$500,0)),"")</f>
        <v/>
      </c>
      <c r="E1754" s="44" t="str">
        <f aca="false">IFERROR(INDEX(المكونات!$C$2:$C$500,MATCH($B1754,المكونات!$A$2:$A$500,0)),"")</f>
        <v/>
      </c>
      <c r="F1754" s="13" t="str">
        <f aca="false">IFERROR($C1754*$E1754,"")</f>
        <v/>
      </c>
    </row>
    <row r="1755" customFormat="false" ht="15" hidden="false" customHeight="true" outlineLevel="0" collapsed="false">
      <c r="A1755" s="21"/>
      <c r="B1755" s="21"/>
      <c r="C1755" s="21"/>
      <c r="D1755" s="43" t="str">
        <f aca="false">IFERROR(INDEX(المكونات!$B$2:$B$500,MATCH($B1755,المكونات!$A$2:$A$500,0)),"")</f>
        <v/>
      </c>
      <c r="E1755" s="44" t="str">
        <f aca="false">IFERROR(INDEX(المكونات!$C$2:$C$500,MATCH($B1755,المكونات!$A$2:$A$500,0)),"")</f>
        <v/>
      </c>
      <c r="F1755" s="13" t="str">
        <f aca="false">IFERROR($C1755*$E1755,"")</f>
        <v/>
      </c>
    </row>
    <row r="1756" customFormat="false" ht="15" hidden="false" customHeight="true" outlineLevel="0" collapsed="false">
      <c r="A1756" s="21"/>
      <c r="B1756" s="21"/>
      <c r="C1756" s="21"/>
      <c r="D1756" s="43" t="str">
        <f aca="false">IFERROR(INDEX(المكونات!$B$2:$B$500,MATCH($B1756,المكونات!$A$2:$A$500,0)),"")</f>
        <v/>
      </c>
      <c r="E1756" s="44" t="str">
        <f aca="false">IFERROR(INDEX(المكونات!$C$2:$C$500,MATCH($B1756,المكونات!$A$2:$A$500,0)),"")</f>
        <v/>
      </c>
      <c r="F1756" s="13" t="str">
        <f aca="false">IFERROR($C1756*$E1756,"")</f>
        <v/>
      </c>
    </row>
    <row r="1757" customFormat="false" ht="15" hidden="false" customHeight="true" outlineLevel="0" collapsed="false">
      <c r="A1757" s="21"/>
      <c r="B1757" s="21"/>
      <c r="C1757" s="21"/>
      <c r="D1757" s="43" t="str">
        <f aca="false">IFERROR(INDEX(المكونات!$B$2:$B$500,MATCH($B1757,المكونات!$A$2:$A$500,0)),"")</f>
        <v/>
      </c>
      <c r="E1757" s="44" t="str">
        <f aca="false">IFERROR(INDEX(المكونات!$C$2:$C$500,MATCH($B1757,المكونات!$A$2:$A$500,0)),"")</f>
        <v/>
      </c>
      <c r="F1757" s="13" t="str">
        <f aca="false">IFERROR($C1757*$E1757,"")</f>
        <v/>
      </c>
    </row>
    <row r="1758" customFormat="false" ht="15" hidden="false" customHeight="true" outlineLevel="0" collapsed="false">
      <c r="A1758" s="21"/>
      <c r="B1758" s="21"/>
      <c r="C1758" s="21"/>
      <c r="D1758" s="43" t="str">
        <f aca="false">IFERROR(INDEX(المكونات!$B$2:$B$500,MATCH($B1758,المكونات!$A$2:$A$500,0)),"")</f>
        <v/>
      </c>
      <c r="E1758" s="44" t="str">
        <f aca="false">IFERROR(INDEX(المكونات!$C$2:$C$500,MATCH($B1758,المكونات!$A$2:$A$500,0)),"")</f>
        <v/>
      </c>
      <c r="F1758" s="13" t="str">
        <f aca="false">IFERROR($C1758*$E1758,"")</f>
        <v/>
      </c>
    </row>
    <row r="1759" customFormat="false" ht="15" hidden="false" customHeight="true" outlineLevel="0" collapsed="false">
      <c r="A1759" s="21"/>
      <c r="B1759" s="21"/>
      <c r="C1759" s="21"/>
      <c r="D1759" s="43" t="str">
        <f aca="false">IFERROR(INDEX(المكونات!$B$2:$B$500,MATCH($B1759,المكونات!$A$2:$A$500,0)),"")</f>
        <v/>
      </c>
      <c r="E1759" s="44" t="str">
        <f aca="false">IFERROR(INDEX(المكونات!$C$2:$C$500,MATCH($B1759,المكونات!$A$2:$A$500,0)),"")</f>
        <v/>
      </c>
      <c r="F1759" s="13" t="str">
        <f aca="false">IFERROR($C1759*$E1759,"")</f>
        <v/>
      </c>
    </row>
    <row r="1760" customFormat="false" ht="15" hidden="false" customHeight="true" outlineLevel="0" collapsed="false">
      <c r="A1760" s="21"/>
      <c r="B1760" s="21"/>
      <c r="C1760" s="21"/>
      <c r="D1760" s="43" t="str">
        <f aca="false">IFERROR(INDEX(المكونات!$B$2:$B$500,MATCH($B1760,المكونات!$A$2:$A$500,0)),"")</f>
        <v/>
      </c>
      <c r="E1760" s="44" t="str">
        <f aca="false">IFERROR(INDEX(المكونات!$C$2:$C$500,MATCH($B1760,المكونات!$A$2:$A$500,0)),"")</f>
        <v/>
      </c>
      <c r="F1760" s="13" t="str">
        <f aca="false">IFERROR($C1760*$E1760,"")</f>
        <v/>
      </c>
    </row>
    <row r="1761" customFormat="false" ht="15" hidden="false" customHeight="true" outlineLevel="0" collapsed="false">
      <c r="A1761" s="21"/>
      <c r="B1761" s="21"/>
      <c r="C1761" s="21"/>
      <c r="D1761" s="43" t="str">
        <f aca="false">IFERROR(INDEX(المكونات!$B$2:$B$500,MATCH($B1761,المكونات!$A$2:$A$500,0)),"")</f>
        <v/>
      </c>
      <c r="E1761" s="44" t="str">
        <f aca="false">IFERROR(INDEX(المكونات!$C$2:$C$500,MATCH($B1761,المكونات!$A$2:$A$500,0)),"")</f>
        <v/>
      </c>
      <c r="F1761" s="13" t="str">
        <f aca="false">IFERROR($C1761*$E1761,"")</f>
        <v/>
      </c>
    </row>
    <row r="1762" customFormat="false" ht="15" hidden="false" customHeight="true" outlineLevel="0" collapsed="false">
      <c r="A1762" s="21"/>
      <c r="B1762" s="21"/>
      <c r="C1762" s="21"/>
      <c r="D1762" s="43" t="str">
        <f aca="false">IFERROR(INDEX(المكونات!$B$2:$B$500,MATCH($B1762,المكونات!$A$2:$A$500,0)),"")</f>
        <v/>
      </c>
      <c r="E1762" s="44" t="str">
        <f aca="false">IFERROR(INDEX(المكونات!$C$2:$C$500,MATCH($B1762,المكونات!$A$2:$A$500,0)),"")</f>
        <v/>
      </c>
      <c r="F1762" s="13" t="str">
        <f aca="false">IFERROR($C1762*$E1762,"")</f>
        <v/>
      </c>
    </row>
    <row r="1763" customFormat="false" ht="15" hidden="false" customHeight="true" outlineLevel="0" collapsed="false">
      <c r="A1763" s="21"/>
      <c r="B1763" s="21"/>
      <c r="C1763" s="21"/>
      <c r="D1763" s="43" t="str">
        <f aca="false">IFERROR(INDEX(المكونات!$B$2:$B$500,MATCH($B1763,المكونات!$A$2:$A$500,0)),"")</f>
        <v/>
      </c>
      <c r="E1763" s="44" t="str">
        <f aca="false">IFERROR(INDEX(المكونات!$C$2:$C$500,MATCH($B1763,المكونات!$A$2:$A$500,0)),"")</f>
        <v/>
      </c>
      <c r="F1763" s="13" t="str">
        <f aca="false">IFERROR($C1763*$E1763,"")</f>
        <v/>
      </c>
    </row>
    <row r="1764" customFormat="false" ht="15" hidden="false" customHeight="true" outlineLevel="0" collapsed="false">
      <c r="A1764" s="21"/>
      <c r="B1764" s="21"/>
      <c r="C1764" s="21"/>
      <c r="D1764" s="43" t="str">
        <f aca="false">IFERROR(INDEX(المكونات!$B$2:$B$500,MATCH($B1764,المكونات!$A$2:$A$500,0)),"")</f>
        <v/>
      </c>
      <c r="E1764" s="44" t="str">
        <f aca="false">IFERROR(INDEX(المكونات!$C$2:$C$500,MATCH($B1764,المكونات!$A$2:$A$500,0)),"")</f>
        <v/>
      </c>
      <c r="F1764" s="13" t="str">
        <f aca="false">IFERROR($C1764*$E1764,"")</f>
        <v/>
      </c>
    </row>
    <row r="1765" customFormat="false" ht="15" hidden="false" customHeight="true" outlineLevel="0" collapsed="false">
      <c r="A1765" s="21"/>
      <c r="B1765" s="21"/>
      <c r="C1765" s="21"/>
      <c r="D1765" s="43" t="str">
        <f aca="false">IFERROR(INDEX(المكونات!$B$2:$B$500,MATCH($B1765,المكونات!$A$2:$A$500,0)),"")</f>
        <v/>
      </c>
      <c r="E1765" s="44" t="str">
        <f aca="false">IFERROR(INDEX(المكونات!$C$2:$C$500,MATCH($B1765,المكونات!$A$2:$A$500,0)),"")</f>
        <v/>
      </c>
      <c r="F1765" s="13" t="str">
        <f aca="false">IFERROR($C1765*$E1765,"")</f>
        <v/>
      </c>
    </row>
    <row r="1766" customFormat="false" ht="15" hidden="false" customHeight="true" outlineLevel="0" collapsed="false">
      <c r="A1766" s="21"/>
      <c r="B1766" s="21"/>
      <c r="C1766" s="21"/>
      <c r="D1766" s="43" t="str">
        <f aca="false">IFERROR(INDEX(المكونات!$B$2:$B$500,MATCH($B1766,المكونات!$A$2:$A$500,0)),"")</f>
        <v/>
      </c>
      <c r="E1766" s="44" t="str">
        <f aca="false">IFERROR(INDEX(المكونات!$C$2:$C$500,MATCH($B1766,المكونات!$A$2:$A$500,0)),"")</f>
        <v/>
      </c>
      <c r="F1766" s="13" t="str">
        <f aca="false">IFERROR($C1766*$E1766,"")</f>
        <v/>
      </c>
    </row>
    <row r="1767" customFormat="false" ht="15" hidden="false" customHeight="true" outlineLevel="0" collapsed="false">
      <c r="A1767" s="21"/>
      <c r="B1767" s="21"/>
      <c r="C1767" s="21"/>
      <c r="D1767" s="43" t="str">
        <f aca="false">IFERROR(INDEX(المكونات!$B$2:$B$500,MATCH($B1767,المكونات!$A$2:$A$500,0)),"")</f>
        <v/>
      </c>
      <c r="E1767" s="44" t="str">
        <f aca="false">IFERROR(INDEX(المكونات!$C$2:$C$500,MATCH($B1767,المكونات!$A$2:$A$500,0)),"")</f>
        <v/>
      </c>
      <c r="F1767" s="13" t="str">
        <f aca="false">IFERROR($C1767*$E1767,"")</f>
        <v/>
      </c>
    </row>
    <row r="1768" customFormat="false" ht="15" hidden="false" customHeight="true" outlineLevel="0" collapsed="false">
      <c r="A1768" s="21"/>
      <c r="B1768" s="21"/>
      <c r="C1768" s="21"/>
      <c r="D1768" s="43" t="str">
        <f aca="false">IFERROR(INDEX(المكونات!$B$2:$B$500,MATCH($B1768,المكونات!$A$2:$A$500,0)),"")</f>
        <v/>
      </c>
      <c r="E1768" s="44" t="str">
        <f aca="false">IFERROR(INDEX(المكونات!$C$2:$C$500,MATCH($B1768,المكونات!$A$2:$A$500,0)),"")</f>
        <v/>
      </c>
      <c r="F1768" s="13" t="str">
        <f aca="false">IFERROR($C1768*$E1768,"")</f>
        <v/>
      </c>
    </row>
    <row r="1769" customFormat="false" ht="15" hidden="false" customHeight="true" outlineLevel="0" collapsed="false">
      <c r="A1769" s="21"/>
      <c r="B1769" s="21"/>
      <c r="C1769" s="21"/>
      <c r="D1769" s="43" t="str">
        <f aca="false">IFERROR(INDEX(المكونات!$B$2:$B$500,MATCH($B1769,المكونات!$A$2:$A$500,0)),"")</f>
        <v/>
      </c>
      <c r="E1769" s="44" t="str">
        <f aca="false">IFERROR(INDEX(المكونات!$C$2:$C$500,MATCH($B1769,المكونات!$A$2:$A$500,0)),"")</f>
        <v/>
      </c>
      <c r="F1769" s="13" t="str">
        <f aca="false">IFERROR($C1769*$E1769,"")</f>
        <v/>
      </c>
    </row>
    <row r="1770" customFormat="false" ht="15" hidden="false" customHeight="true" outlineLevel="0" collapsed="false">
      <c r="A1770" s="21"/>
      <c r="B1770" s="21"/>
      <c r="C1770" s="21"/>
      <c r="D1770" s="43" t="str">
        <f aca="false">IFERROR(INDEX(المكونات!$B$2:$B$500,MATCH($B1770,المكونات!$A$2:$A$500,0)),"")</f>
        <v/>
      </c>
      <c r="E1770" s="44" t="str">
        <f aca="false">IFERROR(INDEX(المكونات!$C$2:$C$500,MATCH($B1770,المكونات!$A$2:$A$500,0)),"")</f>
        <v/>
      </c>
      <c r="F1770" s="13" t="str">
        <f aca="false">IFERROR($C1770*$E1770,"")</f>
        <v/>
      </c>
    </row>
    <row r="1771" customFormat="false" ht="15" hidden="false" customHeight="true" outlineLevel="0" collapsed="false">
      <c r="A1771" s="21"/>
      <c r="B1771" s="21"/>
      <c r="C1771" s="21"/>
      <c r="D1771" s="43" t="str">
        <f aca="false">IFERROR(INDEX(المكونات!$B$2:$B$500,MATCH($B1771,المكونات!$A$2:$A$500,0)),"")</f>
        <v/>
      </c>
      <c r="E1771" s="44" t="str">
        <f aca="false">IFERROR(INDEX(المكونات!$C$2:$C$500,MATCH($B1771,المكونات!$A$2:$A$500,0)),"")</f>
        <v/>
      </c>
      <c r="F1771" s="13" t="str">
        <f aca="false">IFERROR($C1771*$E1771,"")</f>
        <v/>
      </c>
    </row>
    <row r="1772" customFormat="false" ht="15" hidden="false" customHeight="true" outlineLevel="0" collapsed="false">
      <c r="A1772" s="21"/>
      <c r="B1772" s="21"/>
      <c r="C1772" s="21"/>
      <c r="D1772" s="43" t="str">
        <f aca="false">IFERROR(INDEX(المكونات!$B$2:$B$500,MATCH($B1772,المكونات!$A$2:$A$500,0)),"")</f>
        <v/>
      </c>
      <c r="E1772" s="44" t="str">
        <f aca="false">IFERROR(INDEX(المكونات!$C$2:$C$500,MATCH($B1772,المكونات!$A$2:$A$500,0)),"")</f>
        <v/>
      </c>
      <c r="F1772" s="13" t="str">
        <f aca="false">IFERROR($C1772*$E1772,"")</f>
        <v/>
      </c>
    </row>
    <row r="1773" customFormat="false" ht="15" hidden="false" customHeight="true" outlineLevel="0" collapsed="false">
      <c r="A1773" s="21"/>
      <c r="B1773" s="21"/>
      <c r="C1773" s="21"/>
      <c r="D1773" s="43" t="str">
        <f aca="false">IFERROR(INDEX(المكونات!$B$2:$B$500,MATCH($B1773,المكونات!$A$2:$A$500,0)),"")</f>
        <v/>
      </c>
      <c r="E1773" s="44" t="str">
        <f aca="false">IFERROR(INDEX(المكونات!$C$2:$C$500,MATCH($B1773,المكونات!$A$2:$A$500,0)),"")</f>
        <v/>
      </c>
      <c r="F1773" s="13" t="str">
        <f aca="false">IFERROR($C1773*$E1773,"")</f>
        <v/>
      </c>
    </row>
    <row r="1774" customFormat="false" ht="15" hidden="false" customHeight="true" outlineLevel="0" collapsed="false">
      <c r="A1774" s="21"/>
      <c r="B1774" s="21"/>
      <c r="C1774" s="21"/>
      <c r="D1774" s="43" t="str">
        <f aca="false">IFERROR(INDEX(المكونات!$B$2:$B$500,MATCH($B1774,المكونات!$A$2:$A$500,0)),"")</f>
        <v/>
      </c>
      <c r="E1774" s="44" t="str">
        <f aca="false">IFERROR(INDEX(المكونات!$C$2:$C$500,MATCH($B1774,المكونات!$A$2:$A$500,0)),"")</f>
        <v/>
      </c>
      <c r="F1774" s="13" t="str">
        <f aca="false">IFERROR($C1774*$E1774,"")</f>
        <v/>
      </c>
    </row>
    <row r="1775" customFormat="false" ht="15" hidden="false" customHeight="true" outlineLevel="0" collapsed="false">
      <c r="A1775" s="21"/>
      <c r="B1775" s="21"/>
      <c r="C1775" s="21"/>
      <c r="D1775" s="43" t="str">
        <f aca="false">IFERROR(INDEX(المكونات!$B$2:$B$500,MATCH($B1775,المكونات!$A$2:$A$500,0)),"")</f>
        <v/>
      </c>
      <c r="E1775" s="44" t="str">
        <f aca="false">IFERROR(INDEX(المكونات!$C$2:$C$500,MATCH($B1775,المكونات!$A$2:$A$500,0)),"")</f>
        <v/>
      </c>
      <c r="F1775" s="13" t="str">
        <f aca="false">IFERROR($C1775*$E1775,"")</f>
        <v/>
      </c>
    </row>
    <row r="1776" customFormat="false" ht="15" hidden="false" customHeight="true" outlineLevel="0" collapsed="false">
      <c r="A1776" s="21"/>
      <c r="B1776" s="21"/>
      <c r="C1776" s="21"/>
      <c r="D1776" s="43" t="str">
        <f aca="false">IFERROR(INDEX(المكونات!$B$2:$B$500,MATCH($B1776,المكونات!$A$2:$A$500,0)),"")</f>
        <v/>
      </c>
      <c r="E1776" s="44" t="str">
        <f aca="false">IFERROR(INDEX(المكونات!$C$2:$C$500,MATCH($B1776,المكونات!$A$2:$A$500,0)),"")</f>
        <v/>
      </c>
      <c r="F1776" s="13" t="str">
        <f aca="false">IFERROR($C1776*$E1776,"")</f>
        <v/>
      </c>
    </row>
    <row r="1777" customFormat="false" ht="15" hidden="false" customHeight="true" outlineLevel="0" collapsed="false">
      <c r="A1777" s="21"/>
      <c r="B1777" s="21"/>
      <c r="C1777" s="21"/>
      <c r="D1777" s="43" t="str">
        <f aca="false">IFERROR(INDEX(المكونات!$B$2:$B$500,MATCH($B1777,المكونات!$A$2:$A$500,0)),"")</f>
        <v/>
      </c>
      <c r="E1777" s="44" t="str">
        <f aca="false">IFERROR(INDEX(المكونات!$C$2:$C$500,MATCH($B1777,المكونات!$A$2:$A$500,0)),"")</f>
        <v/>
      </c>
      <c r="F1777" s="13" t="str">
        <f aca="false">IFERROR($C1777*$E1777,"")</f>
        <v/>
      </c>
    </row>
    <row r="1778" customFormat="false" ht="15" hidden="false" customHeight="true" outlineLevel="0" collapsed="false">
      <c r="A1778" s="21"/>
      <c r="B1778" s="21"/>
      <c r="C1778" s="21"/>
      <c r="D1778" s="43" t="str">
        <f aca="false">IFERROR(INDEX(المكونات!$B$2:$B$500,MATCH($B1778,المكونات!$A$2:$A$500,0)),"")</f>
        <v/>
      </c>
      <c r="E1778" s="44" t="str">
        <f aca="false">IFERROR(INDEX(المكونات!$C$2:$C$500,MATCH($B1778,المكونات!$A$2:$A$500,0)),"")</f>
        <v/>
      </c>
      <c r="F1778" s="13" t="str">
        <f aca="false">IFERROR($C1778*$E1778,"")</f>
        <v/>
      </c>
    </row>
    <row r="1779" customFormat="false" ht="15" hidden="false" customHeight="true" outlineLevel="0" collapsed="false">
      <c r="A1779" s="21"/>
      <c r="B1779" s="21"/>
      <c r="C1779" s="21"/>
      <c r="D1779" s="43" t="str">
        <f aca="false">IFERROR(INDEX(المكونات!$B$2:$B$500,MATCH($B1779,المكونات!$A$2:$A$500,0)),"")</f>
        <v/>
      </c>
      <c r="E1779" s="44" t="str">
        <f aca="false">IFERROR(INDEX(المكونات!$C$2:$C$500,MATCH($B1779,المكونات!$A$2:$A$500,0)),"")</f>
        <v/>
      </c>
      <c r="F1779" s="13" t="str">
        <f aca="false">IFERROR($C1779*$E1779,"")</f>
        <v/>
      </c>
    </row>
    <row r="1780" customFormat="false" ht="15" hidden="false" customHeight="true" outlineLevel="0" collapsed="false">
      <c r="A1780" s="21"/>
      <c r="B1780" s="21"/>
      <c r="C1780" s="21"/>
      <c r="D1780" s="43" t="str">
        <f aca="false">IFERROR(INDEX(المكونات!$B$2:$B$500,MATCH($B1780,المكونات!$A$2:$A$500,0)),"")</f>
        <v/>
      </c>
      <c r="E1780" s="44" t="str">
        <f aca="false">IFERROR(INDEX(المكونات!$C$2:$C$500,MATCH($B1780,المكونات!$A$2:$A$500,0)),"")</f>
        <v/>
      </c>
      <c r="F1780" s="13" t="str">
        <f aca="false">IFERROR($C1780*$E1780,"")</f>
        <v/>
      </c>
    </row>
    <row r="1781" customFormat="false" ht="15" hidden="false" customHeight="true" outlineLevel="0" collapsed="false">
      <c r="A1781" s="21"/>
      <c r="B1781" s="21"/>
      <c r="C1781" s="21"/>
      <c r="D1781" s="43" t="str">
        <f aca="false">IFERROR(INDEX(المكونات!$B$2:$B$500,MATCH($B1781,المكونات!$A$2:$A$500,0)),"")</f>
        <v/>
      </c>
      <c r="E1781" s="44" t="str">
        <f aca="false">IFERROR(INDEX(المكونات!$C$2:$C$500,MATCH($B1781,المكونات!$A$2:$A$500,0)),"")</f>
        <v/>
      </c>
      <c r="F1781" s="13" t="str">
        <f aca="false">IFERROR($C1781*$E1781,"")</f>
        <v/>
      </c>
    </row>
    <row r="1782" customFormat="false" ht="15" hidden="false" customHeight="true" outlineLevel="0" collapsed="false">
      <c r="A1782" s="21"/>
      <c r="B1782" s="21"/>
      <c r="C1782" s="21"/>
      <c r="D1782" s="43" t="str">
        <f aca="false">IFERROR(INDEX(المكونات!$B$2:$B$500,MATCH($B1782,المكونات!$A$2:$A$500,0)),"")</f>
        <v/>
      </c>
      <c r="E1782" s="44" t="str">
        <f aca="false">IFERROR(INDEX(المكونات!$C$2:$C$500,MATCH($B1782,المكونات!$A$2:$A$500,0)),"")</f>
        <v/>
      </c>
      <c r="F1782" s="13" t="str">
        <f aca="false">IFERROR($C1782*$E1782,"")</f>
        <v/>
      </c>
    </row>
    <row r="1783" customFormat="false" ht="15" hidden="false" customHeight="true" outlineLevel="0" collapsed="false">
      <c r="A1783" s="21"/>
      <c r="B1783" s="21"/>
      <c r="C1783" s="21"/>
      <c r="D1783" s="43" t="str">
        <f aca="false">IFERROR(INDEX(المكونات!$B$2:$B$500,MATCH($B1783,المكونات!$A$2:$A$500,0)),"")</f>
        <v/>
      </c>
      <c r="E1783" s="44" t="str">
        <f aca="false">IFERROR(INDEX(المكونات!$C$2:$C$500,MATCH($B1783,المكونات!$A$2:$A$500,0)),"")</f>
        <v/>
      </c>
      <c r="F1783" s="13" t="str">
        <f aca="false">IFERROR($C1783*$E1783,"")</f>
        <v/>
      </c>
    </row>
    <row r="1784" customFormat="false" ht="15" hidden="false" customHeight="true" outlineLevel="0" collapsed="false">
      <c r="A1784" s="21"/>
      <c r="B1784" s="21"/>
      <c r="C1784" s="21"/>
      <c r="D1784" s="43" t="str">
        <f aca="false">IFERROR(INDEX(المكونات!$B$2:$B$500,MATCH($B1784,المكونات!$A$2:$A$500,0)),"")</f>
        <v/>
      </c>
      <c r="E1784" s="44" t="str">
        <f aca="false">IFERROR(INDEX(المكونات!$C$2:$C$500,MATCH($B1784,المكونات!$A$2:$A$500,0)),"")</f>
        <v/>
      </c>
      <c r="F1784" s="13" t="str">
        <f aca="false">IFERROR($C1784*$E1784,"")</f>
        <v/>
      </c>
    </row>
    <row r="1785" customFormat="false" ht="15" hidden="false" customHeight="true" outlineLevel="0" collapsed="false">
      <c r="A1785" s="21"/>
      <c r="B1785" s="21"/>
      <c r="C1785" s="21"/>
      <c r="D1785" s="43" t="str">
        <f aca="false">IFERROR(INDEX(المكونات!$B$2:$B$500,MATCH($B1785,المكونات!$A$2:$A$500,0)),"")</f>
        <v/>
      </c>
      <c r="E1785" s="44" t="str">
        <f aca="false">IFERROR(INDEX(المكونات!$C$2:$C$500,MATCH($B1785,المكونات!$A$2:$A$500,0)),"")</f>
        <v/>
      </c>
      <c r="F1785" s="13" t="str">
        <f aca="false">IFERROR($C1785*$E1785,"")</f>
        <v/>
      </c>
    </row>
    <row r="1786" customFormat="false" ht="15" hidden="false" customHeight="true" outlineLevel="0" collapsed="false">
      <c r="A1786" s="21"/>
      <c r="B1786" s="21"/>
      <c r="C1786" s="21"/>
      <c r="D1786" s="43" t="str">
        <f aca="false">IFERROR(INDEX(المكونات!$B$2:$B$500,MATCH($B1786,المكونات!$A$2:$A$500,0)),"")</f>
        <v/>
      </c>
      <c r="E1786" s="44" t="str">
        <f aca="false">IFERROR(INDEX(المكونات!$C$2:$C$500,MATCH($B1786,المكونات!$A$2:$A$500,0)),"")</f>
        <v/>
      </c>
      <c r="F1786" s="13" t="str">
        <f aca="false">IFERROR($C1786*$E1786,"")</f>
        <v/>
      </c>
    </row>
    <row r="1787" customFormat="false" ht="15" hidden="false" customHeight="true" outlineLevel="0" collapsed="false">
      <c r="A1787" s="21"/>
      <c r="B1787" s="21"/>
      <c r="C1787" s="21"/>
      <c r="D1787" s="43" t="str">
        <f aca="false">IFERROR(INDEX(المكونات!$B$2:$B$500,MATCH($B1787,المكونات!$A$2:$A$500,0)),"")</f>
        <v/>
      </c>
      <c r="E1787" s="44" t="str">
        <f aca="false">IFERROR(INDEX(المكونات!$C$2:$C$500,MATCH($B1787,المكونات!$A$2:$A$500,0)),"")</f>
        <v/>
      </c>
      <c r="F1787" s="13" t="str">
        <f aca="false">IFERROR($C1787*$E1787,"")</f>
        <v/>
      </c>
    </row>
    <row r="1788" customFormat="false" ht="15" hidden="false" customHeight="true" outlineLevel="0" collapsed="false">
      <c r="A1788" s="21"/>
      <c r="B1788" s="21"/>
      <c r="C1788" s="21"/>
      <c r="D1788" s="43" t="str">
        <f aca="false">IFERROR(INDEX(المكونات!$B$2:$B$500,MATCH($B1788,المكونات!$A$2:$A$500,0)),"")</f>
        <v/>
      </c>
      <c r="E1788" s="44" t="str">
        <f aca="false">IFERROR(INDEX(المكونات!$C$2:$C$500,MATCH($B1788,المكونات!$A$2:$A$500,0)),"")</f>
        <v/>
      </c>
      <c r="F1788" s="13" t="str">
        <f aca="false">IFERROR($C1788*$E1788,"")</f>
        <v/>
      </c>
    </row>
    <row r="1789" customFormat="false" ht="15" hidden="false" customHeight="true" outlineLevel="0" collapsed="false">
      <c r="A1789" s="21"/>
      <c r="B1789" s="21"/>
      <c r="C1789" s="21"/>
      <c r="D1789" s="43" t="str">
        <f aca="false">IFERROR(INDEX(المكونات!$B$2:$B$500,MATCH($B1789,المكونات!$A$2:$A$500,0)),"")</f>
        <v/>
      </c>
      <c r="E1789" s="44" t="str">
        <f aca="false">IFERROR(INDEX(المكونات!$C$2:$C$500,MATCH($B1789,المكونات!$A$2:$A$500,0)),"")</f>
        <v/>
      </c>
      <c r="F1789" s="13" t="str">
        <f aca="false">IFERROR($C1789*$E1789,"")</f>
        <v/>
      </c>
    </row>
    <row r="1790" customFormat="false" ht="15" hidden="false" customHeight="true" outlineLevel="0" collapsed="false">
      <c r="A1790" s="21"/>
      <c r="B1790" s="21"/>
      <c r="C1790" s="21"/>
      <c r="D1790" s="43" t="str">
        <f aca="false">IFERROR(INDEX(المكونات!$B$2:$B$500,MATCH($B1790,المكونات!$A$2:$A$500,0)),"")</f>
        <v/>
      </c>
      <c r="E1790" s="44" t="str">
        <f aca="false">IFERROR(INDEX(المكونات!$C$2:$C$500,MATCH($B1790,المكونات!$A$2:$A$500,0)),"")</f>
        <v/>
      </c>
      <c r="F1790" s="13" t="str">
        <f aca="false">IFERROR($C1790*$E1790,"")</f>
        <v/>
      </c>
    </row>
    <row r="1791" customFormat="false" ht="15" hidden="false" customHeight="true" outlineLevel="0" collapsed="false">
      <c r="A1791" s="21"/>
      <c r="B1791" s="21"/>
      <c r="C1791" s="21"/>
      <c r="D1791" s="43" t="str">
        <f aca="false">IFERROR(INDEX(المكونات!$B$2:$B$500,MATCH($B1791,المكونات!$A$2:$A$500,0)),"")</f>
        <v/>
      </c>
      <c r="E1791" s="44" t="str">
        <f aca="false">IFERROR(INDEX(المكونات!$C$2:$C$500,MATCH($B1791,المكونات!$A$2:$A$500,0)),"")</f>
        <v/>
      </c>
      <c r="F1791" s="13" t="str">
        <f aca="false">IFERROR($C1791*$E1791,"")</f>
        <v/>
      </c>
    </row>
    <row r="1792" customFormat="false" ht="15" hidden="false" customHeight="true" outlineLevel="0" collapsed="false">
      <c r="A1792" s="21"/>
      <c r="B1792" s="21"/>
      <c r="C1792" s="21"/>
      <c r="D1792" s="43" t="str">
        <f aca="false">IFERROR(INDEX(المكونات!$B$2:$B$500,MATCH($B1792,المكونات!$A$2:$A$500,0)),"")</f>
        <v/>
      </c>
      <c r="E1792" s="44" t="str">
        <f aca="false">IFERROR(INDEX(المكونات!$C$2:$C$500,MATCH($B1792,المكونات!$A$2:$A$500,0)),"")</f>
        <v/>
      </c>
      <c r="F1792" s="13" t="str">
        <f aca="false">IFERROR($C1792*$E1792,"")</f>
        <v/>
      </c>
    </row>
    <row r="1793" customFormat="false" ht="15" hidden="false" customHeight="true" outlineLevel="0" collapsed="false">
      <c r="A1793" s="21"/>
      <c r="B1793" s="21"/>
      <c r="C1793" s="21"/>
      <c r="D1793" s="43" t="str">
        <f aca="false">IFERROR(INDEX(المكونات!$B$2:$B$500,MATCH($B1793,المكونات!$A$2:$A$500,0)),"")</f>
        <v/>
      </c>
      <c r="E1793" s="44" t="str">
        <f aca="false">IFERROR(INDEX(المكونات!$C$2:$C$500,MATCH($B1793,المكونات!$A$2:$A$500,0)),"")</f>
        <v/>
      </c>
      <c r="F1793" s="13" t="str">
        <f aca="false">IFERROR($C1793*$E1793,"")</f>
        <v/>
      </c>
    </row>
    <row r="1794" customFormat="false" ht="15" hidden="false" customHeight="true" outlineLevel="0" collapsed="false">
      <c r="A1794" s="21"/>
      <c r="B1794" s="21"/>
      <c r="C1794" s="21"/>
      <c r="D1794" s="43" t="str">
        <f aca="false">IFERROR(INDEX(المكونات!$B$2:$B$500,MATCH($B1794,المكونات!$A$2:$A$500,0)),"")</f>
        <v/>
      </c>
      <c r="E1794" s="44" t="str">
        <f aca="false">IFERROR(INDEX(المكونات!$C$2:$C$500,MATCH($B1794,المكونات!$A$2:$A$500,0)),"")</f>
        <v/>
      </c>
      <c r="F1794" s="13" t="str">
        <f aca="false">IFERROR($C1794*$E1794,"")</f>
        <v/>
      </c>
    </row>
    <row r="1795" customFormat="false" ht="15" hidden="false" customHeight="true" outlineLevel="0" collapsed="false">
      <c r="A1795" s="21"/>
      <c r="B1795" s="21"/>
      <c r="C1795" s="21"/>
      <c r="D1795" s="43" t="str">
        <f aca="false">IFERROR(INDEX(المكونات!$B$2:$B$500,MATCH($B1795,المكونات!$A$2:$A$500,0)),"")</f>
        <v/>
      </c>
      <c r="E1795" s="44" t="str">
        <f aca="false">IFERROR(INDEX(المكونات!$C$2:$C$500,MATCH($B1795,المكونات!$A$2:$A$500,0)),"")</f>
        <v/>
      </c>
      <c r="F1795" s="13" t="str">
        <f aca="false">IFERROR($C1795*$E1795,"")</f>
        <v/>
      </c>
    </row>
    <row r="1796" customFormat="false" ht="15" hidden="false" customHeight="true" outlineLevel="0" collapsed="false">
      <c r="A1796" s="21"/>
      <c r="B1796" s="21"/>
      <c r="C1796" s="21"/>
      <c r="D1796" s="43" t="str">
        <f aca="false">IFERROR(INDEX(المكونات!$B$2:$B$500,MATCH($B1796,المكونات!$A$2:$A$500,0)),"")</f>
        <v/>
      </c>
      <c r="E1796" s="44" t="str">
        <f aca="false">IFERROR(INDEX(المكونات!$C$2:$C$500,MATCH($B1796,المكونات!$A$2:$A$500,0)),"")</f>
        <v/>
      </c>
      <c r="F1796" s="13" t="str">
        <f aca="false">IFERROR($C1796*$E1796,"")</f>
        <v/>
      </c>
    </row>
    <row r="1797" customFormat="false" ht="15" hidden="false" customHeight="true" outlineLevel="0" collapsed="false">
      <c r="A1797" s="21"/>
      <c r="B1797" s="21"/>
      <c r="C1797" s="21"/>
      <c r="D1797" s="43" t="str">
        <f aca="false">IFERROR(INDEX(المكونات!$B$2:$B$500,MATCH($B1797,المكونات!$A$2:$A$500,0)),"")</f>
        <v/>
      </c>
      <c r="E1797" s="44" t="str">
        <f aca="false">IFERROR(INDEX(المكونات!$C$2:$C$500,MATCH($B1797,المكونات!$A$2:$A$500,0)),"")</f>
        <v/>
      </c>
      <c r="F1797" s="13" t="str">
        <f aca="false">IFERROR($C1797*$E1797,"")</f>
        <v/>
      </c>
    </row>
    <row r="1798" customFormat="false" ht="15" hidden="false" customHeight="true" outlineLevel="0" collapsed="false">
      <c r="A1798" s="21"/>
      <c r="B1798" s="21"/>
      <c r="C1798" s="21"/>
      <c r="D1798" s="43" t="str">
        <f aca="false">IFERROR(INDEX(المكونات!$B$2:$B$500,MATCH($B1798,المكونات!$A$2:$A$500,0)),"")</f>
        <v/>
      </c>
      <c r="E1798" s="44" t="str">
        <f aca="false">IFERROR(INDEX(المكونات!$C$2:$C$500,MATCH($B1798,المكونات!$A$2:$A$500,0)),"")</f>
        <v/>
      </c>
      <c r="F1798" s="13" t="str">
        <f aca="false">IFERROR($C1798*$E1798,"")</f>
        <v/>
      </c>
    </row>
    <row r="1799" customFormat="false" ht="15" hidden="false" customHeight="true" outlineLevel="0" collapsed="false">
      <c r="A1799" s="21"/>
      <c r="B1799" s="21"/>
      <c r="C1799" s="21"/>
      <c r="D1799" s="43" t="str">
        <f aca="false">IFERROR(INDEX(المكونات!$B$2:$B$500,MATCH($B1799,المكونات!$A$2:$A$500,0)),"")</f>
        <v/>
      </c>
      <c r="E1799" s="44"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481</v>
      </c>
      <c r="B1" s="10" t="s">
        <v>23</v>
      </c>
      <c r="C1" s="10" t="s">
        <v>487</v>
      </c>
      <c r="D1" s="10" t="s">
        <v>482</v>
      </c>
      <c r="E1" s="10" t="s">
        <v>488</v>
      </c>
      <c r="F1" s="10" t="s">
        <v>44</v>
      </c>
      <c r="G1" s="10" t="s">
        <v>489</v>
      </c>
      <c r="H1" s="10" t="s">
        <v>490</v>
      </c>
      <c r="I1" s="10" t="s">
        <v>26</v>
      </c>
      <c r="J1" s="10" t="s">
        <v>491</v>
      </c>
      <c r="K1" s="10" t="s">
        <v>492</v>
      </c>
      <c r="L1" s="45" t="s">
        <v>493</v>
      </c>
      <c r="M1" s="10" t="s">
        <v>494</v>
      </c>
      <c r="N1" s="10" t="s">
        <v>495</v>
      </c>
    </row>
    <row r="2" customFormat="false" ht="39" hidden="false" customHeight="true" outlineLevel="0" collapsed="false">
      <c r="A2" s="43" t="str">
        <f aca="false">IFERROR(IF(المنيو!$B2="","",المنيو!$A2),"")</f>
        <v>قسم البيتزا</v>
      </c>
      <c r="B2" s="43" t="str">
        <f aca="false">IFERROR(المنيو!$B2,"")</f>
        <v>بيتزا مارجريتا وسط</v>
      </c>
      <c r="C2" s="13" t="n">
        <f aca="false">IFERROR(IF($B2="","",SUMIFS(الريسبي!$F$2:$F$1800,الريسبي!$A$2:$A$1800,$B2)),"")</f>
        <v>37.916</v>
      </c>
      <c r="D2" s="44" t="n">
        <f aca="false">IFERROR(IF($B2="","",المنيو!$C2),"")</f>
        <v>80</v>
      </c>
      <c r="E2" s="12" t="n">
        <f aca="false">IFERROR(IF(OR($B2="",$D2=0,$D2=""),"",$N2/$D2),"")</f>
        <v>0.48559875</v>
      </c>
      <c r="F2" s="46" t="n">
        <v>0.375</v>
      </c>
      <c r="G2" s="13" t="n">
        <f aca="false">IFERROR(IF($B2="","",$N2/$F2),"")</f>
        <v>103.5944</v>
      </c>
      <c r="H2" s="13" t="n">
        <f aca="false">IFERROR(IF($B2="","",$D2-$N2),"")</f>
        <v>41.1521</v>
      </c>
      <c r="I2" s="12" t="n">
        <f aca="false">IFERROR(IF(OR($B2="",$D2=0,$D2=""),"",$H2/$D2),"")</f>
        <v>0.51440125</v>
      </c>
      <c r="J2" s="46" t="n">
        <v>0.25</v>
      </c>
      <c r="K2" s="12" t="n">
        <f aca="false">IFERROR(IF($B2="","",$E2+$J2),"")</f>
        <v>0.73559875</v>
      </c>
      <c r="L2" s="47" t="n">
        <f aca="false">IFERROR(IF(OR($B2="",$C2=0,$C2=""),"",$I2+ROW()*0.0000001),"")</f>
        <v>0.51440145</v>
      </c>
      <c r="M2" s="48" t="n">
        <v>0.9319</v>
      </c>
      <c r="N2" s="13" t="n">
        <f aca="false">IFERROR(IF($B2="","",$C2+$M2),"")</f>
        <v>38.8479</v>
      </c>
    </row>
    <row r="3" customFormat="false" ht="39" hidden="false" customHeight="true" outlineLevel="0" collapsed="false">
      <c r="A3" s="43" t="str">
        <f aca="false">IFERROR(IF(المنيو!$B3="","",المنيو!$A3),"")</f>
        <v>قسم البيتزا</v>
      </c>
      <c r="B3" s="43" t="str">
        <f aca="false">IFERROR(المنيو!$B3,"")</f>
        <v>بيتزا مارجريتا حجم اكبر</v>
      </c>
      <c r="C3" s="13" t="n">
        <f aca="false">IFERROR(IF($B3="","",SUMIFS(الريسبي!$F$2:$F$1800,الريسبي!$A$2:$A$1800,$B3)),"")</f>
        <v>49.5704</v>
      </c>
      <c r="D3" s="44" t="n">
        <f aca="false">IFERROR(IF($B3="","",المنيو!$C3),"")</f>
        <v>110</v>
      </c>
      <c r="E3" s="12" t="n">
        <f aca="false">IFERROR(IF(OR($B3="",$D3=0,$D3=""),"",$N3/$D3),"")</f>
        <v>0.459111818181818</v>
      </c>
      <c r="F3" s="49" t="n">
        <f aca="false">$F$2</f>
        <v>0.375</v>
      </c>
      <c r="G3" s="13" t="n">
        <f aca="false">IFERROR(IF($B3="","",$N3/$F3),"")</f>
        <v>134.6728</v>
      </c>
      <c r="H3" s="13" t="n">
        <f aca="false">IFERROR(IF($B3="","",$D3-$N3),"")</f>
        <v>59.4977</v>
      </c>
      <c r="I3" s="12" t="n">
        <f aca="false">IFERROR(IF(OR($B3="",$D3=0,$D3=""),"",$H3/$D3),"")</f>
        <v>0.540888181818182</v>
      </c>
      <c r="J3" s="49" t="n">
        <f aca="false">$J$2</f>
        <v>0.25</v>
      </c>
      <c r="K3" s="12" t="n">
        <f aca="false">IFERROR(IF($B3="","",$E3+$J3),"")</f>
        <v>0.709111818181818</v>
      </c>
      <c r="L3" s="47" t="n">
        <f aca="false">IFERROR(IF(OR($B3="",$C3=0,$C3=""),"",$I3+ROW()*0.0000001),"")</f>
        <v>0.540888481818182</v>
      </c>
      <c r="M3" s="50" t="n">
        <f aca="false">$M$2</f>
        <v>0.9319</v>
      </c>
      <c r="N3" s="13" t="n">
        <f aca="false">IFERROR(IF($B3="","",$C3+$M3),"")</f>
        <v>50.5023</v>
      </c>
    </row>
    <row r="4" customFormat="false" ht="39" hidden="false" customHeight="true" outlineLevel="0" collapsed="false">
      <c r="A4" s="43" t="str">
        <f aca="false">IFERROR(IF(المنيو!$B4="","",المنيو!$A4),"")</f>
        <v>قسم البيتزا</v>
      </c>
      <c r="B4" s="43" t="str">
        <f aca="false">IFERROR(المنيو!$B4,"")</f>
        <v>بيتزا بسطرمة وسط</v>
      </c>
      <c r="C4" s="13" t="n">
        <f aca="false">IFERROR(IF($B4="","",SUMIFS(الريسبي!$F$2:$F$1800,الريسبي!$A$2:$A$1800,$B4)),"")</f>
        <v>72.916</v>
      </c>
      <c r="D4" s="44" t="n">
        <f aca="false">IFERROR(IF($B4="","",المنيو!$C4),"")</f>
        <v>130</v>
      </c>
      <c r="E4" s="12" t="n">
        <f aca="false">IFERROR(IF(OR($B4="",$D4=0,$D4=""),"",$N4/$D4),"")</f>
        <v>0.568060769230769</v>
      </c>
      <c r="F4" s="49" t="n">
        <f aca="false">$F$2</f>
        <v>0.375</v>
      </c>
      <c r="G4" s="13" t="n">
        <f aca="false">IFERROR(IF($B4="","",$N4/$F4),"")</f>
        <v>196.927733333333</v>
      </c>
      <c r="H4" s="13" t="n">
        <f aca="false">IFERROR(IF($B4="","",$D4-$N4),"")</f>
        <v>56.1521</v>
      </c>
      <c r="I4" s="12" t="n">
        <f aca="false">IFERROR(IF(OR($B4="",$D4=0,$D4=""),"",$H4/$D4),"")</f>
        <v>0.431939230769231</v>
      </c>
      <c r="J4" s="49" t="n">
        <f aca="false">$J$2</f>
        <v>0.25</v>
      </c>
      <c r="K4" s="12" t="n">
        <f aca="false">IFERROR(IF($B4="","",$E4+$J4),"")</f>
        <v>0.818060769230769</v>
      </c>
      <c r="L4" s="47" t="n">
        <f aca="false">IFERROR(IF(OR($B4="",$C4=0,$C4=""),"",$I4+ROW()*0.0000001),"")</f>
        <v>0.431939630769231</v>
      </c>
      <c r="M4" s="50" t="n">
        <f aca="false">$M$2</f>
        <v>0.9319</v>
      </c>
      <c r="N4" s="13" t="n">
        <f aca="false">IFERROR(IF($B4="","",$C4+$M4),"")</f>
        <v>73.8479</v>
      </c>
    </row>
    <row r="5" customFormat="false" ht="39" hidden="false" customHeight="true" outlineLevel="0" collapsed="false">
      <c r="A5" s="43" t="str">
        <f aca="false">IFERROR(IF(المنيو!$B5="","",المنيو!$A5),"")</f>
        <v>قسم البيتزا</v>
      </c>
      <c r="B5" s="43" t="str">
        <f aca="false">IFERROR(المنيو!$B5,"")</f>
        <v>بيتزا بسطرمة حجم اكبر</v>
      </c>
      <c r="C5" s="13" t="n">
        <f aca="false">IFERROR(IF($B5="","",SUMIFS(الريسبي!$F$2:$F$1800,الريسبي!$A$2:$A$1800,$B5)),"")</f>
        <v>96.4593</v>
      </c>
      <c r="D5" s="44" t="n">
        <f aca="false">IFERROR(IF($B5="","",المنيو!$C5),"")</f>
        <v>190</v>
      </c>
      <c r="E5" s="12" t="n">
        <f aca="false">IFERROR(IF(OR($B5="",$D5=0,$D5=""),"",$N5/$D5),"")</f>
        <v>0.512585263157895</v>
      </c>
      <c r="F5" s="49" t="n">
        <f aca="false">$F$2</f>
        <v>0.375</v>
      </c>
      <c r="G5" s="13" t="n">
        <f aca="false">IFERROR(IF($B5="","",$N5/$F5),"")</f>
        <v>259.709866666667</v>
      </c>
      <c r="H5" s="13" t="n">
        <f aca="false">IFERROR(IF($B5="","",$D5-$N5),"")</f>
        <v>92.6088</v>
      </c>
      <c r="I5" s="12" t="n">
        <f aca="false">IFERROR(IF(OR($B5="",$D5=0,$D5=""),"",$H5/$D5),"")</f>
        <v>0.487414736842105</v>
      </c>
      <c r="J5" s="49" t="n">
        <f aca="false">$J$2</f>
        <v>0.25</v>
      </c>
      <c r="K5" s="12" t="n">
        <f aca="false">IFERROR(IF($B5="","",$E5+$J5),"")</f>
        <v>0.762585263157895</v>
      </c>
      <c r="L5" s="47" t="n">
        <f aca="false">IFERROR(IF(OR($B5="",$C5=0,$C5=""),"",$I5+ROW()*0.0000001),"")</f>
        <v>0.487415236842105</v>
      </c>
      <c r="M5" s="50" t="n">
        <f aca="false">$M$2</f>
        <v>0.9319</v>
      </c>
      <c r="N5" s="13" t="n">
        <f aca="false">IFERROR(IF($B5="","",$C5+$M5),"")</f>
        <v>97.3912</v>
      </c>
    </row>
    <row r="6" customFormat="false" ht="39" hidden="false" customHeight="true" outlineLevel="0" collapsed="false">
      <c r="A6" s="43" t="str">
        <f aca="false">IFERROR(IF(المنيو!$B6="","",المنيو!$A6),"")</f>
        <v>قسم البيتزا</v>
      </c>
      <c r="B6" s="43" t="str">
        <f aca="false">IFERROR(المنيو!$B6,"")</f>
        <v>بيتزا سدق وسط</v>
      </c>
      <c r="C6" s="13" t="n">
        <f aca="false">IFERROR(IF($B6="","",SUMIFS(الريسبي!$F$2:$F$1800,الريسبي!$A$2:$A$1800,$B6)),"")</f>
        <v>71.916</v>
      </c>
      <c r="D6" s="44" t="n">
        <f aca="false">IFERROR(IF($B6="","",المنيو!$C6),"")</f>
        <v>120</v>
      </c>
      <c r="E6" s="12" t="n">
        <f aca="false">IFERROR(IF(OR($B6="",$D6=0,$D6=""),"",$N6/$D6),"")</f>
        <v>0.607065833333333</v>
      </c>
      <c r="F6" s="49" t="n">
        <f aca="false">$F$2</f>
        <v>0.375</v>
      </c>
      <c r="G6" s="13" t="n">
        <f aca="false">IFERROR(IF($B6="","",$N6/$F6),"")</f>
        <v>194.261066666667</v>
      </c>
      <c r="H6" s="13" t="n">
        <f aca="false">IFERROR(IF($B6="","",$D6-$N6),"")</f>
        <v>47.1521</v>
      </c>
      <c r="I6" s="12" t="n">
        <f aca="false">IFERROR(IF(OR($B6="",$D6=0,$D6=""),"",$H6/$D6),"")</f>
        <v>0.392934166666667</v>
      </c>
      <c r="J6" s="49" t="n">
        <f aca="false">$J$2</f>
        <v>0.25</v>
      </c>
      <c r="K6" s="12" t="n">
        <f aca="false">IFERROR(IF($B6="","",$E6+$J6),"")</f>
        <v>0.857065833333333</v>
      </c>
      <c r="L6" s="47" t="n">
        <f aca="false">IFERROR(IF(OR($B6="",$C6=0,$C6=""),"",$I6+ROW()*0.0000001),"")</f>
        <v>0.392934766666667</v>
      </c>
      <c r="M6" s="50" t="n">
        <f aca="false">$M$2</f>
        <v>0.9319</v>
      </c>
      <c r="N6" s="13" t="n">
        <f aca="false">IFERROR(IF($B6="","",$C6+$M6),"")</f>
        <v>72.8479</v>
      </c>
    </row>
    <row r="7" customFormat="false" ht="39" hidden="false" customHeight="true" outlineLevel="0" collapsed="false">
      <c r="A7" s="43" t="str">
        <f aca="false">IFERROR(IF(المنيو!$B7="","",المنيو!$A7),"")</f>
        <v>قسم البيتزا</v>
      </c>
      <c r="B7" s="43" t="str">
        <f aca="false">IFERROR(المنيو!$B7,"")</f>
        <v>بيتزا سدق حجم اكبر</v>
      </c>
      <c r="C7" s="13" t="n">
        <f aca="false">IFERROR(IF($B7="","",SUMIFS(الريسبي!$F$2:$F$1800,الريسبي!$A$2:$A$1800,$B7)),"")</f>
        <v>94.5704</v>
      </c>
      <c r="D7" s="44" t="n">
        <f aca="false">IFERROR(IF($B7="","",المنيو!$C7),"")</f>
        <v>180</v>
      </c>
      <c r="E7" s="12" t="n">
        <f aca="false">IFERROR(IF(OR($B7="",$D7=0,$D7=""),"",$N7/$D7),"")</f>
        <v>0.530568333333333</v>
      </c>
      <c r="F7" s="49" t="n">
        <f aca="false">$F$2</f>
        <v>0.375</v>
      </c>
      <c r="G7" s="13" t="n">
        <f aca="false">IFERROR(IF($B7="","",$N7/$F7),"")</f>
        <v>254.6728</v>
      </c>
      <c r="H7" s="13" t="n">
        <f aca="false">IFERROR(IF($B7="","",$D7-$N7),"")</f>
        <v>84.4977</v>
      </c>
      <c r="I7" s="12" t="n">
        <f aca="false">IFERROR(IF(OR($B7="",$D7=0,$D7=""),"",$H7/$D7),"")</f>
        <v>0.469431666666667</v>
      </c>
      <c r="J7" s="49" t="n">
        <f aca="false">$J$2</f>
        <v>0.25</v>
      </c>
      <c r="K7" s="12" t="n">
        <f aca="false">IFERROR(IF($B7="","",$E7+$J7),"")</f>
        <v>0.780568333333333</v>
      </c>
      <c r="L7" s="47" t="n">
        <f aca="false">IFERROR(IF(OR($B7="",$C7=0,$C7=""),"",$I7+ROW()*0.0000001),"")</f>
        <v>0.469432366666667</v>
      </c>
      <c r="M7" s="50" t="n">
        <f aca="false">$M$2</f>
        <v>0.9319</v>
      </c>
      <c r="N7" s="13" t="n">
        <f aca="false">IFERROR(IF($B7="","",$C7+$M7),"")</f>
        <v>95.5023</v>
      </c>
    </row>
    <row r="8" customFormat="false" ht="39" hidden="false" customHeight="true" outlineLevel="0" collapsed="false">
      <c r="A8" s="43" t="str">
        <f aca="false">IFERROR(IF(المنيو!$B8="","",المنيو!$A8),"")</f>
        <v>قسم البيتزا</v>
      </c>
      <c r="B8" s="43" t="str">
        <f aca="false">IFERROR(المنيو!$B8,"")</f>
        <v>بيتزا دبل سلامي / بيبروني وسط</v>
      </c>
      <c r="C8" s="13" t="n">
        <f aca="false">IFERROR(IF($B8="","",SUMIFS(الريسبي!$F$2:$F$1800,الريسبي!$A$2:$A$1800,$B8)),"")</f>
        <v>65.0602</v>
      </c>
      <c r="D8" s="44" t="n">
        <f aca="false">IFERROR(IF($B8="","",المنيو!$C8),"")</f>
        <v>120</v>
      </c>
      <c r="E8" s="12" t="n">
        <f aca="false">IFERROR(IF(OR($B8="",$D8=0,$D8=""),"",$N8/$D8),"")</f>
        <v>0.549934166666667</v>
      </c>
      <c r="F8" s="49" t="n">
        <f aca="false">$F$2</f>
        <v>0.375</v>
      </c>
      <c r="G8" s="13" t="n">
        <f aca="false">IFERROR(IF($B8="","",$N8/$F8),"")</f>
        <v>175.978933333333</v>
      </c>
      <c r="H8" s="13" t="n">
        <f aca="false">IFERROR(IF($B8="","",$D8-$N8),"")</f>
        <v>54.0079</v>
      </c>
      <c r="I8" s="12" t="n">
        <f aca="false">IFERROR(IF(OR($B8="",$D8=0,$D8=""),"",$H8/$D8),"")</f>
        <v>0.450065833333333</v>
      </c>
      <c r="J8" s="49" t="n">
        <f aca="false">$J$2</f>
        <v>0.25</v>
      </c>
      <c r="K8" s="12" t="n">
        <f aca="false">IFERROR(IF($B8="","",$E8+$J8),"")</f>
        <v>0.799934166666667</v>
      </c>
      <c r="L8" s="47" t="n">
        <f aca="false">IFERROR(IF(OR($B8="",$C8=0,$C8=""),"",$I8+ROW()*0.0000001),"")</f>
        <v>0.450066633333333</v>
      </c>
      <c r="M8" s="50" t="n">
        <f aca="false">$M$2</f>
        <v>0.9319</v>
      </c>
      <c r="N8" s="13" t="n">
        <f aca="false">IFERROR(IF($B8="","",$C8+$M8),"")</f>
        <v>65.9921</v>
      </c>
    </row>
    <row r="9" customFormat="false" ht="39" hidden="false" customHeight="true" outlineLevel="0" collapsed="false">
      <c r="A9" s="43" t="str">
        <f aca="false">IFERROR(IF(المنيو!$B9="","",المنيو!$A9),"")</f>
        <v>قسم البيتزا</v>
      </c>
      <c r="B9" s="43" t="str">
        <f aca="false">IFERROR(المنيو!$B9,"")</f>
        <v>بيتزا دبل سلامي / بيبروني حجم اكبر</v>
      </c>
      <c r="C9" s="13" t="n">
        <f aca="false">IFERROR(IF($B9="","",SUMIFS(الريسبي!$F$2:$F$1800,الريسبي!$A$2:$A$1800,$B9)),"")</f>
        <v>90.2867</v>
      </c>
      <c r="D9" s="44" t="n">
        <f aca="false">IFERROR(IF($B9="","",المنيو!$C9),"")</f>
        <v>180</v>
      </c>
      <c r="E9" s="12" t="n">
        <f aca="false">IFERROR(IF(OR($B9="",$D9=0,$D9=""),"",$N9/$D9),"")</f>
        <v>0.50677</v>
      </c>
      <c r="F9" s="49" t="n">
        <f aca="false">$F$2</f>
        <v>0.375</v>
      </c>
      <c r="G9" s="13" t="n">
        <f aca="false">IFERROR(IF($B9="","",$N9/$F9),"")</f>
        <v>243.2496</v>
      </c>
      <c r="H9" s="13" t="n">
        <f aca="false">IFERROR(IF($B9="","",$D9-$N9),"")</f>
        <v>88.7814</v>
      </c>
      <c r="I9" s="12" t="n">
        <f aca="false">IFERROR(IF(OR($B9="",$D9=0,$D9=""),"",$H9/$D9),"")</f>
        <v>0.49323</v>
      </c>
      <c r="J9" s="49" t="n">
        <f aca="false">$J$2</f>
        <v>0.25</v>
      </c>
      <c r="K9" s="12" t="n">
        <f aca="false">IFERROR(IF($B9="","",$E9+$J9),"")</f>
        <v>0.75677</v>
      </c>
      <c r="L9" s="47" t="n">
        <f aca="false">IFERROR(IF(OR($B9="",$C9=0,$C9=""),"",$I9+ROW()*0.0000001),"")</f>
        <v>0.4932309</v>
      </c>
      <c r="M9" s="50" t="n">
        <f aca="false">$M$2</f>
        <v>0.9319</v>
      </c>
      <c r="N9" s="13" t="n">
        <f aca="false">IFERROR(IF($B9="","",$C9+$M9),"")</f>
        <v>91.2186</v>
      </c>
    </row>
    <row r="10" customFormat="false" ht="39" hidden="false" customHeight="true" outlineLevel="0" collapsed="false">
      <c r="A10" s="43" t="str">
        <f aca="false">IFERROR(IF(المنيو!$B10="","",المنيو!$A10),"")</f>
        <v>قسم البيتزا</v>
      </c>
      <c r="B10" s="43" t="str">
        <f aca="false">IFERROR(المنيو!$B10,"")</f>
        <v>بيتزا مشكل جبن وسط</v>
      </c>
      <c r="C10" s="13" t="n">
        <f aca="false">IFERROR(IF($B10="","",SUMIFS(الريسبي!$F$2:$F$1800,الريسبي!$A$2:$A$1800,$B10)),"")</f>
        <v>74.916</v>
      </c>
      <c r="D10" s="44" t="n">
        <f aca="false">IFERROR(IF($B10="","",المنيو!$C10),"")</f>
        <v>120</v>
      </c>
      <c r="E10" s="12" t="n">
        <f aca="false">IFERROR(IF(OR($B10="",$D10=0,$D10=""),"",$N10/$D10),"")</f>
        <v>0.632065833333333</v>
      </c>
      <c r="F10" s="49" t="n">
        <f aca="false">$F$2</f>
        <v>0.375</v>
      </c>
      <c r="G10" s="13" t="n">
        <f aca="false">IFERROR(IF($B10="","",$N10/$F10),"")</f>
        <v>202.261066666667</v>
      </c>
      <c r="H10" s="13" t="n">
        <f aca="false">IFERROR(IF($B10="","",$D10-$N10),"")</f>
        <v>44.1521</v>
      </c>
      <c r="I10" s="12" t="n">
        <f aca="false">IFERROR(IF(OR($B10="",$D10=0,$D10=""),"",$H10/$D10),"")</f>
        <v>0.367934166666667</v>
      </c>
      <c r="J10" s="49" t="n">
        <f aca="false">$J$2</f>
        <v>0.25</v>
      </c>
      <c r="K10" s="12" t="n">
        <f aca="false">IFERROR(IF($B10="","",$E10+$J10),"")</f>
        <v>0.882065833333333</v>
      </c>
      <c r="L10" s="47" t="n">
        <f aca="false">IFERROR(IF(OR($B10="",$C10=0,$C10=""),"",$I10+ROW()*0.0000001),"")</f>
        <v>0.367935166666667</v>
      </c>
      <c r="M10" s="50" t="n">
        <f aca="false">$M$2</f>
        <v>0.9319</v>
      </c>
      <c r="N10" s="13" t="n">
        <f aca="false">IFERROR(IF($B10="","",$C10+$M10),"")</f>
        <v>75.8479</v>
      </c>
    </row>
    <row r="11" customFormat="false" ht="39" hidden="false" customHeight="true" outlineLevel="0" collapsed="false">
      <c r="A11" s="43" t="str">
        <f aca="false">IFERROR(IF(المنيو!$B11="","",المنيو!$A11),"")</f>
        <v>قسم البيتزا</v>
      </c>
      <c r="B11" s="43" t="str">
        <f aca="false">IFERROR(المنيو!$B11,"")</f>
        <v>بيتزا مشكل جبن حجم اكبر</v>
      </c>
      <c r="C11" s="13" t="n">
        <f aca="false">IFERROR(IF($B11="","",SUMIFS(الريسبي!$F$2:$F$1800,الريسبي!$A$2:$A$1800,$B11)),"")</f>
        <v>105.0704</v>
      </c>
      <c r="D11" s="44" t="n">
        <f aca="false">IFERROR(IF($B11="","",المنيو!$C11),"")</f>
        <v>180</v>
      </c>
      <c r="E11" s="12" t="n">
        <f aca="false">IFERROR(IF(OR($B11="",$D11=0,$D11=""),"",$N11/$D11),"")</f>
        <v>0.588901666666667</v>
      </c>
      <c r="F11" s="49" t="n">
        <f aca="false">$F$2</f>
        <v>0.375</v>
      </c>
      <c r="G11" s="13" t="n">
        <f aca="false">IFERROR(IF($B11="","",$N11/$F11),"")</f>
        <v>282.6728</v>
      </c>
      <c r="H11" s="13" t="n">
        <f aca="false">IFERROR(IF($B11="","",$D11-$N11),"")</f>
        <v>73.9977</v>
      </c>
      <c r="I11" s="12" t="n">
        <f aca="false">IFERROR(IF(OR($B11="",$D11=0,$D11=""),"",$H11/$D11),"")</f>
        <v>0.411098333333333</v>
      </c>
      <c r="J11" s="49" t="n">
        <f aca="false">$J$2</f>
        <v>0.25</v>
      </c>
      <c r="K11" s="12" t="n">
        <f aca="false">IFERROR(IF($B11="","",$E11+$J11),"")</f>
        <v>0.838901666666667</v>
      </c>
      <c r="L11" s="47" t="n">
        <f aca="false">IFERROR(IF(OR($B11="",$C11=0,$C11=""),"",$I11+ROW()*0.0000001),"")</f>
        <v>0.411099433333333</v>
      </c>
      <c r="M11" s="50" t="n">
        <f aca="false">$M$2</f>
        <v>0.9319</v>
      </c>
      <c r="N11" s="13" t="n">
        <f aca="false">IFERROR(IF($B11="","",$C11+$M11),"")</f>
        <v>106.0023</v>
      </c>
    </row>
    <row r="12" customFormat="false" ht="39" hidden="false" customHeight="true" outlineLevel="0" collapsed="false">
      <c r="A12" s="43" t="str">
        <f aca="false">IFERROR(IF(المنيو!$B12="","",المنيو!$A12),"")</f>
        <v>قسم البيتزا</v>
      </c>
      <c r="B12" s="43" t="str">
        <f aca="false">IFERROR(المنيو!$B12,"")</f>
        <v>بيتزا فراخ رانش وسط</v>
      </c>
      <c r="C12" s="13" t="n">
        <f aca="false">IFERROR(IF($B12="","",SUMIFS(الريسبي!$F$2:$F$1800,الريسبي!$A$2:$A$1800,$B12)),"")</f>
        <v>82.1769</v>
      </c>
      <c r="D12" s="44" t="n">
        <f aca="false">IFERROR(IF($B12="","",المنيو!$C12),"")</f>
        <v>140</v>
      </c>
      <c r="E12" s="12" t="n">
        <f aca="false">IFERROR(IF(OR($B12="",$D12=0,$D12=""),"",$N12/$D12),"")</f>
        <v>0.593634285714286</v>
      </c>
      <c r="F12" s="49" t="n">
        <f aca="false">$F$2</f>
        <v>0.375</v>
      </c>
      <c r="G12" s="13" t="n">
        <f aca="false">IFERROR(IF($B12="","",$N12/$F12),"")</f>
        <v>221.623466666667</v>
      </c>
      <c r="H12" s="13" t="n">
        <f aca="false">IFERROR(IF($B12="","",$D12-$N12),"")</f>
        <v>56.8912</v>
      </c>
      <c r="I12" s="12" t="n">
        <f aca="false">IFERROR(IF(OR($B12="",$D12=0,$D12=""),"",$H12/$D12),"")</f>
        <v>0.406365714285714</v>
      </c>
      <c r="J12" s="49" t="n">
        <f aca="false">$J$2</f>
        <v>0.25</v>
      </c>
      <c r="K12" s="12" t="n">
        <f aca="false">IFERROR(IF($B12="","",$E12+$J12),"")</f>
        <v>0.843634285714286</v>
      </c>
      <c r="L12" s="47" t="n">
        <f aca="false">IFERROR(IF(OR($B12="",$C12=0,$C12=""),"",$I12+ROW()*0.0000001),"")</f>
        <v>0.406366914285714</v>
      </c>
      <c r="M12" s="50" t="n">
        <f aca="false">$M$2</f>
        <v>0.9319</v>
      </c>
      <c r="N12" s="13" t="n">
        <f aca="false">IFERROR(IF($B12="","",$C12+$M12),"")</f>
        <v>83.1088</v>
      </c>
    </row>
    <row r="13" customFormat="false" ht="39" hidden="false" customHeight="true" outlineLevel="0" collapsed="false">
      <c r="A13" s="43" t="str">
        <f aca="false">IFERROR(IF(المنيو!$B13="","",المنيو!$A13),"")</f>
        <v>قسم البيتزا</v>
      </c>
      <c r="B13" s="43" t="str">
        <f aca="false">IFERROR(المنيو!$B13,"")</f>
        <v>بيتزا فراخ رانش حجم اكبر</v>
      </c>
      <c r="C13" s="13" t="n">
        <f aca="false">IFERROR(IF($B13="","",SUMIFS(الريسبي!$F$2:$F$1800,الريسبي!$A$2:$A$1800,$B13)),"")</f>
        <v>113.6061</v>
      </c>
      <c r="D13" s="44" t="n">
        <f aca="false">IFERROR(IF($B13="","",المنيو!$C13),"")</f>
        <v>220</v>
      </c>
      <c r="E13" s="12" t="n">
        <f aca="false">IFERROR(IF(OR($B13="",$D13=0,$D13=""),"",$N13/$D13),"")</f>
        <v>0.520627272727273</v>
      </c>
      <c r="F13" s="49" t="n">
        <f aca="false">$F$2</f>
        <v>0.375</v>
      </c>
      <c r="G13" s="13" t="n">
        <f aca="false">IFERROR(IF($B13="","",$N13/$F13),"")</f>
        <v>305.434666666667</v>
      </c>
      <c r="H13" s="13" t="n">
        <f aca="false">IFERROR(IF($B13="","",$D13-$N13),"")</f>
        <v>105.462</v>
      </c>
      <c r="I13" s="12" t="n">
        <f aca="false">IFERROR(IF(OR($B13="",$D13=0,$D13=""),"",$H13/$D13),"")</f>
        <v>0.479372727272727</v>
      </c>
      <c r="J13" s="49" t="n">
        <f aca="false">$J$2</f>
        <v>0.25</v>
      </c>
      <c r="K13" s="12" t="n">
        <f aca="false">IFERROR(IF($B13="","",$E13+$J13),"")</f>
        <v>0.770627272727273</v>
      </c>
      <c r="L13" s="47" t="n">
        <f aca="false">IFERROR(IF(OR($B13="",$C13=0,$C13=""),"",$I13+ROW()*0.0000001),"")</f>
        <v>0.479374027272727</v>
      </c>
      <c r="M13" s="50" t="n">
        <f aca="false">$M$2</f>
        <v>0.9319</v>
      </c>
      <c r="N13" s="13" t="n">
        <f aca="false">IFERROR(IF($B13="","",$C13+$M13),"")</f>
        <v>114.538</v>
      </c>
    </row>
    <row r="14" customFormat="false" ht="39" hidden="false" customHeight="true" outlineLevel="0" collapsed="false">
      <c r="A14" s="43" t="str">
        <f aca="false">IFERROR(IF(المنيو!$B14="","",المنيو!$A14),"")</f>
        <v>قسم البيتزا</v>
      </c>
      <c r="B14" s="43" t="str">
        <f aca="false">IFERROR(المنيو!$B14,"")</f>
        <v>بيتزا فراخ باربيكيو وسط</v>
      </c>
      <c r="C14" s="13" t="n">
        <f aca="false">IFERROR(IF($B14="","",SUMIFS(الريسبي!$F$2:$F$1800,الريسبي!$A$2:$A$1800,$B14)),"")</f>
        <v>78.6769</v>
      </c>
      <c r="D14" s="44" t="n">
        <f aca="false">IFERROR(IF($B14="","",المنيو!$C14),"")</f>
        <v>140</v>
      </c>
      <c r="E14" s="12" t="n">
        <f aca="false">IFERROR(IF(OR($B14="",$D14=0,$D14=""),"",$N14/$D14),"")</f>
        <v>0.568634285714286</v>
      </c>
      <c r="F14" s="49" t="n">
        <f aca="false">$F$2</f>
        <v>0.375</v>
      </c>
      <c r="G14" s="13" t="n">
        <f aca="false">IFERROR(IF($B14="","",$N14/$F14),"")</f>
        <v>212.290133333333</v>
      </c>
      <c r="H14" s="13" t="n">
        <f aca="false">IFERROR(IF($B14="","",$D14-$N14),"")</f>
        <v>60.3912</v>
      </c>
      <c r="I14" s="12" t="n">
        <f aca="false">IFERROR(IF(OR($B14="",$D14=0,$D14=""),"",$H14/$D14),"")</f>
        <v>0.431365714285714</v>
      </c>
      <c r="J14" s="49" t="n">
        <f aca="false">$J$2</f>
        <v>0.25</v>
      </c>
      <c r="K14" s="12" t="n">
        <f aca="false">IFERROR(IF($B14="","",$E14+$J14),"")</f>
        <v>0.818634285714286</v>
      </c>
      <c r="L14" s="47" t="n">
        <f aca="false">IFERROR(IF(OR($B14="",$C14=0,$C14=""),"",$I14+ROW()*0.0000001),"")</f>
        <v>0.431367114285714</v>
      </c>
      <c r="M14" s="50" t="n">
        <f aca="false">$M$2</f>
        <v>0.9319</v>
      </c>
      <c r="N14" s="13" t="n">
        <f aca="false">IFERROR(IF($B14="","",$C14+$M14),"")</f>
        <v>79.6088</v>
      </c>
    </row>
    <row r="15" customFormat="false" ht="39" hidden="false" customHeight="true" outlineLevel="0" collapsed="false">
      <c r="A15" s="43" t="str">
        <f aca="false">IFERROR(IF(المنيو!$B15="","",المنيو!$A15),"")</f>
        <v>قسم البيتزا</v>
      </c>
      <c r="B15" s="43" t="str">
        <f aca="false">IFERROR(المنيو!$B15,"")</f>
        <v>بيتزا فراخ باربيكيو حجم اكبر</v>
      </c>
      <c r="C15" s="13" t="n">
        <f aca="false">IFERROR(IF($B15="","",SUMIFS(الريسبي!$F$2:$F$1800,الريسبي!$A$2:$A$1800,$B15)),"")</f>
        <v>108.3561</v>
      </c>
      <c r="D15" s="44" t="n">
        <f aca="false">IFERROR(IF($B15="","",المنيو!$C15),"")</f>
        <v>220</v>
      </c>
      <c r="E15" s="12" t="n">
        <f aca="false">IFERROR(IF(OR($B15="",$D15=0,$D15=""),"",$N15/$D15),"")</f>
        <v>0.496763636363636</v>
      </c>
      <c r="F15" s="49" t="n">
        <f aca="false">$F$2</f>
        <v>0.375</v>
      </c>
      <c r="G15" s="13" t="n">
        <f aca="false">IFERROR(IF($B15="","",$N15/$F15),"")</f>
        <v>291.434666666667</v>
      </c>
      <c r="H15" s="13" t="n">
        <f aca="false">IFERROR(IF($B15="","",$D15-$N15),"")</f>
        <v>110.712</v>
      </c>
      <c r="I15" s="12" t="n">
        <f aca="false">IFERROR(IF(OR($B15="",$D15=0,$D15=""),"",$H15/$D15),"")</f>
        <v>0.503236363636364</v>
      </c>
      <c r="J15" s="49" t="n">
        <f aca="false">$J$2</f>
        <v>0.25</v>
      </c>
      <c r="K15" s="12" t="n">
        <f aca="false">IFERROR(IF($B15="","",$E15+$J15),"")</f>
        <v>0.746763636363636</v>
      </c>
      <c r="L15" s="47" t="n">
        <f aca="false">IFERROR(IF(OR($B15="",$C15=0,$C15=""),"",$I15+ROW()*0.0000001),"")</f>
        <v>0.503237863636364</v>
      </c>
      <c r="M15" s="50" t="n">
        <f aca="false">$M$2</f>
        <v>0.9319</v>
      </c>
      <c r="N15" s="13" t="n">
        <f aca="false">IFERROR(IF($B15="","",$C15+$M15),"")</f>
        <v>109.288</v>
      </c>
    </row>
    <row r="16" customFormat="false" ht="39" hidden="false" customHeight="true" outlineLevel="0" collapsed="false">
      <c r="A16" s="43" t="str">
        <f aca="false">IFERROR(IF(المنيو!$B16="","",المنيو!$A16),"")</f>
        <v>قسم البيتزا</v>
      </c>
      <c r="B16" s="43" t="str">
        <f aca="false">IFERROR(المنيو!$B16,"")</f>
        <v>بيتزا فراخ كريسبي رانش وسط</v>
      </c>
      <c r="C16" s="13" t="n">
        <f aca="false">IFERROR(IF($B16="","",SUMIFS(الريسبي!$F$2:$F$1800,الريسبي!$A$2:$A$1800,$B16)),"")</f>
        <v>83.9937</v>
      </c>
      <c r="D16" s="44" t="n">
        <f aca="false">IFERROR(IF($B16="","",المنيو!$C16),"")</f>
        <v>140</v>
      </c>
      <c r="E16" s="12" t="n">
        <f aca="false">IFERROR(IF(OR($B16="",$D16=0,$D16=""),"",$N16/$D16),"")</f>
        <v>0.606611428571429</v>
      </c>
      <c r="F16" s="49" t="n">
        <f aca="false">$F$2</f>
        <v>0.375</v>
      </c>
      <c r="G16" s="13" t="n">
        <f aca="false">IFERROR(IF($B16="","",$N16/$F16),"")</f>
        <v>226.468266666667</v>
      </c>
      <c r="H16" s="13" t="n">
        <f aca="false">IFERROR(IF($B16="","",$D16-$N16),"")</f>
        <v>55.0744</v>
      </c>
      <c r="I16" s="12" t="n">
        <f aca="false">IFERROR(IF(OR($B16="",$D16=0,$D16=""),"",$H16/$D16),"")</f>
        <v>0.393388571428571</v>
      </c>
      <c r="J16" s="49" t="n">
        <f aca="false">$J$2</f>
        <v>0.25</v>
      </c>
      <c r="K16" s="12" t="n">
        <f aca="false">IFERROR(IF($B16="","",$E16+$J16),"")</f>
        <v>0.856611428571429</v>
      </c>
      <c r="L16" s="47" t="n">
        <f aca="false">IFERROR(IF(OR($B16="",$C16=0,$C16=""),"",$I16+ROW()*0.0000001),"")</f>
        <v>0.393390171428571</v>
      </c>
      <c r="M16" s="50" t="n">
        <f aca="false">$M$2</f>
        <v>0.9319</v>
      </c>
      <c r="N16" s="13" t="n">
        <f aca="false">IFERROR(IF($B16="","",$C16+$M16),"")</f>
        <v>84.9256</v>
      </c>
    </row>
    <row r="17" customFormat="false" ht="39" hidden="false" customHeight="true" outlineLevel="0" collapsed="false">
      <c r="A17" s="43" t="str">
        <f aca="false">IFERROR(IF(المنيو!$B17="","",المنيو!$A17),"")</f>
        <v>قسم البيتزا</v>
      </c>
      <c r="B17" s="43" t="str">
        <f aca="false">IFERROR(المنيو!$B17,"")</f>
        <v>بيتزا فراخ كريسبي رانش حجم اكبر</v>
      </c>
      <c r="C17" s="13" t="n">
        <f aca="false">IFERROR(IF($B17="","",SUMIFS(الريسبي!$F$2:$F$1800,الريسبي!$A$2:$A$1800,$B17)),"")</f>
        <v>99.8981</v>
      </c>
      <c r="D17" s="44" t="n">
        <f aca="false">IFERROR(IF($B17="","",المنيو!$C17),"")</f>
        <v>220</v>
      </c>
      <c r="E17" s="12" t="n">
        <f aca="false">IFERROR(IF(OR($B17="",$D17=0,$D17=""),"",$N17/$D17),"")</f>
        <v>0.458318181818182</v>
      </c>
      <c r="F17" s="49" t="n">
        <f aca="false">$F$2</f>
        <v>0.375</v>
      </c>
      <c r="G17" s="13" t="n">
        <f aca="false">IFERROR(IF($B17="","",$N17/$F17),"")</f>
        <v>268.88</v>
      </c>
      <c r="H17" s="13" t="n">
        <f aca="false">IFERROR(IF($B17="","",$D17-$N17),"")</f>
        <v>119.17</v>
      </c>
      <c r="I17" s="12" t="n">
        <f aca="false">IFERROR(IF(OR($B17="",$D17=0,$D17=""),"",$H17/$D17),"")</f>
        <v>0.541681818181818</v>
      </c>
      <c r="J17" s="49" t="n">
        <f aca="false">$J$2</f>
        <v>0.25</v>
      </c>
      <c r="K17" s="12" t="n">
        <f aca="false">IFERROR(IF($B17="","",$E17+$J17),"")</f>
        <v>0.708318181818182</v>
      </c>
      <c r="L17" s="47" t="n">
        <f aca="false">IFERROR(IF(OR($B17="",$C17=0,$C17=""),"",$I17+ROW()*0.0000001),"")</f>
        <v>0.541683518181818</v>
      </c>
      <c r="M17" s="50" t="n">
        <f aca="false">$M$2</f>
        <v>0.9319</v>
      </c>
      <c r="N17" s="13" t="n">
        <f aca="false">IFERROR(IF($B17="","",$C17+$M17),"")</f>
        <v>100.83</v>
      </c>
    </row>
    <row r="18" customFormat="false" ht="39" hidden="false" customHeight="true" outlineLevel="0" collapsed="false">
      <c r="A18" s="43" t="str">
        <f aca="false">IFERROR(IF(المنيو!$B18="","",المنيو!$A18),"")</f>
        <v>قسم البيتزا</v>
      </c>
      <c r="B18" s="43" t="str">
        <f aca="false">IFERROR(المنيو!$B18,"")</f>
        <v>بيتزا فراخ كريسبي شيدر وسط</v>
      </c>
      <c r="C18" s="13" t="n">
        <f aca="false">IFERROR(IF($B18="","",SUMIFS(الريسبي!$F$2:$F$1800,الريسبي!$A$2:$A$1800,$B18)),"")</f>
        <v>87.4937</v>
      </c>
      <c r="D18" s="44" t="n">
        <f aca="false">IFERROR(IF($B18="","",المنيو!$C18),"")</f>
        <v>140</v>
      </c>
      <c r="E18" s="12" t="n">
        <f aca="false">IFERROR(IF(OR($B18="",$D18=0,$D18=""),"",$N18/$D18),"")</f>
        <v>0.631611428571429</v>
      </c>
      <c r="F18" s="49" t="n">
        <f aca="false">$F$2</f>
        <v>0.375</v>
      </c>
      <c r="G18" s="13" t="n">
        <f aca="false">IFERROR(IF($B18="","",$N18/$F18),"")</f>
        <v>235.8016</v>
      </c>
      <c r="H18" s="13" t="n">
        <f aca="false">IFERROR(IF($B18="","",$D18-$N18),"")</f>
        <v>51.5744</v>
      </c>
      <c r="I18" s="12" t="n">
        <f aca="false">IFERROR(IF(OR($B18="",$D18=0,$D18=""),"",$H18/$D18),"")</f>
        <v>0.368388571428571</v>
      </c>
      <c r="J18" s="49" t="n">
        <f aca="false">$J$2</f>
        <v>0.25</v>
      </c>
      <c r="K18" s="12" t="n">
        <f aca="false">IFERROR(IF($B18="","",$E18+$J18),"")</f>
        <v>0.881611428571429</v>
      </c>
      <c r="L18" s="47" t="n">
        <f aca="false">IFERROR(IF(OR($B18="",$C18=0,$C18=""),"",$I18+ROW()*0.0000001),"")</f>
        <v>0.368390371428571</v>
      </c>
      <c r="M18" s="50" t="n">
        <f aca="false">$M$2</f>
        <v>0.9319</v>
      </c>
      <c r="N18" s="13" t="n">
        <f aca="false">IFERROR(IF($B18="","",$C18+$M18),"")</f>
        <v>88.4256</v>
      </c>
    </row>
    <row r="19" customFormat="false" ht="39" hidden="false" customHeight="true" outlineLevel="0" collapsed="false">
      <c r="A19" s="43" t="str">
        <f aca="false">IFERROR(IF(المنيو!$B19="","",المنيو!$A19),"")</f>
        <v>قسم البيتزا</v>
      </c>
      <c r="B19" s="43" t="str">
        <f aca="false">IFERROR(المنيو!$B19,"")</f>
        <v>بيتزا فراخ كريسبي شيدر حجم اكبر</v>
      </c>
      <c r="C19" s="13" t="n">
        <f aca="false">IFERROR(IF($B19="","",SUMIFS(الريسبي!$F$2:$F$1800,الريسبي!$A$2:$A$1800,$B19)),"")</f>
        <v>105.1481</v>
      </c>
      <c r="D19" s="44" t="n">
        <f aca="false">IFERROR(IF($B19="","",المنيو!$C19),"")</f>
        <v>220</v>
      </c>
      <c r="E19" s="12" t="n">
        <f aca="false">IFERROR(IF(OR($B19="",$D19=0,$D19=""),"",$N19/$D19),"")</f>
        <v>0.482181818181818</v>
      </c>
      <c r="F19" s="49" t="n">
        <f aca="false">$F$2</f>
        <v>0.375</v>
      </c>
      <c r="G19" s="13" t="n">
        <f aca="false">IFERROR(IF($B19="","",$N19/$F19),"")</f>
        <v>282.88</v>
      </c>
      <c r="H19" s="13" t="n">
        <f aca="false">IFERROR(IF($B19="","",$D19-$N19),"")</f>
        <v>113.92</v>
      </c>
      <c r="I19" s="12" t="n">
        <f aca="false">IFERROR(IF(OR($B19="",$D19=0,$D19=""),"",$H19/$D19),"")</f>
        <v>0.517818181818182</v>
      </c>
      <c r="J19" s="49" t="n">
        <f aca="false">$J$2</f>
        <v>0.25</v>
      </c>
      <c r="K19" s="12" t="n">
        <f aca="false">IFERROR(IF($B19="","",$E19+$J19),"")</f>
        <v>0.732181818181818</v>
      </c>
      <c r="L19" s="47" t="n">
        <f aca="false">IFERROR(IF(OR($B19="",$C19=0,$C19=""),"",$I19+ROW()*0.0000001),"")</f>
        <v>0.517820081818182</v>
      </c>
      <c r="M19" s="50" t="n">
        <f aca="false">$M$2</f>
        <v>0.9319</v>
      </c>
      <c r="N19" s="13" t="n">
        <f aca="false">IFERROR(IF($B19="","",$C19+$M19),"")</f>
        <v>106.08</v>
      </c>
    </row>
    <row r="20" customFormat="false" ht="39" hidden="false" customHeight="true" outlineLevel="0" collapsed="false">
      <c r="A20" s="43" t="str">
        <f aca="false">IFERROR(IF(المنيو!$B20="","",المنيو!$A20),"")</f>
        <v>قسم البيتزا</v>
      </c>
      <c r="B20" s="43" t="str">
        <f aca="false">IFERROR(المنيو!$B20,"")</f>
        <v>بيتزا مشكل لحوم النكش وسط</v>
      </c>
      <c r="C20" s="13" t="n">
        <f aca="false">IFERROR(IF($B20="","",SUMIFS(الريسبي!$F$2:$F$1800,الريسبي!$A$2:$A$1800,$B20)),"")</f>
        <v>127.916</v>
      </c>
      <c r="D20" s="44" t="n">
        <f aca="false">IFERROR(IF($B20="","",المنيو!$C20),"")</f>
        <v>220</v>
      </c>
      <c r="E20" s="12" t="n">
        <f aca="false">IFERROR(IF(OR($B20="",$D20=0,$D20=""),"",$N20/$D20),"")</f>
        <v>0.585672272727273</v>
      </c>
      <c r="F20" s="49" t="n">
        <f aca="false">$F$2</f>
        <v>0.375</v>
      </c>
      <c r="G20" s="13" t="n">
        <f aca="false">IFERROR(IF($B20="","",$N20/$F20),"")</f>
        <v>343.5944</v>
      </c>
      <c r="H20" s="13" t="n">
        <f aca="false">IFERROR(IF($B20="","",$D20-$N20),"")</f>
        <v>91.1521</v>
      </c>
      <c r="I20" s="12" t="n">
        <f aca="false">IFERROR(IF(OR($B20="",$D20=0,$D20=""),"",$H20/$D20),"")</f>
        <v>0.414327727272727</v>
      </c>
      <c r="J20" s="49" t="n">
        <f aca="false">$J$2</f>
        <v>0.25</v>
      </c>
      <c r="K20" s="12" t="n">
        <f aca="false">IFERROR(IF($B20="","",$E20+$J20),"")</f>
        <v>0.835672272727273</v>
      </c>
      <c r="L20" s="47" t="n">
        <f aca="false">IFERROR(IF(OR($B20="",$C20=0,$C20=""),"",$I20+ROW()*0.0000001),"")</f>
        <v>0.414329727272727</v>
      </c>
      <c r="M20" s="50" t="n">
        <f aca="false">$M$2</f>
        <v>0.9319</v>
      </c>
      <c r="N20" s="13" t="n">
        <f aca="false">IFERROR(IF($B20="","",$C20+$M20),"")</f>
        <v>128.8479</v>
      </c>
    </row>
    <row r="21" customFormat="false" ht="39" hidden="false" customHeight="true" outlineLevel="0" collapsed="false">
      <c r="A21" s="43" t="str">
        <f aca="false">IFERROR(IF(المنيو!$B21="","",المنيو!$A21),"")</f>
        <v>قسم البيتزا</v>
      </c>
      <c r="B21" s="43" t="str">
        <f aca="false">IFERROR(المنيو!$B21,"")</f>
        <v>بيتزا مشكل لحوم النكش حجم اكبر</v>
      </c>
      <c r="C21" s="13" t="n">
        <f aca="false">IFERROR(IF($B21="","",SUMIFS(الريسبي!$F$2:$F$1800,الريسبي!$A$2:$A$1800,$B21)),"")</f>
        <v>162.4593</v>
      </c>
      <c r="D21" s="44" t="n">
        <f aca="false">IFERROR(IF($B21="","",المنيو!$C21),"")</f>
        <v>330</v>
      </c>
      <c r="E21" s="12" t="n">
        <f aca="false">IFERROR(IF(OR($B21="",$D21=0,$D21=""),"",$N21/$D21),"")</f>
        <v>0.495124848484849</v>
      </c>
      <c r="F21" s="49" t="n">
        <f aca="false">$F$2</f>
        <v>0.375</v>
      </c>
      <c r="G21" s="13" t="n">
        <f aca="false">IFERROR(IF($B21="","",$N21/$F21),"")</f>
        <v>435.709866666667</v>
      </c>
      <c r="H21" s="13" t="n">
        <f aca="false">IFERROR(IF($B21="","",$D21-$N21),"")</f>
        <v>166.6088</v>
      </c>
      <c r="I21" s="12" t="n">
        <f aca="false">IFERROR(IF(OR($B21="",$D21=0,$D21=""),"",$H21/$D21),"")</f>
        <v>0.504875151515152</v>
      </c>
      <c r="J21" s="49" t="n">
        <f aca="false">$J$2</f>
        <v>0.25</v>
      </c>
      <c r="K21" s="12" t="n">
        <f aca="false">IFERROR(IF($B21="","",$E21+$J21),"")</f>
        <v>0.745124848484849</v>
      </c>
      <c r="L21" s="47" t="n">
        <f aca="false">IFERROR(IF(OR($B21="",$C21=0,$C21=""),"",$I21+ROW()*0.0000001),"")</f>
        <v>0.504877251515152</v>
      </c>
      <c r="M21" s="50" t="n">
        <f aca="false">$M$2</f>
        <v>0.9319</v>
      </c>
      <c r="N21" s="13" t="n">
        <f aca="false">IFERROR(IF($B21="","",$C21+$M21),"")</f>
        <v>163.3912</v>
      </c>
    </row>
    <row r="22" customFormat="false" ht="39" hidden="false" customHeight="true" outlineLevel="0" collapsed="false">
      <c r="A22" s="43" t="str">
        <f aca="false">IFERROR(IF(المنيو!$B22="","",المنيو!$A22),"")</f>
        <v>قسم البيتزا</v>
      </c>
      <c r="B22" s="43" t="str">
        <f aca="false">IFERROR(المنيو!$B22,"")</f>
        <v>بيتزا جمبري وسط</v>
      </c>
      <c r="C22" s="13" t="n">
        <f aca="false">IFERROR(IF($B22="","",SUMIFS(الريسبي!$F$2:$F$1800,الريسبي!$A$2:$A$1800,$B22)),"")</f>
        <v>132.916</v>
      </c>
      <c r="D22" s="44" t="n">
        <f aca="false">IFERROR(IF($B22="","",المنيو!$C22),"")</f>
        <v>230</v>
      </c>
      <c r="E22" s="12" t="n">
        <f aca="false">IFERROR(IF(OR($B22="",$D22=0,$D22=""),"",$N22/$D22),"")</f>
        <v>0.581947391304348</v>
      </c>
      <c r="F22" s="49" t="n">
        <f aca="false">$F$2</f>
        <v>0.375</v>
      </c>
      <c r="G22" s="13" t="n">
        <f aca="false">IFERROR(IF($B22="","",$N22/$F22),"")</f>
        <v>356.927733333333</v>
      </c>
      <c r="H22" s="13" t="n">
        <f aca="false">IFERROR(IF($B22="","",$D22-$N22),"")</f>
        <v>96.1521</v>
      </c>
      <c r="I22" s="12" t="n">
        <f aca="false">IFERROR(IF(OR($B22="",$D22=0,$D22=""),"",$H22/$D22),"")</f>
        <v>0.418052608695652</v>
      </c>
      <c r="J22" s="49" t="n">
        <f aca="false">$J$2</f>
        <v>0.25</v>
      </c>
      <c r="K22" s="12" t="n">
        <f aca="false">IFERROR(IF($B22="","",$E22+$J22),"")</f>
        <v>0.831947391304348</v>
      </c>
      <c r="L22" s="47" t="n">
        <f aca="false">IFERROR(IF(OR($B22="",$C22=0,$C22=""),"",$I22+ROW()*0.0000001),"")</f>
        <v>0.418054808695652</v>
      </c>
      <c r="M22" s="50" t="n">
        <f aca="false">$M$2</f>
        <v>0.9319</v>
      </c>
      <c r="N22" s="13" t="n">
        <f aca="false">IFERROR(IF($B22="","",$C22+$M22),"")</f>
        <v>133.8479</v>
      </c>
    </row>
    <row r="23" customFormat="false" ht="39" hidden="false" customHeight="true" outlineLevel="0" collapsed="false">
      <c r="A23" s="43" t="str">
        <f aca="false">IFERROR(IF(المنيو!$B23="","",المنيو!$A23),"")</f>
        <v>قسم البيتزا</v>
      </c>
      <c r="B23" s="43" t="str">
        <f aca="false">IFERROR(المنيو!$B23,"")</f>
        <v>بيتزا جمبري حجم اكبر</v>
      </c>
      <c r="C23" s="13" t="n">
        <f aca="false">IFERROR(IF($B23="","",SUMIFS(الريسبي!$F$2:$F$1800,الريسبي!$A$2:$A$1800,$B23)),"")</f>
        <v>192.0704</v>
      </c>
      <c r="D23" s="44" t="n">
        <f aca="false">IFERROR(IF($B23="","",المنيو!$C23),"")</f>
        <v>350</v>
      </c>
      <c r="E23" s="12" t="n">
        <f aca="false">IFERROR(IF(OR($B23="",$D23=0,$D23=""),"",$N23/$D23),"")</f>
        <v>0.551435142857143</v>
      </c>
      <c r="F23" s="49" t="n">
        <f aca="false">$F$2</f>
        <v>0.375</v>
      </c>
      <c r="G23" s="13" t="n">
        <f aca="false">IFERROR(IF($B23="","",$N23/$F23),"")</f>
        <v>514.6728</v>
      </c>
      <c r="H23" s="13" t="n">
        <f aca="false">IFERROR(IF($B23="","",$D23-$N23),"")</f>
        <v>156.9977</v>
      </c>
      <c r="I23" s="12" t="n">
        <f aca="false">IFERROR(IF(OR($B23="",$D23=0,$D23=""),"",$H23/$D23),"")</f>
        <v>0.448564857142857</v>
      </c>
      <c r="J23" s="49" t="n">
        <f aca="false">$J$2</f>
        <v>0.25</v>
      </c>
      <c r="K23" s="12" t="n">
        <f aca="false">IFERROR(IF($B23="","",$E23+$J23),"")</f>
        <v>0.801435142857143</v>
      </c>
      <c r="L23" s="47" t="n">
        <f aca="false">IFERROR(IF(OR($B23="",$C23=0,$C23=""),"",$I23+ROW()*0.0000001),"")</f>
        <v>0.448567157142857</v>
      </c>
      <c r="M23" s="50" t="n">
        <f aca="false">$M$2</f>
        <v>0.9319</v>
      </c>
      <c r="N23" s="13" t="n">
        <f aca="false">IFERROR(IF($B23="","",$C23+$M23),"")</f>
        <v>193.0023</v>
      </c>
    </row>
    <row r="24" customFormat="false" ht="39" hidden="false" customHeight="true" outlineLevel="0" collapsed="false">
      <c r="A24" s="43" t="str">
        <f aca="false">IFERROR(IF(المنيو!$B24="","",المنيو!$A24),"")</f>
        <v>قسم الفطير الحادق</v>
      </c>
      <c r="B24" s="43" t="str">
        <f aca="false">IFERROR(المنيو!$B24,"")</f>
        <v>فطيرة سدق وسط</v>
      </c>
      <c r="C24" s="13" t="n">
        <f aca="false">IFERROR(IF($B24="","",SUMIFS(الريسبي!$F$2:$F$1800,الريسبي!$A$2:$A$1800,$B24)),"")</f>
        <v>76.296</v>
      </c>
      <c r="D24" s="44" t="n">
        <f aca="false">IFERROR(IF($B24="","",المنيو!$C24),"")</f>
        <v>120</v>
      </c>
      <c r="E24" s="12" t="n">
        <f aca="false">IFERROR(IF(OR($B24="",$D24=0,$D24=""),"",$N24/$D24),"")</f>
        <v>0.643565833333333</v>
      </c>
      <c r="F24" s="49" t="n">
        <f aca="false">$F$2</f>
        <v>0.375</v>
      </c>
      <c r="G24" s="13" t="n">
        <f aca="false">IFERROR(IF($B24="","",$N24/$F24),"")</f>
        <v>205.941066666667</v>
      </c>
      <c r="H24" s="13" t="n">
        <f aca="false">IFERROR(IF($B24="","",$D24-$N24),"")</f>
        <v>42.7721</v>
      </c>
      <c r="I24" s="12" t="n">
        <f aca="false">IFERROR(IF(OR($B24="",$D24=0,$D24=""),"",$H24/$D24),"")</f>
        <v>0.356434166666667</v>
      </c>
      <c r="J24" s="49" t="n">
        <f aca="false">$J$2</f>
        <v>0.25</v>
      </c>
      <c r="K24" s="12" t="n">
        <f aca="false">IFERROR(IF($B24="","",$E24+$J24),"")</f>
        <v>0.893565833333333</v>
      </c>
      <c r="L24" s="47" t="n">
        <f aca="false">IFERROR(IF(OR($B24="",$C24=0,$C24=""),"",$I24+ROW()*0.0000001),"")</f>
        <v>0.356436566666667</v>
      </c>
      <c r="M24" s="50" t="n">
        <f aca="false">$M$2</f>
        <v>0.9319</v>
      </c>
      <c r="N24" s="13" t="n">
        <f aca="false">IFERROR(IF($B24="","",$C24+$M24),"")</f>
        <v>77.2279</v>
      </c>
    </row>
    <row r="25" customFormat="false" ht="39" hidden="false" customHeight="true" outlineLevel="0" collapsed="false">
      <c r="A25" s="43" t="str">
        <f aca="false">IFERROR(IF(المنيو!$B25="","",المنيو!$A25),"")</f>
        <v>قسم الفطير الحادق</v>
      </c>
      <c r="B25" s="43" t="str">
        <f aca="false">IFERROR(المنيو!$B25,"")</f>
        <v>فطيرة سدق حجم اكبر</v>
      </c>
      <c r="C25" s="13" t="n">
        <f aca="false">IFERROR(IF($B25="","",SUMIFS(الريسبي!$F$2:$F$1800,الريسبي!$A$2:$A$1800,$B25)),"")</f>
        <v>104.131</v>
      </c>
      <c r="D25" s="44" t="n">
        <f aca="false">IFERROR(IF($B25="","",المنيو!$C25),"")</f>
        <v>180</v>
      </c>
      <c r="E25" s="12" t="n">
        <f aca="false">IFERROR(IF(OR($B25="",$D25=0,$D25=""),"",$N25/$D25),"")</f>
        <v>0.583682777777778</v>
      </c>
      <c r="F25" s="49" t="n">
        <f aca="false">$F$2</f>
        <v>0.375</v>
      </c>
      <c r="G25" s="13" t="n">
        <f aca="false">IFERROR(IF($B25="","",$N25/$F25),"")</f>
        <v>280.167733333333</v>
      </c>
      <c r="H25" s="13" t="n">
        <f aca="false">IFERROR(IF($B25="","",$D25-$N25),"")</f>
        <v>74.9371</v>
      </c>
      <c r="I25" s="12" t="n">
        <f aca="false">IFERROR(IF(OR($B25="",$D25=0,$D25=""),"",$H25/$D25),"")</f>
        <v>0.416317222222222</v>
      </c>
      <c r="J25" s="49" t="n">
        <f aca="false">$J$2</f>
        <v>0.25</v>
      </c>
      <c r="K25" s="12" t="n">
        <f aca="false">IFERROR(IF($B25="","",$E25+$J25),"")</f>
        <v>0.833682777777778</v>
      </c>
      <c r="L25" s="47" t="n">
        <f aca="false">IFERROR(IF(OR($B25="",$C25=0,$C25=""),"",$I25+ROW()*0.0000001),"")</f>
        <v>0.416319722222222</v>
      </c>
      <c r="M25" s="50" t="n">
        <f aca="false">$M$2</f>
        <v>0.9319</v>
      </c>
      <c r="N25" s="13" t="n">
        <f aca="false">IFERROR(IF($B25="","",$C25+$M25),"")</f>
        <v>105.0629</v>
      </c>
    </row>
    <row r="26" customFormat="false" ht="39" hidden="false" customHeight="true" outlineLevel="0" collapsed="false">
      <c r="A26" s="43" t="str">
        <f aca="false">IFERROR(IF(المنيو!$B26="","",المنيو!$A26),"")</f>
        <v>قسم الفطير الحادق</v>
      </c>
      <c r="B26" s="43" t="str">
        <f aca="false">IFERROR(المنيو!$B26,"")</f>
        <v>فطيرة بسطرمة وسط</v>
      </c>
      <c r="C26" s="13" t="n">
        <f aca="false">IFERROR(IF($B26="","",SUMIFS(الريسبي!$F$2:$F$1800,الريسبي!$A$2:$A$1800,$B26)),"")</f>
        <v>68.296</v>
      </c>
      <c r="D26" s="44" t="n">
        <f aca="false">IFERROR(IF($B26="","",المنيو!$C26),"")</f>
        <v>130</v>
      </c>
      <c r="E26" s="12" t="n">
        <f aca="false">IFERROR(IF(OR($B26="",$D26=0,$D26=""),"",$N26/$D26),"")</f>
        <v>0.532522307692308</v>
      </c>
      <c r="F26" s="49" t="n">
        <f aca="false">$F$2</f>
        <v>0.375</v>
      </c>
      <c r="G26" s="13" t="n">
        <f aca="false">IFERROR(IF($B26="","",$N26/$F26),"")</f>
        <v>184.607733333333</v>
      </c>
      <c r="H26" s="13" t="n">
        <f aca="false">IFERROR(IF($B26="","",$D26-$N26),"")</f>
        <v>60.7721</v>
      </c>
      <c r="I26" s="12" t="n">
        <f aca="false">IFERROR(IF(OR($B26="",$D26=0,$D26=""),"",$H26/$D26),"")</f>
        <v>0.467477692307692</v>
      </c>
      <c r="J26" s="49" t="n">
        <f aca="false">$J$2</f>
        <v>0.25</v>
      </c>
      <c r="K26" s="12" t="n">
        <f aca="false">IFERROR(IF($B26="","",$E26+$J26),"")</f>
        <v>0.782522307692308</v>
      </c>
      <c r="L26" s="47" t="n">
        <f aca="false">IFERROR(IF(OR($B26="",$C26=0,$C26=""),"",$I26+ROW()*0.0000001),"")</f>
        <v>0.467480292307692</v>
      </c>
      <c r="M26" s="50" t="n">
        <f aca="false">$M$2</f>
        <v>0.9319</v>
      </c>
      <c r="N26" s="13" t="n">
        <f aca="false">IFERROR(IF($B26="","",$C26+$M26),"")</f>
        <v>69.2279</v>
      </c>
    </row>
    <row r="27" customFormat="false" ht="39" hidden="false" customHeight="true" outlineLevel="0" collapsed="false">
      <c r="A27" s="43" t="str">
        <f aca="false">IFERROR(IF(المنيو!$B27="","",المنيو!$A27),"")</f>
        <v>قسم الفطير الحادق</v>
      </c>
      <c r="B27" s="43" t="str">
        <f aca="false">IFERROR(المنيو!$B27,"")</f>
        <v>فطيرة بسطرمة حجم اكبر</v>
      </c>
      <c r="C27" s="13" t="n">
        <f aca="false">IFERROR(IF($B27="","",SUMIFS(الريسبي!$F$2:$F$1800,الريسبي!$A$2:$A$1800,$B27)),"")</f>
        <v>92.5199</v>
      </c>
      <c r="D27" s="44" t="n">
        <f aca="false">IFERROR(IF($B27="","",المنيو!$C27),"")</f>
        <v>190</v>
      </c>
      <c r="E27" s="12" t="n">
        <f aca="false">IFERROR(IF(OR($B27="",$D27=0,$D27=""),"",$N27/$D27),"")</f>
        <v>0.491851578947368</v>
      </c>
      <c r="F27" s="49" t="n">
        <f aca="false">$F$2</f>
        <v>0.375</v>
      </c>
      <c r="G27" s="13" t="n">
        <f aca="false">IFERROR(IF($B27="","",$N27/$F27),"")</f>
        <v>249.2048</v>
      </c>
      <c r="H27" s="13" t="n">
        <f aca="false">IFERROR(IF($B27="","",$D27-$N27),"")</f>
        <v>96.5482</v>
      </c>
      <c r="I27" s="12" t="n">
        <f aca="false">IFERROR(IF(OR($B27="",$D27=0,$D27=""),"",$H27/$D27),"")</f>
        <v>0.508148421052632</v>
      </c>
      <c r="J27" s="49" t="n">
        <f aca="false">$J$2</f>
        <v>0.25</v>
      </c>
      <c r="K27" s="12" t="n">
        <f aca="false">IFERROR(IF($B27="","",$E27+$J27),"")</f>
        <v>0.741851578947368</v>
      </c>
      <c r="L27" s="47" t="n">
        <f aca="false">IFERROR(IF(OR($B27="",$C27=0,$C27=""),"",$I27+ROW()*0.0000001),"")</f>
        <v>0.508151121052632</v>
      </c>
      <c r="M27" s="50" t="n">
        <f aca="false">$M$2</f>
        <v>0.9319</v>
      </c>
      <c r="N27" s="13" t="n">
        <f aca="false">IFERROR(IF($B27="","",$C27+$M27),"")</f>
        <v>93.4518</v>
      </c>
    </row>
    <row r="28" customFormat="false" ht="39" hidden="false" customHeight="true" outlineLevel="0" collapsed="false">
      <c r="A28" s="43" t="str">
        <f aca="false">IFERROR(IF(المنيو!$B28="","",المنيو!$A28),"")</f>
        <v>قسم الفطير الحادق</v>
      </c>
      <c r="B28" s="43" t="str">
        <f aca="false">IFERROR(المنيو!$B28,"")</f>
        <v>فطيرة ميكس بسطرمة وسدق بالكيري وسط</v>
      </c>
      <c r="C28" s="13" t="n">
        <f aca="false">IFERROR(IF($B28="","",SUMIFS(الريسبي!$F$2:$F$1800,الريسبي!$A$2:$A$1800,$B28)),"")</f>
        <v>116.296</v>
      </c>
      <c r="D28" s="44" t="n">
        <f aca="false">IFERROR(IF($B28="","",المنيو!$C28),"")</f>
        <v>200</v>
      </c>
      <c r="E28" s="12" t="n">
        <f aca="false">IFERROR(IF(OR($B28="",$D28=0,$D28=""),"",$N28/$D28),"")</f>
        <v>0.5861395</v>
      </c>
      <c r="F28" s="49" t="n">
        <f aca="false">$F$2</f>
        <v>0.375</v>
      </c>
      <c r="G28" s="13" t="n">
        <f aca="false">IFERROR(IF($B28="","",$N28/$F28),"")</f>
        <v>312.607733333333</v>
      </c>
      <c r="H28" s="13" t="n">
        <f aca="false">IFERROR(IF($B28="","",$D28-$N28),"")</f>
        <v>82.7721</v>
      </c>
      <c r="I28" s="12" t="n">
        <f aca="false">IFERROR(IF(OR($B28="",$D28=0,$D28=""),"",$H28/$D28),"")</f>
        <v>0.4138605</v>
      </c>
      <c r="J28" s="49" t="n">
        <f aca="false">$J$2</f>
        <v>0.25</v>
      </c>
      <c r="K28" s="12" t="n">
        <f aca="false">IFERROR(IF($B28="","",$E28+$J28),"")</f>
        <v>0.8361395</v>
      </c>
      <c r="L28" s="47" t="n">
        <f aca="false">IFERROR(IF(OR($B28="",$C28=0,$C28=""),"",$I28+ROW()*0.0000001),"")</f>
        <v>0.4138633</v>
      </c>
      <c r="M28" s="50" t="n">
        <f aca="false">$M$2</f>
        <v>0.9319</v>
      </c>
      <c r="N28" s="13" t="n">
        <f aca="false">IFERROR(IF($B28="","",$C28+$M28),"")</f>
        <v>117.2279</v>
      </c>
    </row>
    <row r="29" customFormat="false" ht="39" hidden="false" customHeight="true" outlineLevel="0" collapsed="false">
      <c r="A29" s="43" t="str">
        <f aca="false">IFERROR(IF(المنيو!$B29="","",المنيو!$A29),"")</f>
        <v>قسم الفطير الحادق</v>
      </c>
      <c r="B29" s="43" t="str">
        <f aca="false">IFERROR(المنيو!$B29,"")</f>
        <v>فطيرة ميكس بسطرمة وسدق بالكيري حجم اكبر</v>
      </c>
      <c r="C29" s="13" t="n">
        <f aca="false">IFERROR(IF($B29="","",SUMIFS(الريسبي!$F$2:$F$1800,الريسبي!$A$2:$A$1800,$B29)),"")</f>
        <v>158.5199</v>
      </c>
      <c r="D29" s="44" t="n">
        <f aca="false">IFERROR(IF($B29="","",المنيو!$C29),"")</f>
        <v>320</v>
      </c>
      <c r="E29" s="12" t="n">
        <f aca="false">IFERROR(IF(OR($B29="",$D29=0,$D29=""),"",$N29/$D29),"")</f>
        <v>0.498286875</v>
      </c>
      <c r="F29" s="49" t="n">
        <f aca="false">$F$2</f>
        <v>0.375</v>
      </c>
      <c r="G29" s="13" t="n">
        <f aca="false">IFERROR(IF($B29="","",$N29/$F29),"")</f>
        <v>425.2048</v>
      </c>
      <c r="H29" s="13" t="n">
        <f aca="false">IFERROR(IF($B29="","",$D29-$N29),"")</f>
        <v>160.5482</v>
      </c>
      <c r="I29" s="12" t="n">
        <f aca="false">IFERROR(IF(OR($B29="",$D29=0,$D29=""),"",$H29/$D29),"")</f>
        <v>0.501713125</v>
      </c>
      <c r="J29" s="49" t="n">
        <f aca="false">$J$2</f>
        <v>0.25</v>
      </c>
      <c r="K29" s="12" t="n">
        <f aca="false">IFERROR(IF($B29="","",$E29+$J29),"")</f>
        <v>0.748286875</v>
      </c>
      <c r="L29" s="47" t="n">
        <f aca="false">IFERROR(IF(OR($B29="",$C29=0,$C29=""),"",$I29+ROW()*0.0000001),"")</f>
        <v>0.501716025</v>
      </c>
      <c r="M29" s="50" t="n">
        <f aca="false">$M$2</f>
        <v>0.9319</v>
      </c>
      <c r="N29" s="13" t="n">
        <f aca="false">IFERROR(IF($B29="","",$C29+$M29),"")</f>
        <v>159.4518</v>
      </c>
    </row>
    <row r="30" customFormat="false" ht="39" hidden="false" customHeight="true" outlineLevel="0" collapsed="false">
      <c r="A30" s="43" t="str">
        <f aca="false">IFERROR(IF(المنيو!$B30="","",المنيو!$A30),"")</f>
        <v>قسم الفطير الحادق</v>
      </c>
      <c r="B30" s="43" t="str">
        <f aca="false">IFERROR(المنيو!$B30,"")</f>
        <v>فطيرة مشكل جبن وسط</v>
      </c>
      <c r="C30" s="13" t="n">
        <f aca="false">IFERROR(IF($B30="","",SUMIFS(الريسبي!$F$2:$F$1800,الريسبي!$A$2:$A$1800,$B30)),"")</f>
        <v>79.046</v>
      </c>
      <c r="D30" s="44" t="n">
        <f aca="false">IFERROR(IF($B30="","",المنيو!$C30),"")</f>
        <v>135</v>
      </c>
      <c r="E30" s="12" t="n">
        <f aca="false">IFERROR(IF(OR($B30="",$D30=0,$D30=""),"",$N30/$D30),"")</f>
        <v>0.592428888888889</v>
      </c>
      <c r="F30" s="49" t="n">
        <f aca="false">$F$2</f>
        <v>0.375</v>
      </c>
      <c r="G30" s="13" t="n">
        <f aca="false">IFERROR(IF($B30="","",$N30/$F30),"")</f>
        <v>213.2744</v>
      </c>
      <c r="H30" s="13" t="n">
        <f aca="false">IFERROR(IF($B30="","",$D30-$N30),"")</f>
        <v>55.0221</v>
      </c>
      <c r="I30" s="12" t="n">
        <f aca="false">IFERROR(IF(OR($B30="",$D30=0,$D30=""),"",$H30/$D30),"")</f>
        <v>0.407571111111111</v>
      </c>
      <c r="J30" s="49" t="n">
        <f aca="false">$J$2</f>
        <v>0.25</v>
      </c>
      <c r="K30" s="12" t="n">
        <f aca="false">IFERROR(IF($B30="","",$E30+$J30),"")</f>
        <v>0.842428888888889</v>
      </c>
      <c r="L30" s="47" t="n">
        <f aca="false">IFERROR(IF(OR($B30="",$C30=0,$C30=""),"",$I30+ROW()*0.0000001),"")</f>
        <v>0.407574111111111</v>
      </c>
      <c r="M30" s="50" t="n">
        <f aca="false">$M$2</f>
        <v>0.9319</v>
      </c>
      <c r="N30" s="13" t="n">
        <f aca="false">IFERROR(IF($B30="","",$C30+$M30),"")</f>
        <v>79.9779</v>
      </c>
    </row>
    <row r="31" customFormat="false" ht="39" hidden="false" customHeight="true" outlineLevel="0" collapsed="false">
      <c r="A31" s="43" t="str">
        <f aca="false">IFERROR(IF(المنيو!$B31="","",المنيو!$A31),"")</f>
        <v>قسم الفطير الحادق</v>
      </c>
      <c r="B31" s="43" t="str">
        <f aca="false">IFERROR(المنيو!$B31,"")</f>
        <v>فطيرة مشكل جبن حجم اكبر</v>
      </c>
      <c r="C31" s="13" t="n">
        <f aca="false">IFERROR(IF($B31="","",SUMIFS(الريسبي!$F$2:$F$1800,الريسبي!$A$2:$A$1800,$B31)),"")</f>
        <v>113.631</v>
      </c>
      <c r="D31" s="44" t="n">
        <f aca="false">IFERROR(IF($B31="","",المنيو!$C31),"")</f>
        <v>200</v>
      </c>
      <c r="E31" s="12" t="n">
        <f aca="false">IFERROR(IF(OR($B31="",$D31=0,$D31=""),"",$N31/$D31),"")</f>
        <v>0.5728145</v>
      </c>
      <c r="F31" s="49" t="n">
        <f aca="false">$F$2</f>
        <v>0.375</v>
      </c>
      <c r="G31" s="13" t="n">
        <f aca="false">IFERROR(IF($B31="","",$N31/$F31),"")</f>
        <v>305.501066666667</v>
      </c>
      <c r="H31" s="13" t="n">
        <f aca="false">IFERROR(IF($B31="","",$D31-$N31),"")</f>
        <v>85.4371</v>
      </c>
      <c r="I31" s="12" t="n">
        <f aca="false">IFERROR(IF(OR($B31="",$D31=0,$D31=""),"",$H31/$D31),"")</f>
        <v>0.4271855</v>
      </c>
      <c r="J31" s="49" t="n">
        <f aca="false">$J$2</f>
        <v>0.25</v>
      </c>
      <c r="K31" s="12" t="n">
        <f aca="false">IFERROR(IF($B31="","",$E31+$J31),"")</f>
        <v>0.8228145</v>
      </c>
      <c r="L31" s="47" t="n">
        <f aca="false">IFERROR(IF(OR($B31="",$C31=0,$C31=""),"",$I31+ROW()*0.0000001),"")</f>
        <v>0.4271886</v>
      </c>
      <c r="M31" s="50" t="n">
        <f aca="false">$M$2</f>
        <v>0.9319</v>
      </c>
      <c r="N31" s="13" t="n">
        <f aca="false">IFERROR(IF($B31="","",$C31+$M31),"")</f>
        <v>114.5629</v>
      </c>
    </row>
    <row r="32" customFormat="false" ht="39" hidden="false" customHeight="true" outlineLevel="0" collapsed="false">
      <c r="A32" s="43" t="str">
        <f aca="false">IFERROR(IF(المنيو!$B32="","",المنيو!$A32),"")</f>
        <v>قسم الفطير الحادق</v>
      </c>
      <c r="B32" s="43" t="str">
        <f aca="false">IFERROR(المنيو!$B32,"")</f>
        <v>فطيرة فراخ رانش وسط</v>
      </c>
      <c r="C32" s="13" t="n">
        <f aca="false">IFERROR(IF($B32="","",SUMIFS(الريسبي!$F$2:$F$1800,الريسبي!$A$2:$A$1800,$B32)),"")</f>
        <v>77.5569</v>
      </c>
      <c r="D32" s="44" t="n">
        <f aca="false">IFERROR(IF($B32="","",المنيو!$C32),"")</f>
        <v>150</v>
      </c>
      <c r="E32" s="12" t="n">
        <f aca="false">IFERROR(IF(OR($B32="",$D32=0,$D32=""),"",$N32/$D32),"")</f>
        <v>0.523258666666667</v>
      </c>
      <c r="F32" s="49" t="n">
        <f aca="false">$F$2</f>
        <v>0.375</v>
      </c>
      <c r="G32" s="13" t="n">
        <f aca="false">IFERROR(IF($B32="","",$N32/$F32),"")</f>
        <v>209.303466666667</v>
      </c>
      <c r="H32" s="13" t="n">
        <f aca="false">IFERROR(IF($B32="","",$D32-$N32),"")</f>
        <v>71.5112</v>
      </c>
      <c r="I32" s="12" t="n">
        <f aca="false">IFERROR(IF(OR($B32="",$D32=0,$D32=""),"",$H32/$D32),"")</f>
        <v>0.476741333333333</v>
      </c>
      <c r="J32" s="49" t="n">
        <f aca="false">$J$2</f>
        <v>0.25</v>
      </c>
      <c r="K32" s="12" t="n">
        <f aca="false">IFERROR(IF($B32="","",$E32+$J32),"")</f>
        <v>0.773258666666667</v>
      </c>
      <c r="L32" s="47" t="n">
        <f aca="false">IFERROR(IF(OR($B32="",$C32=0,$C32=""),"",$I32+ROW()*0.0000001),"")</f>
        <v>0.476744533333333</v>
      </c>
      <c r="M32" s="50" t="n">
        <f aca="false">$M$2</f>
        <v>0.9319</v>
      </c>
      <c r="N32" s="13" t="n">
        <f aca="false">IFERROR(IF($B32="","",$C32+$M32),"")</f>
        <v>78.4888</v>
      </c>
    </row>
    <row r="33" customFormat="false" ht="39" hidden="false" customHeight="true" outlineLevel="0" collapsed="false">
      <c r="A33" s="43" t="str">
        <f aca="false">IFERROR(IF(المنيو!$B33="","",المنيو!$A33),"")</f>
        <v>قسم الفطير الحادق</v>
      </c>
      <c r="B33" s="43" t="str">
        <f aca="false">IFERROR(المنيو!$B33,"")</f>
        <v>فطيرة فراخ رانش حجم اكبر</v>
      </c>
      <c r="C33" s="13" t="n">
        <f aca="false">IFERROR(IF($B33="","",SUMIFS(الريسبي!$F$2:$F$1800,الريسبي!$A$2:$A$1800,$B33)),"")</f>
        <v>109.6667</v>
      </c>
      <c r="D33" s="44" t="n">
        <f aca="false">IFERROR(IF($B33="","",المنيو!$C33),"")</f>
        <v>240</v>
      </c>
      <c r="E33" s="12" t="n">
        <f aca="false">IFERROR(IF(OR($B33="",$D33=0,$D33=""),"",$N33/$D33),"")</f>
        <v>0.4608275</v>
      </c>
      <c r="F33" s="49" t="n">
        <f aca="false">$F$2</f>
        <v>0.375</v>
      </c>
      <c r="G33" s="13" t="n">
        <f aca="false">IFERROR(IF($B33="","",$N33/$F33),"")</f>
        <v>294.9296</v>
      </c>
      <c r="H33" s="13" t="n">
        <f aca="false">IFERROR(IF($B33="","",$D33-$N33),"")</f>
        <v>129.4014</v>
      </c>
      <c r="I33" s="12" t="n">
        <f aca="false">IFERROR(IF(OR($B33="",$D33=0,$D33=""),"",$H33/$D33),"")</f>
        <v>0.5391725</v>
      </c>
      <c r="J33" s="49" t="n">
        <f aca="false">$J$2</f>
        <v>0.25</v>
      </c>
      <c r="K33" s="12" t="n">
        <f aca="false">IFERROR(IF($B33="","",$E33+$J33),"")</f>
        <v>0.7108275</v>
      </c>
      <c r="L33" s="47" t="n">
        <f aca="false">IFERROR(IF(OR($B33="",$C33=0,$C33=""),"",$I33+ROW()*0.0000001),"")</f>
        <v>0.5391758</v>
      </c>
      <c r="M33" s="50" t="n">
        <f aca="false">$M$2</f>
        <v>0.9319</v>
      </c>
      <c r="N33" s="13" t="n">
        <f aca="false">IFERROR(IF($B33="","",$C33+$M33),"")</f>
        <v>110.5986</v>
      </c>
    </row>
    <row r="34" customFormat="false" ht="39" hidden="false" customHeight="true" outlineLevel="0" collapsed="false">
      <c r="A34" s="43" t="str">
        <f aca="false">IFERROR(IF(المنيو!$B34="","",المنيو!$A34),"")</f>
        <v>قسم الفطير الحادق</v>
      </c>
      <c r="B34" s="43" t="str">
        <f aca="false">IFERROR(المنيو!$B34,"")</f>
        <v>فطيرة فراخ باربيكيو وسط</v>
      </c>
      <c r="C34" s="13" t="n">
        <f aca="false">IFERROR(IF($B34="","",SUMIFS(الريسبي!$F$2:$F$1800,الريسبي!$A$2:$A$1800,$B34)),"")</f>
        <v>74.0569</v>
      </c>
      <c r="D34" s="44" t="n">
        <f aca="false">IFERROR(IF($B34="","",المنيو!$C34),"")</f>
        <v>150</v>
      </c>
      <c r="E34" s="12" t="n">
        <f aca="false">IFERROR(IF(OR($B34="",$D34=0,$D34=""),"",$N34/$D34),"")</f>
        <v>0.499925333333333</v>
      </c>
      <c r="F34" s="49" t="n">
        <f aca="false">$F$2</f>
        <v>0.375</v>
      </c>
      <c r="G34" s="13" t="n">
        <f aca="false">IFERROR(IF($B34="","",$N34/$F34),"")</f>
        <v>199.970133333333</v>
      </c>
      <c r="H34" s="13" t="n">
        <f aca="false">IFERROR(IF($B34="","",$D34-$N34),"")</f>
        <v>75.0112</v>
      </c>
      <c r="I34" s="12" t="n">
        <f aca="false">IFERROR(IF(OR($B34="",$D34=0,$D34=""),"",$H34/$D34),"")</f>
        <v>0.500074666666667</v>
      </c>
      <c r="J34" s="49" t="n">
        <f aca="false">$J$2</f>
        <v>0.25</v>
      </c>
      <c r="K34" s="12" t="n">
        <f aca="false">IFERROR(IF($B34="","",$E34+$J34),"")</f>
        <v>0.749925333333333</v>
      </c>
      <c r="L34" s="47" t="n">
        <f aca="false">IFERROR(IF(OR($B34="",$C34=0,$C34=""),"",$I34+ROW()*0.0000001),"")</f>
        <v>0.500078066666667</v>
      </c>
      <c r="M34" s="50" t="n">
        <f aca="false">$M$2</f>
        <v>0.9319</v>
      </c>
      <c r="N34" s="13" t="n">
        <f aca="false">IFERROR(IF($B34="","",$C34+$M34),"")</f>
        <v>74.9888</v>
      </c>
    </row>
    <row r="35" customFormat="false" ht="39" hidden="false" customHeight="true" outlineLevel="0" collapsed="false">
      <c r="A35" s="43" t="str">
        <f aca="false">IFERROR(IF(المنيو!$B35="","",المنيو!$A35),"")</f>
        <v>قسم الفطير الحادق</v>
      </c>
      <c r="B35" s="43" t="str">
        <f aca="false">IFERROR(المنيو!$B35,"")</f>
        <v>فطيرة فراخ باربيكيو حجم اكبر</v>
      </c>
      <c r="C35" s="13" t="n">
        <f aca="false">IFERROR(IF($B35="","",SUMIFS(الريسبي!$F$2:$F$1800,الريسبي!$A$2:$A$1800,$B35)),"")</f>
        <v>104.4167</v>
      </c>
      <c r="D35" s="44" t="n">
        <f aca="false">IFERROR(IF($B35="","",المنيو!$C35),"")</f>
        <v>240</v>
      </c>
      <c r="E35" s="12" t="n">
        <f aca="false">IFERROR(IF(OR($B35="",$D35=0,$D35=""),"",$N35/$D35),"")</f>
        <v>0.4389525</v>
      </c>
      <c r="F35" s="49" t="n">
        <f aca="false">$F$2</f>
        <v>0.375</v>
      </c>
      <c r="G35" s="13" t="n">
        <f aca="false">IFERROR(IF($B35="","",$N35/$F35),"")</f>
        <v>280.9296</v>
      </c>
      <c r="H35" s="13" t="n">
        <f aca="false">IFERROR(IF($B35="","",$D35-$N35),"")</f>
        <v>134.6514</v>
      </c>
      <c r="I35" s="12" t="n">
        <f aca="false">IFERROR(IF(OR($B35="",$D35=0,$D35=""),"",$H35/$D35),"")</f>
        <v>0.5610475</v>
      </c>
      <c r="J35" s="49" t="n">
        <f aca="false">$J$2</f>
        <v>0.25</v>
      </c>
      <c r="K35" s="12" t="n">
        <f aca="false">IFERROR(IF($B35="","",$E35+$J35),"")</f>
        <v>0.6889525</v>
      </c>
      <c r="L35" s="47" t="n">
        <f aca="false">IFERROR(IF(OR($B35="",$C35=0,$C35=""),"",$I35+ROW()*0.0000001),"")</f>
        <v>0.561051</v>
      </c>
      <c r="M35" s="50" t="n">
        <f aca="false">$M$2</f>
        <v>0.9319</v>
      </c>
      <c r="N35" s="13" t="n">
        <f aca="false">IFERROR(IF($B35="","",$C35+$M35),"")</f>
        <v>105.3486</v>
      </c>
    </row>
    <row r="36" customFormat="false" ht="39" hidden="false" customHeight="true" outlineLevel="0" collapsed="false">
      <c r="A36" s="43" t="str">
        <f aca="false">IFERROR(IF(المنيو!$B36="","",المنيو!$A36),"")</f>
        <v>قسم الفطير الحادق</v>
      </c>
      <c r="B36" s="43" t="str">
        <f aca="false">IFERROR(المنيو!$B36,"")</f>
        <v>فطيرة فراخ كريسبي رانش وسط</v>
      </c>
      <c r="C36" s="13" t="n">
        <f aca="false">IFERROR(IF($B36="","",SUMIFS(الريسبي!$F$2:$F$1800,الريسبي!$A$2:$A$1800,$B36)),"")</f>
        <v>79.3737</v>
      </c>
      <c r="D36" s="44" t="n">
        <f aca="false">IFERROR(IF($B36="","",المنيو!$C36),"")</f>
        <v>140</v>
      </c>
      <c r="E36" s="12" t="n">
        <f aca="false">IFERROR(IF(OR($B36="",$D36=0,$D36=""),"",$N36/$D36),"")</f>
        <v>0.573611428571429</v>
      </c>
      <c r="F36" s="49" t="n">
        <f aca="false">$F$2</f>
        <v>0.375</v>
      </c>
      <c r="G36" s="13" t="n">
        <f aca="false">IFERROR(IF($B36="","",$N36/$F36),"")</f>
        <v>214.148266666667</v>
      </c>
      <c r="H36" s="13" t="n">
        <f aca="false">IFERROR(IF($B36="","",$D36-$N36),"")</f>
        <v>59.6944</v>
      </c>
      <c r="I36" s="12" t="n">
        <f aca="false">IFERROR(IF(OR($B36="",$D36=0,$D36=""),"",$H36/$D36),"")</f>
        <v>0.426388571428571</v>
      </c>
      <c r="J36" s="49" t="n">
        <f aca="false">$J$2</f>
        <v>0.25</v>
      </c>
      <c r="K36" s="12" t="n">
        <f aca="false">IFERROR(IF($B36="","",$E36+$J36),"")</f>
        <v>0.823611428571429</v>
      </c>
      <c r="L36" s="47" t="n">
        <f aca="false">IFERROR(IF(OR($B36="",$C36=0,$C36=""),"",$I36+ROW()*0.0000001),"")</f>
        <v>0.426392171428571</v>
      </c>
      <c r="M36" s="50" t="n">
        <f aca="false">$M$2</f>
        <v>0.9319</v>
      </c>
      <c r="N36" s="13" t="n">
        <f aca="false">IFERROR(IF($B36="","",$C36+$M36),"")</f>
        <v>80.3056</v>
      </c>
    </row>
    <row r="37" customFormat="false" ht="39" hidden="false" customHeight="true" outlineLevel="0" collapsed="false">
      <c r="A37" s="43" t="str">
        <f aca="false">IFERROR(IF(المنيو!$B37="","",المنيو!$A37),"")</f>
        <v>قسم الفطير الحادق</v>
      </c>
      <c r="B37" s="43" t="str">
        <f aca="false">IFERROR(المنيو!$B37,"")</f>
        <v>فطيرة فراخ كريسبي رانش حجم اكبر</v>
      </c>
      <c r="C37" s="13" t="n">
        <f aca="false">IFERROR(IF($B37="","",SUMIFS(الريسبي!$F$2:$F$1800,الريسبي!$A$2:$A$1800,$B37)),"")</f>
        <v>95.9587</v>
      </c>
      <c r="D37" s="44" t="n">
        <f aca="false">IFERROR(IF($B37="","",المنيو!$C37),"")</f>
        <v>220</v>
      </c>
      <c r="E37" s="12" t="n">
        <f aca="false">IFERROR(IF(OR($B37="",$D37=0,$D37=""),"",$N37/$D37),"")</f>
        <v>0.440411818181818</v>
      </c>
      <c r="F37" s="49" t="n">
        <f aca="false">$F$2</f>
        <v>0.375</v>
      </c>
      <c r="G37" s="13" t="n">
        <f aca="false">IFERROR(IF($B37="","",$N37/$F37),"")</f>
        <v>258.374933333333</v>
      </c>
      <c r="H37" s="13" t="n">
        <f aca="false">IFERROR(IF($B37="","",$D37-$N37),"")</f>
        <v>123.1094</v>
      </c>
      <c r="I37" s="12" t="n">
        <f aca="false">IFERROR(IF(OR($B37="",$D37=0,$D37=""),"",$H37/$D37),"")</f>
        <v>0.559588181818182</v>
      </c>
      <c r="J37" s="49" t="n">
        <f aca="false">$J$2</f>
        <v>0.25</v>
      </c>
      <c r="K37" s="12" t="n">
        <f aca="false">IFERROR(IF($B37="","",$E37+$J37),"")</f>
        <v>0.690411818181818</v>
      </c>
      <c r="L37" s="47" t="n">
        <f aca="false">IFERROR(IF(OR($B37="",$C37=0,$C37=""),"",$I37+ROW()*0.0000001),"")</f>
        <v>0.559591881818182</v>
      </c>
      <c r="M37" s="50" t="n">
        <f aca="false">$M$2</f>
        <v>0.9319</v>
      </c>
      <c r="N37" s="13" t="n">
        <f aca="false">IFERROR(IF($B37="","",$C37+$M37),"")</f>
        <v>96.8906</v>
      </c>
    </row>
    <row r="38" customFormat="false" ht="39" hidden="false" customHeight="true" outlineLevel="0" collapsed="false">
      <c r="A38" s="43" t="str">
        <f aca="false">IFERROR(IF(المنيو!$B38="","",المنيو!$A38),"")</f>
        <v>قسم الفطير الحادق</v>
      </c>
      <c r="B38" s="43" t="str">
        <f aca="false">IFERROR(المنيو!$B38,"")</f>
        <v>فطيرة فراخ كريسبي شيدر وسط</v>
      </c>
      <c r="C38" s="13" t="n">
        <f aca="false">IFERROR(IF($B38="","",SUMIFS(الريسبي!$F$2:$F$1800,الريسبي!$A$2:$A$1800,$B38)),"")</f>
        <v>82.8737</v>
      </c>
      <c r="D38" s="44" t="n">
        <f aca="false">IFERROR(IF($B38="","",المنيو!$C38),"")</f>
        <v>140</v>
      </c>
      <c r="E38" s="12" t="n">
        <f aca="false">IFERROR(IF(OR($B38="",$D38=0,$D38=""),"",$N38/$D38),"")</f>
        <v>0.598611428571429</v>
      </c>
      <c r="F38" s="49" t="n">
        <f aca="false">$F$2</f>
        <v>0.375</v>
      </c>
      <c r="G38" s="13" t="n">
        <f aca="false">IFERROR(IF($B38="","",$N38/$F38),"")</f>
        <v>223.4816</v>
      </c>
      <c r="H38" s="13" t="n">
        <f aca="false">IFERROR(IF($B38="","",$D38-$N38),"")</f>
        <v>56.1944</v>
      </c>
      <c r="I38" s="12" t="n">
        <f aca="false">IFERROR(IF(OR($B38="",$D38=0,$D38=""),"",$H38/$D38),"")</f>
        <v>0.401388571428571</v>
      </c>
      <c r="J38" s="49" t="n">
        <f aca="false">$J$2</f>
        <v>0.25</v>
      </c>
      <c r="K38" s="12" t="n">
        <f aca="false">IFERROR(IF($B38="","",$E38+$J38),"")</f>
        <v>0.848611428571429</v>
      </c>
      <c r="L38" s="47" t="n">
        <f aca="false">IFERROR(IF(OR($B38="",$C38=0,$C38=""),"",$I38+ROW()*0.0000001),"")</f>
        <v>0.401392371428571</v>
      </c>
      <c r="M38" s="50" t="n">
        <f aca="false">$M$2</f>
        <v>0.9319</v>
      </c>
      <c r="N38" s="13" t="n">
        <f aca="false">IFERROR(IF($B38="","",$C38+$M38),"")</f>
        <v>83.8056</v>
      </c>
    </row>
    <row r="39" customFormat="false" ht="39" hidden="false" customHeight="true" outlineLevel="0" collapsed="false">
      <c r="A39" s="43" t="str">
        <f aca="false">IFERROR(IF(المنيو!$B39="","",المنيو!$A39),"")</f>
        <v>قسم الفطير الحادق</v>
      </c>
      <c r="B39" s="43" t="str">
        <f aca="false">IFERROR(المنيو!$B39,"")</f>
        <v>فطيرة فراخ كريسبي شيدر حجم اكبر</v>
      </c>
      <c r="C39" s="13" t="n">
        <f aca="false">IFERROR(IF($B39="","",SUMIFS(الريسبي!$F$2:$F$1800,الريسبي!$A$2:$A$1800,$B39)),"")</f>
        <v>101.2087</v>
      </c>
      <c r="D39" s="44" t="n">
        <f aca="false">IFERROR(IF($B39="","",المنيو!$C39),"")</f>
        <v>220</v>
      </c>
      <c r="E39" s="12" t="n">
        <f aca="false">IFERROR(IF(OR($B39="",$D39=0,$D39=""),"",$N39/$D39),"")</f>
        <v>0.464275454545455</v>
      </c>
      <c r="F39" s="49" t="n">
        <f aca="false">$F$2</f>
        <v>0.375</v>
      </c>
      <c r="G39" s="13" t="n">
        <f aca="false">IFERROR(IF($B39="","",$N39/$F39),"")</f>
        <v>272.374933333333</v>
      </c>
      <c r="H39" s="13" t="n">
        <f aca="false">IFERROR(IF($B39="","",$D39-$N39),"")</f>
        <v>117.8594</v>
      </c>
      <c r="I39" s="12" t="n">
        <f aca="false">IFERROR(IF(OR($B39="",$D39=0,$D39=""),"",$H39/$D39),"")</f>
        <v>0.535724545454546</v>
      </c>
      <c r="J39" s="49" t="n">
        <f aca="false">$J$2</f>
        <v>0.25</v>
      </c>
      <c r="K39" s="12" t="n">
        <f aca="false">IFERROR(IF($B39="","",$E39+$J39),"")</f>
        <v>0.714275454545455</v>
      </c>
      <c r="L39" s="47" t="n">
        <f aca="false">IFERROR(IF(OR($B39="",$C39=0,$C39=""),"",$I39+ROW()*0.0000001),"")</f>
        <v>0.535728445454546</v>
      </c>
      <c r="M39" s="50" t="n">
        <f aca="false">$M$2</f>
        <v>0.9319</v>
      </c>
      <c r="N39" s="13" t="n">
        <f aca="false">IFERROR(IF($B39="","",$C39+$M39),"")</f>
        <v>102.1406</v>
      </c>
    </row>
    <row r="40" customFormat="false" ht="39" hidden="false" customHeight="true" outlineLevel="0" collapsed="false">
      <c r="A40" s="43" t="str">
        <f aca="false">IFERROR(IF(المنيو!$B40="","",المنيو!$A40),"")</f>
        <v>قسم الفطير الحادق</v>
      </c>
      <c r="B40" s="43" t="str">
        <f aca="false">IFERROR(المنيو!$B40,"")</f>
        <v>فطيرة مشكل لحوم النكش وسط</v>
      </c>
      <c r="C40" s="13" t="n">
        <f aca="false">IFERROR(IF($B40="","",SUMIFS(الريسبي!$F$2:$F$1800,الريسبي!$A$2:$A$1800,$B40)),"")</f>
        <v>123.296</v>
      </c>
      <c r="D40" s="44" t="n">
        <f aca="false">IFERROR(IF($B40="","",المنيو!$C40),"")</f>
        <v>220</v>
      </c>
      <c r="E40" s="12" t="n">
        <f aca="false">IFERROR(IF(OR($B40="",$D40=0,$D40=""),"",$N40/$D40),"")</f>
        <v>0.564672272727273</v>
      </c>
      <c r="F40" s="49" t="n">
        <f aca="false">$F$2</f>
        <v>0.375</v>
      </c>
      <c r="G40" s="13" t="n">
        <f aca="false">IFERROR(IF($B40="","",$N40/$F40),"")</f>
        <v>331.2744</v>
      </c>
      <c r="H40" s="13" t="n">
        <f aca="false">IFERROR(IF($B40="","",$D40-$N40),"")</f>
        <v>95.7721</v>
      </c>
      <c r="I40" s="12" t="n">
        <f aca="false">IFERROR(IF(OR($B40="",$D40=0,$D40=""),"",$H40/$D40),"")</f>
        <v>0.435327727272727</v>
      </c>
      <c r="J40" s="49" t="n">
        <f aca="false">$J$2</f>
        <v>0.25</v>
      </c>
      <c r="K40" s="12" t="n">
        <f aca="false">IFERROR(IF($B40="","",$E40+$J40),"")</f>
        <v>0.814672272727273</v>
      </c>
      <c r="L40" s="47" t="n">
        <f aca="false">IFERROR(IF(OR($B40="",$C40=0,$C40=""),"",$I40+ROW()*0.0000001),"")</f>
        <v>0.435331727272727</v>
      </c>
      <c r="M40" s="50" t="n">
        <f aca="false">$M$2</f>
        <v>0.9319</v>
      </c>
      <c r="N40" s="13" t="n">
        <f aca="false">IFERROR(IF($B40="","",$C40+$M40),"")</f>
        <v>124.2279</v>
      </c>
    </row>
    <row r="41" customFormat="false" ht="39" hidden="false" customHeight="true" outlineLevel="0" collapsed="false">
      <c r="A41" s="43" t="str">
        <f aca="false">IFERROR(IF(المنيو!$B41="","",المنيو!$A41),"")</f>
        <v>قسم الفطير الحادق</v>
      </c>
      <c r="B41" s="43" t="str">
        <f aca="false">IFERROR(المنيو!$B41,"")</f>
        <v>فطيرة مشكل لحوم النكش حجم اكبر</v>
      </c>
      <c r="C41" s="13" t="n">
        <f aca="false">IFERROR(IF($B41="","",SUMIFS(الريسبي!$F$2:$F$1800,الريسبي!$A$2:$A$1800,$B41)),"")</f>
        <v>158.5199</v>
      </c>
      <c r="D41" s="44" t="n">
        <f aca="false">IFERROR(IF($B41="","",المنيو!$C41),"")</f>
        <v>330</v>
      </c>
      <c r="E41" s="12" t="n">
        <f aca="false">IFERROR(IF(OR($B41="",$D41=0,$D41=""),"",$N41/$D41),"")</f>
        <v>0.483187272727273</v>
      </c>
      <c r="F41" s="49" t="n">
        <f aca="false">$F$2</f>
        <v>0.375</v>
      </c>
      <c r="G41" s="13" t="n">
        <f aca="false">IFERROR(IF($B41="","",$N41/$F41),"")</f>
        <v>425.2048</v>
      </c>
      <c r="H41" s="13" t="n">
        <f aca="false">IFERROR(IF($B41="","",$D41-$N41),"")</f>
        <v>170.5482</v>
      </c>
      <c r="I41" s="12" t="n">
        <f aca="false">IFERROR(IF(OR($B41="",$D41=0,$D41=""),"",$H41/$D41),"")</f>
        <v>0.516812727272727</v>
      </c>
      <c r="J41" s="49" t="n">
        <f aca="false">$J$2</f>
        <v>0.25</v>
      </c>
      <c r="K41" s="12" t="n">
        <f aca="false">IFERROR(IF($B41="","",$E41+$J41),"")</f>
        <v>0.733187272727273</v>
      </c>
      <c r="L41" s="47" t="n">
        <f aca="false">IFERROR(IF(OR($B41="",$C41=0,$C41=""),"",$I41+ROW()*0.0000001),"")</f>
        <v>0.516816827272727</v>
      </c>
      <c r="M41" s="50" t="n">
        <f aca="false">$M$2</f>
        <v>0.9319</v>
      </c>
      <c r="N41" s="13" t="n">
        <f aca="false">IFERROR(IF($B41="","",$C41+$M41),"")</f>
        <v>159.4518</v>
      </c>
    </row>
    <row r="42" customFormat="false" ht="39" hidden="false" customHeight="true" outlineLevel="0" collapsed="false">
      <c r="A42" s="43" t="str">
        <f aca="false">IFERROR(IF(المنيو!$B42="","",المنيو!$A42),"")</f>
        <v>قسم الفطير الحادق</v>
      </c>
      <c r="B42" s="43" t="str">
        <f aca="false">IFERROR(المنيو!$B42,"")</f>
        <v>فطيرة مشلتت بالسمنة البلدي صغير</v>
      </c>
      <c r="C42" s="13" t="n">
        <f aca="false">IFERROR(IF($B42="","",SUMIFS(الريسبي!$F$2:$F$1800,الريسبي!$A$2:$A$1800,$B42)),"")</f>
        <v>41.766</v>
      </c>
      <c r="D42" s="44" t="n">
        <f aca="false">IFERROR(IF($B42="","",المنيو!$C42),"")</f>
        <v>60</v>
      </c>
      <c r="E42" s="12" t="n">
        <f aca="false">IFERROR(IF(OR($B42="",$D42=0,$D42=""),"",$N42/$D42),"")</f>
        <v>0.711631666666667</v>
      </c>
      <c r="F42" s="49" t="n">
        <f aca="false">$F$2</f>
        <v>0.375</v>
      </c>
      <c r="G42" s="13" t="n">
        <f aca="false">IFERROR(IF($B42="","",$N42/$F42),"")</f>
        <v>113.861066666667</v>
      </c>
      <c r="H42" s="13" t="n">
        <f aca="false">IFERROR(IF($B42="","",$D42-$N42),"")</f>
        <v>17.3021</v>
      </c>
      <c r="I42" s="12" t="n">
        <f aca="false">IFERROR(IF(OR($B42="",$D42=0,$D42=""),"",$H42/$D42),"")</f>
        <v>0.288368333333333</v>
      </c>
      <c r="J42" s="49" t="n">
        <f aca="false">$J$2</f>
        <v>0.25</v>
      </c>
      <c r="K42" s="12" t="n">
        <f aca="false">IFERROR(IF($B42="","",$E42+$J42),"")</f>
        <v>0.961631666666667</v>
      </c>
      <c r="L42" s="47" t="n">
        <f aca="false">IFERROR(IF(OR($B42="",$C42=0,$C42=""),"",$I42+ROW()*0.0000001),"")</f>
        <v>0.288372533333333</v>
      </c>
      <c r="M42" s="50" t="n">
        <f aca="false">$M$2</f>
        <v>0.9319</v>
      </c>
      <c r="N42" s="13" t="n">
        <f aca="false">IFERROR(IF($B42="","",$C42+$M42),"")</f>
        <v>42.6979</v>
      </c>
    </row>
    <row r="43" customFormat="false" ht="39" hidden="false" customHeight="true" outlineLevel="0" collapsed="false">
      <c r="A43" s="43" t="str">
        <f aca="false">IFERROR(IF(المنيو!$B43="","",المنيو!$A43),"")</f>
        <v>قسم الفطير الحادق</v>
      </c>
      <c r="B43" s="43" t="str">
        <f aca="false">IFERROR(المنيو!$B43,"")</f>
        <v>فطيرة مشلتت بالسمنة البلدي وسط</v>
      </c>
      <c r="C43" s="13" t="n">
        <f aca="false">IFERROR(IF($B43="","",SUMIFS(الريسبي!$F$2:$F$1800,الريسبي!$A$2:$A$1800,$B43)),"")</f>
        <v>63.366</v>
      </c>
      <c r="D43" s="44" t="n">
        <f aca="false">IFERROR(IF($B43="","",المنيو!$C43),"")</f>
        <v>100</v>
      </c>
      <c r="E43" s="12" t="n">
        <f aca="false">IFERROR(IF(OR($B43="",$D43=0,$D43=""),"",$N43/$D43),"")</f>
        <v>0.642979</v>
      </c>
      <c r="F43" s="49" t="n">
        <f aca="false">$F$2</f>
        <v>0.375</v>
      </c>
      <c r="G43" s="13" t="n">
        <f aca="false">IFERROR(IF($B43="","",$N43/$F43),"")</f>
        <v>171.461066666667</v>
      </c>
      <c r="H43" s="13" t="n">
        <f aca="false">IFERROR(IF($B43="","",$D43-$N43),"")</f>
        <v>35.7021</v>
      </c>
      <c r="I43" s="12" t="n">
        <f aca="false">IFERROR(IF(OR($B43="",$D43=0,$D43=""),"",$H43/$D43),"")</f>
        <v>0.357021</v>
      </c>
      <c r="J43" s="49" t="n">
        <f aca="false">$J$2</f>
        <v>0.25</v>
      </c>
      <c r="K43" s="12" t="n">
        <f aca="false">IFERROR(IF($B43="","",$E43+$J43),"")</f>
        <v>0.892979</v>
      </c>
      <c r="L43" s="47" t="n">
        <f aca="false">IFERROR(IF(OR($B43="",$C43=0,$C43=""),"",$I43+ROW()*0.0000001),"")</f>
        <v>0.3570253</v>
      </c>
      <c r="M43" s="50" t="n">
        <f aca="false">$M$2</f>
        <v>0.9319</v>
      </c>
      <c r="N43" s="13" t="n">
        <f aca="false">IFERROR(IF($B43="","",$C43+$M43),"")</f>
        <v>64.2979</v>
      </c>
    </row>
    <row r="44" customFormat="false" ht="39" hidden="false" customHeight="true" outlineLevel="0" collapsed="false">
      <c r="A44" s="43" t="str">
        <f aca="false">IFERROR(IF(المنيو!$B44="","",المنيو!$A44),"")</f>
        <v>قسم الفطير الحادق</v>
      </c>
      <c r="B44" s="43" t="str">
        <f aca="false">IFERROR(المنيو!$B44,"")</f>
        <v>فطيرة مشلتت بالسمنة البلدي كبير</v>
      </c>
      <c r="C44" s="13" t="n">
        <f aca="false">IFERROR(IF($B44="","",SUMIFS(الريسبي!$F$2:$F$1800,الريسبي!$A$2:$A$1800,$B44)),"")</f>
        <v>88.966</v>
      </c>
      <c r="D44" s="44" t="n">
        <f aca="false">IFERROR(IF($B44="","",المنيو!$C44),"")</f>
        <v>160</v>
      </c>
      <c r="E44" s="12" t="n">
        <f aca="false">IFERROR(IF(OR($B44="",$D44=0,$D44=""),"",$N44/$D44),"")</f>
        <v>0.561861875</v>
      </c>
      <c r="F44" s="49" t="n">
        <f aca="false">$F$2</f>
        <v>0.375</v>
      </c>
      <c r="G44" s="13" t="n">
        <f aca="false">IFERROR(IF($B44="","",$N44/$F44),"")</f>
        <v>239.727733333333</v>
      </c>
      <c r="H44" s="13" t="n">
        <f aca="false">IFERROR(IF($B44="","",$D44-$N44),"")</f>
        <v>70.1021</v>
      </c>
      <c r="I44" s="12" t="n">
        <f aca="false">IFERROR(IF(OR($B44="",$D44=0,$D44=""),"",$H44/$D44),"")</f>
        <v>0.438138125</v>
      </c>
      <c r="J44" s="49" t="n">
        <f aca="false">$J$2</f>
        <v>0.25</v>
      </c>
      <c r="K44" s="12" t="n">
        <f aca="false">IFERROR(IF($B44="","",$E44+$J44),"")</f>
        <v>0.811861875</v>
      </c>
      <c r="L44" s="47" t="n">
        <f aca="false">IFERROR(IF(OR($B44="",$C44=0,$C44=""),"",$I44+ROW()*0.0000001),"")</f>
        <v>0.438142525</v>
      </c>
      <c r="M44" s="50" t="n">
        <f aca="false">$M$2</f>
        <v>0.9319</v>
      </c>
      <c r="N44" s="13" t="n">
        <f aca="false">IFERROR(IF($B44="","",$C44+$M44),"")</f>
        <v>89.8979</v>
      </c>
    </row>
    <row r="45" customFormat="false" ht="39" hidden="false" customHeight="true" outlineLevel="0" collapsed="false">
      <c r="A45" s="43" t="str">
        <f aca="false">IFERROR(IF(المنيو!$B45="","",المنيو!$A45),"")</f>
        <v>قسم الفطير الحادق</v>
      </c>
      <c r="B45" s="43" t="str">
        <f aca="false">IFERROR(المنيو!$B45,"")</f>
        <v>فطيرة جمبري وسط</v>
      </c>
      <c r="C45" s="13" t="n">
        <f aca="false">IFERROR(IF($B45="","",SUMIFS(الريسبي!$F$2:$F$1800,الريسبي!$A$2:$A$1800,$B45)),"")</f>
        <v>128.296</v>
      </c>
      <c r="D45" s="44" t="n">
        <f aca="false">IFERROR(IF($B45="","",المنيو!$C45),"")</f>
        <v>240</v>
      </c>
      <c r="E45" s="12" t="n">
        <f aca="false">IFERROR(IF(OR($B45="",$D45=0,$D45=""),"",$N45/$D45),"")</f>
        <v>0.538449583333333</v>
      </c>
      <c r="F45" s="49" t="n">
        <f aca="false">$F$2</f>
        <v>0.375</v>
      </c>
      <c r="G45" s="13" t="n">
        <f aca="false">IFERROR(IF($B45="","",$N45/$F45),"")</f>
        <v>344.607733333333</v>
      </c>
      <c r="H45" s="13" t="n">
        <f aca="false">IFERROR(IF($B45="","",$D45-$N45),"")</f>
        <v>110.7721</v>
      </c>
      <c r="I45" s="12" t="n">
        <f aca="false">IFERROR(IF(OR($B45="",$D45=0,$D45=""),"",$H45/$D45),"")</f>
        <v>0.461550416666667</v>
      </c>
      <c r="J45" s="49" t="n">
        <f aca="false">$J$2</f>
        <v>0.25</v>
      </c>
      <c r="K45" s="12" t="n">
        <f aca="false">IFERROR(IF($B45="","",$E45+$J45),"")</f>
        <v>0.788449583333333</v>
      </c>
      <c r="L45" s="47" t="n">
        <f aca="false">IFERROR(IF(OR($B45="",$C45=0,$C45=""),"",$I45+ROW()*0.0000001),"")</f>
        <v>0.461554916666667</v>
      </c>
      <c r="M45" s="50" t="n">
        <f aca="false">$M$2</f>
        <v>0.9319</v>
      </c>
      <c r="N45" s="13" t="n">
        <f aca="false">IFERROR(IF($B45="","",$C45+$M45),"")</f>
        <v>129.2279</v>
      </c>
    </row>
    <row r="46" customFormat="false" ht="39" hidden="false" customHeight="true" outlineLevel="0" collapsed="false">
      <c r="A46" s="43" t="str">
        <f aca="false">IFERROR(IF(المنيو!$B46="","",المنيو!$A46),"")</f>
        <v>قسم الفطير الحادق</v>
      </c>
      <c r="B46" s="43" t="str">
        <f aca="false">IFERROR(المنيو!$B46,"")</f>
        <v>فطيرة جمبري حجم اكبر</v>
      </c>
      <c r="C46" s="13" t="n">
        <f aca="false">IFERROR(IF($B46="","",SUMIFS(الريسبي!$F$2:$F$1800,الريسبي!$A$2:$A$1800,$B46)),"")</f>
        <v>188.131</v>
      </c>
      <c r="D46" s="44" t="n">
        <f aca="false">IFERROR(IF($B46="","",المنيو!$C46),"")</f>
        <v>350</v>
      </c>
      <c r="E46" s="12" t="n">
        <f aca="false">IFERROR(IF(OR($B46="",$D46=0,$D46=""),"",$N46/$D46),"")</f>
        <v>0.540179714285714</v>
      </c>
      <c r="F46" s="49" t="n">
        <f aca="false">$F$2</f>
        <v>0.375</v>
      </c>
      <c r="G46" s="13" t="n">
        <f aca="false">IFERROR(IF($B46="","",$N46/$F46),"")</f>
        <v>504.167733333333</v>
      </c>
      <c r="H46" s="13" t="n">
        <f aca="false">IFERROR(IF($B46="","",$D46-$N46),"")</f>
        <v>160.9371</v>
      </c>
      <c r="I46" s="12" t="n">
        <f aca="false">IFERROR(IF(OR($B46="",$D46=0,$D46=""),"",$H46/$D46),"")</f>
        <v>0.459820285714286</v>
      </c>
      <c r="J46" s="49" t="n">
        <f aca="false">$J$2</f>
        <v>0.25</v>
      </c>
      <c r="K46" s="12" t="n">
        <f aca="false">IFERROR(IF($B46="","",$E46+$J46),"")</f>
        <v>0.790179714285714</v>
      </c>
      <c r="L46" s="47" t="n">
        <f aca="false">IFERROR(IF(OR($B46="",$C46=0,$C46=""),"",$I46+ROW()*0.0000001),"")</f>
        <v>0.459824885714286</v>
      </c>
      <c r="M46" s="50" t="n">
        <f aca="false">$M$2</f>
        <v>0.9319</v>
      </c>
      <c r="N46" s="13" t="n">
        <f aca="false">IFERROR(IF($B46="","",$C46+$M46),"")</f>
        <v>189.0629</v>
      </c>
    </row>
    <row r="47" customFormat="false" ht="39" hidden="false" customHeight="true" outlineLevel="0" collapsed="false">
      <c r="A47" s="43" t="str">
        <f aca="false">IFERROR(IF(المنيو!$B47="","",المنيو!$A47),"")</f>
        <v>قسم الفطير الحلو</v>
      </c>
      <c r="B47" s="43" t="str">
        <f aca="false">IFERROR(المنيو!$B47,"")</f>
        <v>فطيرة سكر / كاستر</v>
      </c>
      <c r="C47" s="13" t="n">
        <f aca="false">IFERROR(IF($B47="","",SUMIFS(الريسبي!$F$2:$F$1800,الريسبي!$A$2:$A$1800,$B47)),"")</f>
        <v>19.165737</v>
      </c>
      <c r="D47" s="44" t="n">
        <f aca="false">IFERROR(IF($B47="","",المنيو!$C47),"")</f>
        <v>40</v>
      </c>
      <c r="E47" s="12" t="n">
        <f aca="false">IFERROR(IF(OR($B47="",$D47=0,$D47=""),"",$N47/$D47),"")</f>
        <v>0.502440925</v>
      </c>
      <c r="F47" s="49" t="n">
        <f aca="false">$F$2</f>
        <v>0.375</v>
      </c>
      <c r="G47" s="13" t="n">
        <f aca="false">IFERROR(IF($B47="","",$N47/$F47),"")</f>
        <v>53.5936986666667</v>
      </c>
      <c r="H47" s="13" t="n">
        <f aca="false">IFERROR(IF($B47="","",$D47-$N47),"")</f>
        <v>19.902363</v>
      </c>
      <c r="I47" s="12" t="n">
        <f aca="false">IFERROR(IF(OR($B47="",$D47=0,$D47=""),"",$H47/$D47),"")</f>
        <v>0.497559075</v>
      </c>
      <c r="J47" s="49" t="n">
        <f aca="false">$J$2</f>
        <v>0.25</v>
      </c>
      <c r="K47" s="12" t="n">
        <f aca="false">IFERROR(IF($B47="","",$E47+$J47),"")</f>
        <v>0.752440925</v>
      </c>
      <c r="L47" s="47" t="n">
        <f aca="false">IFERROR(IF(OR($B47="",$C47=0,$C47=""),"",$I47+ROW()*0.0000001),"")</f>
        <v>0.497563775</v>
      </c>
      <c r="M47" s="50" t="n">
        <f aca="false">$M$2</f>
        <v>0.9319</v>
      </c>
      <c r="N47" s="13" t="n">
        <f aca="false">IFERROR(IF($B47="","",$C47+$M47),"")</f>
        <v>20.097637</v>
      </c>
    </row>
    <row r="48" customFormat="false" ht="39" hidden="false" customHeight="true" outlineLevel="0" collapsed="false">
      <c r="A48" s="43" t="str">
        <f aca="false">IFERROR(IF(المنيو!$B48="","",المنيو!$A48),"")</f>
        <v>قسم الفطير الحلو</v>
      </c>
      <c r="B48" s="43" t="str">
        <f aca="false">IFERROR(المنيو!$B48,"")</f>
        <v>فطيرة ملوكي زبيب وجوزهند</v>
      </c>
      <c r="C48" s="13" t="n">
        <f aca="false">IFERROR(IF($B48="","",SUMIFS(الريسبي!$F$2:$F$1800,الريسبي!$A$2:$A$1800,$B48)),"")</f>
        <v>39.631337</v>
      </c>
      <c r="D48" s="44" t="n">
        <f aca="false">IFERROR(IF($B48="","",المنيو!$C48),"")</f>
        <v>65</v>
      </c>
      <c r="E48" s="12" t="n">
        <f aca="false">IFERROR(IF(OR($B48="",$D48=0,$D48=""),"",$N48/$D48),"")</f>
        <v>0.6240498</v>
      </c>
      <c r="F48" s="49" t="n">
        <f aca="false">$F$2</f>
        <v>0.375</v>
      </c>
      <c r="G48" s="13" t="n">
        <f aca="false">IFERROR(IF($B48="","",$N48/$F48),"")</f>
        <v>108.168632</v>
      </c>
      <c r="H48" s="13" t="n">
        <f aca="false">IFERROR(IF($B48="","",$D48-$N48),"")</f>
        <v>24.436763</v>
      </c>
      <c r="I48" s="12" t="n">
        <f aca="false">IFERROR(IF(OR($B48="",$D48=0,$D48=""),"",$H48/$D48),"")</f>
        <v>0.3759502</v>
      </c>
      <c r="J48" s="49" t="n">
        <f aca="false">$J$2</f>
        <v>0.25</v>
      </c>
      <c r="K48" s="12" t="n">
        <f aca="false">IFERROR(IF($B48="","",$E48+$J48),"")</f>
        <v>0.8740498</v>
      </c>
      <c r="L48" s="47" t="n">
        <f aca="false">IFERROR(IF(OR($B48="",$C48=0,$C48=""),"",$I48+ROW()*0.0000001),"")</f>
        <v>0.375955</v>
      </c>
      <c r="M48" s="50" t="n">
        <f aca="false">$M$2</f>
        <v>0.9319</v>
      </c>
      <c r="N48" s="13" t="n">
        <f aca="false">IFERROR(IF($B48="","",$C48+$M48),"")</f>
        <v>40.563237</v>
      </c>
    </row>
    <row r="49" customFormat="false" ht="39" hidden="false" customHeight="true" outlineLevel="0" collapsed="false">
      <c r="A49" s="43" t="str">
        <f aca="false">IFERROR(IF(المنيو!$B49="","",المنيو!$A49),"")</f>
        <v>قسم الفطير الحلو</v>
      </c>
      <c r="B49" s="43" t="str">
        <f aca="false">IFERROR(المنيو!$B49,"")</f>
        <v>فطيرة قشطة عسل مكسرات</v>
      </c>
      <c r="C49" s="13" t="n">
        <f aca="false">IFERROR(IF($B49="","",SUMIFS(الريسبي!$F$2:$F$1800,الريسبي!$A$2:$A$1800,$B49)),"")</f>
        <v>78.231337</v>
      </c>
      <c r="D49" s="44" t="n">
        <f aca="false">IFERROR(IF($B49="","",المنيو!$C49),"")</f>
        <v>130</v>
      </c>
      <c r="E49" s="12" t="n">
        <f aca="false">IFERROR(IF(OR($B49="",$D49=0,$D49=""),"",$N49/$D49),"")</f>
        <v>0.608947976923077</v>
      </c>
      <c r="F49" s="49" t="n">
        <f aca="false">$F$2</f>
        <v>0.375</v>
      </c>
      <c r="G49" s="13" t="n">
        <f aca="false">IFERROR(IF($B49="","",$N49/$F49),"")</f>
        <v>211.101965333333</v>
      </c>
      <c r="H49" s="13" t="n">
        <f aca="false">IFERROR(IF($B49="","",$D49-$N49),"")</f>
        <v>50.836763</v>
      </c>
      <c r="I49" s="12" t="n">
        <f aca="false">IFERROR(IF(OR($B49="",$D49=0,$D49=""),"",$H49/$D49),"")</f>
        <v>0.391052023076923</v>
      </c>
      <c r="J49" s="49" t="n">
        <f aca="false">$J$2</f>
        <v>0.25</v>
      </c>
      <c r="K49" s="12" t="n">
        <f aca="false">IFERROR(IF($B49="","",$E49+$J49),"")</f>
        <v>0.858947976923077</v>
      </c>
      <c r="L49" s="47" t="n">
        <f aca="false">IFERROR(IF(OR($B49="",$C49=0,$C49=""),"",$I49+ROW()*0.0000001),"")</f>
        <v>0.391056923076923</v>
      </c>
      <c r="M49" s="50" t="n">
        <f aca="false">$M$2</f>
        <v>0.9319</v>
      </c>
      <c r="N49" s="13" t="n">
        <f aca="false">IFERROR(IF($B49="","",$C49+$M49),"")</f>
        <v>79.163237</v>
      </c>
    </row>
    <row r="50" customFormat="false" ht="39" hidden="false" customHeight="true" outlineLevel="0" collapsed="false">
      <c r="A50" s="43" t="str">
        <f aca="false">IFERROR(IF(المنيو!$B50="","",المنيو!$A50),"")</f>
        <v>قسم الفطير الحلو</v>
      </c>
      <c r="B50" s="43" t="str">
        <f aca="false">IFERROR(المنيو!$B50,"")</f>
        <v>فطيرة شيكولاتة</v>
      </c>
      <c r="C50" s="13" t="n">
        <f aca="false">IFERROR(IF($B50="","",SUMIFS(الريسبي!$F$2:$F$1800,الريسبي!$A$2:$A$1800,$B50)),"")</f>
        <v>43.877362</v>
      </c>
      <c r="D50" s="44" t="n">
        <f aca="false">IFERROR(IF($B50="","",المنيو!$C50),"")</f>
        <v>90</v>
      </c>
      <c r="E50" s="12" t="n">
        <f aca="false">IFERROR(IF(OR($B50="",$D50=0,$D50=""),"",$N50/$D50),"")</f>
        <v>0.497880688888889</v>
      </c>
      <c r="F50" s="49" t="n">
        <f aca="false">$F$2</f>
        <v>0.375</v>
      </c>
      <c r="G50" s="13" t="n">
        <f aca="false">IFERROR(IF($B50="","",$N50/$F50),"")</f>
        <v>119.491365333333</v>
      </c>
      <c r="H50" s="13" t="n">
        <f aca="false">IFERROR(IF($B50="","",$D50-$N50),"")</f>
        <v>45.190738</v>
      </c>
      <c r="I50" s="12" t="n">
        <f aca="false">IFERROR(IF(OR($B50="",$D50=0,$D50=""),"",$H50/$D50),"")</f>
        <v>0.502119311111111</v>
      </c>
      <c r="J50" s="49" t="n">
        <f aca="false">$J$2</f>
        <v>0.25</v>
      </c>
      <c r="K50" s="12" t="n">
        <f aca="false">IFERROR(IF($B50="","",$E50+$J50),"")</f>
        <v>0.747880688888889</v>
      </c>
      <c r="L50" s="47" t="n">
        <f aca="false">IFERROR(IF(OR($B50="",$C50=0,$C50=""),"",$I50+ROW()*0.0000001),"")</f>
        <v>0.502124311111111</v>
      </c>
      <c r="M50" s="50" t="n">
        <f aca="false">$M$2</f>
        <v>0.9319</v>
      </c>
      <c r="N50" s="13" t="n">
        <f aca="false">IFERROR(IF($B50="","",$C50+$M50),"")</f>
        <v>44.809262</v>
      </c>
    </row>
    <row r="51" customFormat="false" ht="39" hidden="false" customHeight="true" outlineLevel="0" collapsed="false">
      <c r="A51" s="43" t="str">
        <f aca="false">IFERROR(IF(المنيو!$B51="","",المنيو!$A51),"")</f>
        <v>قسم الفطير الحلو</v>
      </c>
      <c r="B51" s="43" t="str">
        <f aca="false">IFERROR(المنيو!$B51,"")</f>
        <v>فطيرة نوتيلا قشطة مكسرات</v>
      </c>
      <c r="C51" s="13" t="n">
        <f aca="false">IFERROR(IF($B51="","",SUMIFS(الريسبي!$F$2:$F$1800,الريسبي!$A$2:$A$1800,$B51)),"")</f>
        <v>164.477362</v>
      </c>
      <c r="D51" s="44" t="n">
        <f aca="false">IFERROR(IF($B51="","",المنيو!$C51),"")</f>
        <v>250</v>
      </c>
      <c r="E51" s="12" t="n">
        <f aca="false">IFERROR(IF(OR($B51="",$D51=0,$D51=""),"",$N51/$D51),"")</f>
        <v>0.661637048</v>
      </c>
      <c r="F51" s="49" t="n">
        <f aca="false">$F$2</f>
        <v>0.375</v>
      </c>
      <c r="G51" s="13" t="n">
        <f aca="false">IFERROR(IF($B51="","",$N51/$F51),"")</f>
        <v>441.091365333333</v>
      </c>
      <c r="H51" s="13" t="n">
        <f aca="false">IFERROR(IF($B51="","",$D51-$N51),"")</f>
        <v>84.590738</v>
      </c>
      <c r="I51" s="12" t="n">
        <f aca="false">IFERROR(IF(OR($B51="",$D51=0,$D51=""),"",$H51/$D51),"")</f>
        <v>0.338362952</v>
      </c>
      <c r="J51" s="49" t="n">
        <f aca="false">$J$2</f>
        <v>0.25</v>
      </c>
      <c r="K51" s="12" t="n">
        <f aca="false">IFERROR(IF($B51="","",$E51+$J51),"")</f>
        <v>0.911637048</v>
      </c>
      <c r="L51" s="47" t="n">
        <f aca="false">IFERROR(IF(OR($B51="",$C51=0,$C51=""),"",$I51+ROW()*0.0000001),"")</f>
        <v>0.338368052</v>
      </c>
      <c r="M51" s="50" t="n">
        <f aca="false">$M$2</f>
        <v>0.9319</v>
      </c>
      <c r="N51" s="13" t="n">
        <f aca="false">IFERROR(IF($B51="","",$C51+$M51),"")</f>
        <v>165.409262</v>
      </c>
    </row>
    <row r="52" customFormat="false" ht="39" hidden="false" customHeight="true" outlineLevel="0" collapsed="false">
      <c r="A52" s="43" t="str">
        <f aca="false">IFERROR(IF(المنيو!$B52="","",المنيو!$A52),"")</f>
        <v>قسم الفطير الحلو</v>
      </c>
      <c r="B52" s="43" t="str">
        <f aca="false">IFERROR(المنيو!$B52,"")</f>
        <v>فطيرة فورسيزون ستاموني</v>
      </c>
      <c r="C52" s="13" t="n">
        <f aca="false">IFERROR(IF($B52="","",SUMIFS(الريسبي!$F$2:$F$1800,الريسبي!$A$2:$A$1800,$B52)),"")</f>
        <v>73.546262</v>
      </c>
      <c r="D52" s="44" t="n">
        <f aca="false">IFERROR(IF($B52="","",المنيو!$C52),"")</f>
        <v>150</v>
      </c>
      <c r="E52" s="12" t="n">
        <f aca="false">IFERROR(IF(OR($B52="",$D52=0,$D52=""),"",$N52/$D52),"")</f>
        <v>0.49652108</v>
      </c>
      <c r="F52" s="49" t="n">
        <f aca="false">$F$2</f>
        <v>0.375</v>
      </c>
      <c r="G52" s="13" t="n">
        <f aca="false">IFERROR(IF($B52="","",$N52/$F52),"")</f>
        <v>198.608432</v>
      </c>
      <c r="H52" s="13" t="n">
        <f aca="false">IFERROR(IF($B52="","",$D52-$N52),"")</f>
        <v>75.521838</v>
      </c>
      <c r="I52" s="12" t="n">
        <f aca="false">IFERROR(IF(OR($B52="",$D52=0,$D52=""),"",$H52/$D52),"")</f>
        <v>0.50347892</v>
      </c>
      <c r="J52" s="49" t="n">
        <f aca="false">$J$2</f>
        <v>0.25</v>
      </c>
      <c r="K52" s="12" t="n">
        <f aca="false">IFERROR(IF($B52="","",$E52+$J52),"")</f>
        <v>0.74652108</v>
      </c>
      <c r="L52" s="47" t="n">
        <f aca="false">IFERROR(IF(OR($B52="",$C52=0,$C52=""),"",$I52+ROW()*0.0000001),"")</f>
        <v>0.50348412</v>
      </c>
      <c r="M52" s="50" t="n">
        <f aca="false">$M$2</f>
        <v>0.9319</v>
      </c>
      <c r="N52" s="13" t="n">
        <f aca="false">IFERROR(IF($B52="","",$C52+$M52),"")</f>
        <v>74.478162</v>
      </c>
    </row>
    <row r="53" customFormat="false" ht="39" hidden="false" customHeight="true" outlineLevel="0" collapsed="false">
      <c r="A53" s="43" t="str">
        <f aca="false">IFERROR(IF(المنيو!$B53="","",المنيو!$A53),"")</f>
        <v>قسم البرجر</v>
      </c>
      <c r="B53" s="43" t="str">
        <f aca="false">IFERROR(المنيو!$B53,"")</f>
        <v>قنبلة برجر</v>
      </c>
      <c r="C53" s="13" t="n">
        <f aca="false">IFERROR(IF($B53="","",SUMIFS(الريسبي!$F$2:$F$1800,الريسبي!$A$2:$A$1800,$B53)),"")</f>
        <v>79.226</v>
      </c>
      <c r="D53" s="44" t="n">
        <f aca="false">IFERROR(IF($B53="","",المنيو!$C53),"")</f>
        <v>150</v>
      </c>
      <c r="E53" s="12" t="n">
        <f aca="false">IFERROR(IF(OR($B53="",$D53=0,$D53=""),"",$N53/$D53),"")</f>
        <v>0.534386</v>
      </c>
      <c r="F53" s="49" t="n">
        <f aca="false">$F$2</f>
        <v>0.375</v>
      </c>
      <c r="G53" s="13" t="n">
        <f aca="false">IFERROR(IF($B53="","",$N53/$F53),"")</f>
        <v>213.7544</v>
      </c>
      <c r="H53" s="13" t="n">
        <f aca="false">IFERROR(IF($B53="","",$D53-$N53),"")</f>
        <v>69.8421</v>
      </c>
      <c r="I53" s="12" t="n">
        <f aca="false">IFERROR(IF(OR($B53="",$D53=0,$D53=""),"",$H53/$D53),"")</f>
        <v>0.465614</v>
      </c>
      <c r="J53" s="49" t="n">
        <f aca="false">$J$2</f>
        <v>0.25</v>
      </c>
      <c r="K53" s="12" t="n">
        <f aca="false">IFERROR(IF($B53="","",$E53+$J53),"")</f>
        <v>0.784386</v>
      </c>
      <c r="L53" s="47" t="n">
        <f aca="false">IFERROR(IF(OR($B53="",$C53=0,$C53=""),"",$I53+ROW()*0.0000001),"")</f>
        <v>0.4656193</v>
      </c>
      <c r="M53" s="50" t="n">
        <f aca="false">$M$2</f>
        <v>0.9319</v>
      </c>
      <c r="N53" s="13" t="n">
        <f aca="false">IFERROR(IF($B53="","",$C53+$M53),"")</f>
        <v>80.1579</v>
      </c>
    </row>
    <row r="54" customFormat="false" ht="39" hidden="false" customHeight="true" outlineLevel="0" collapsed="false">
      <c r="A54" s="43" t="str">
        <f aca="false">IFERROR(IF(المنيو!$B54="","",المنيو!$A54),"")</f>
        <v>قسم البرجر</v>
      </c>
      <c r="B54" s="43" t="str">
        <f aca="false">IFERROR(المنيو!$B54,"")</f>
        <v>قنبلة كريسبي</v>
      </c>
      <c r="C54" s="13" t="n">
        <f aca="false">IFERROR(IF($B54="","",SUMIFS(الريسبي!$F$2:$F$1800,الريسبي!$A$2:$A$1800,$B54)),"")</f>
        <v>87.0537</v>
      </c>
      <c r="D54" s="44" t="n">
        <f aca="false">IFERROR(IF($B54="","",المنيو!$C54),"")</f>
        <v>150</v>
      </c>
      <c r="E54" s="12" t="n">
        <f aca="false">IFERROR(IF(OR($B54="",$D54=0,$D54=""),"",$N54/$D54),"")</f>
        <v>0.586570666666667</v>
      </c>
      <c r="F54" s="49" t="n">
        <f aca="false">$F$2</f>
        <v>0.375</v>
      </c>
      <c r="G54" s="13" t="n">
        <f aca="false">IFERROR(IF($B54="","",$N54/$F54),"")</f>
        <v>234.628266666667</v>
      </c>
      <c r="H54" s="13" t="n">
        <f aca="false">IFERROR(IF($B54="","",$D54-$N54),"")</f>
        <v>62.0144</v>
      </c>
      <c r="I54" s="12" t="n">
        <f aca="false">IFERROR(IF(OR($B54="",$D54=0,$D54=""),"",$H54/$D54),"")</f>
        <v>0.413429333333333</v>
      </c>
      <c r="J54" s="49" t="n">
        <f aca="false">$J$2</f>
        <v>0.25</v>
      </c>
      <c r="K54" s="12" t="n">
        <f aca="false">IFERROR(IF($B54="","",$E54+$J54),"")</f>
        <v>0.836570666666667</v>
      </c>
      <c r="L54" s="47" t="n">
        <f aca="false">IFERROR(IF(OR($B54="",$C54=0,$C54=""),"",$I54+ROW()*0.0000001),"")</f>
        <v>0.413434733333333</v>
      </c>
      <c r="M54" s="50" t="n">
        <f aca="false">$M$2</f>
        <v>0.9319</v>
      </c>
      <c r="N54" s="13" t="n">
        <f aca="false">IFERROR(IF($B54="","",$C54+$M54),"")</f>
        <v>87.9856</v>
      </c>
    </row>
    <row r="55" customFormat="false" ht="39" hidden="false" customHeight="true" outlineLevel="0" collapsed="false">
      <c r="A55" s="43" t="str">
        <f aca="false">IFERROR(IF(المنيو!$B55="","",المنيو!$A55),"")</f>
        <v>قسم البرجر</v>
      </c>
      <c r="B55" s="43" t="str">
        <f aca="false">IFERROR(المنيو!$B55,"")</f>
        <v>بهججة بيتزا برجر</v>
      </c>
      <c r="C55" s="13" t="n">
        <f aca="false">IFERROR(IF($B55="","",SUMIFS(الريسبي!$F$2:$F$1800,الريسبي!$A$2:$A$1800,$B55)),"")</f>
        <v>97.36926</v>
      </c>
      <c r="D55" s="44" t="n">
        <f aca="false">IFERROR(IF($B55="","",المنيو!$C55),"")</f>
        <v>160</v>
      </c>
      <c r="E55" s="12" t="n">
        <f aca="false">IFERROR(IF(OR($B55="",$D55=0,$D55=""),"",$N55/$D55),"")</f>
        <v>0.61438225</v>
      </c>
      <c r="F55" s="49" t="n">
        <f aca="false">$F$2</f>
        <v>0.375</v>
      </c>
      <c r="G55" s="13" t="n">
        <f aca="false">IFERROR(IF($B55="","",$N55/$F55),"")</f>
        <v>262.136426666667</v>
      </c>
      <c r="H55" s="13" t="n">
        <f aca="false">IFERROR(IF($B55="","",$D55-$N55),"")</f>
        <v>61.69884</v>
      </c>
      <c r="I55" s="12" t="n">
        <f aca="false">IFERROR(IF(OR($B55="",$D55=0,$D55=""),"",$H55/$D55),"")</f>
        <v>0.38561775</v>
      </c>
      <c r="J55" s="49" t="n">
        <f aca="false">$J$2</f>
        <v>0.25</v>
      </c>
      <c r="K55" s="12" t="n">
        <f aca="false">IFERROR(IF($B55="","",$E55+$J55),"")</f>
        <v>0.86438225</v>
      </c>
      <c r="L55" s="47" t="n">
        <f aca="false">IFERROR(IF(OR($B55="",$C55=0,$C55=""),"",$I55+ROW()*0.0000001),"")</f>
        <v>0.38562325</v>
      </c>
      <c r="M55" s="50" t="n">
        <f aca="false">$M$2</f>
        <v>0.9319</v>
      </c>
      <c r="N55" s="13" t="n">
        <f aca="false">IFERROR(IF($B55="","",$C55+$M55),"")</f>
        <v>98.30116</v>
      </c>
    </row>
    <row r="56" customFormat="false" ht="39" hidden="false" customHeight="true" outlineLevel="0" collapsed="false">
      <c r="A56" s="43" t="str">
        <f aca="false">IFERROR(IF(المنيو!$B56="","",المنيو!$A56),"")</f>
        <v>قسم البرجر</v>
      </c>
      <c r="B56" s="43" t="str">
        <f aca="false">IFERROR(المنيو!$B56,"")</f>
        <v>بهججة كريسبي</v>
      </c>
      <c r="C56" s="13" t="n">
        <f aca="false">IFERROR(IF($B56="","",SUMIFS(الريسبي!$F$2:$F$1800,الريسبي!$A$2:$A$1800,$B56)),"")</f>
        <v>95.19696</v>
      </c>
      <c r="D56" s="44" t="n">
        <f aca="false">IFERROR(IF($B56="","",المنيو!$C56),"")</f>
        <v>160</v>
      </c>
      <c r="E56" s="12" t="n">
        <f aca="false">IFERROR(IF(OR($B56="",$D56=0,$D56=""),"",$N56/$D56),"")</f>
        <v>0.600805375</v>
      </c>
      <c r="F56" s="49" t="n">
        <f aca="false">$F$2</f>
        <v>0.375</v>
      </c>
      <c r="G56" s="13" t="n">
        <f aca="false">IFERROR(IF($B56="","",$N56/$F56),"")</f>
        <v>256.343626666667</v>
      </c>
      <c r="H56" s="13" t="n">
        <f aca="false">IFERROR(IF($B56="","",$D56-$N56),"")</f>
        <v>63.87114</v>
      </c>
      <c r="I56" s="12" t="n">
        <f aca="false">IFERROR(IF(OR($B56="",$D56=0,$D56=""),"",$H56/$D56),"")</f>
        <v>0.399194625</v>
      </c>
      <c r="J56" s="49" t="n">
        <f aca="false">$J$2</f>
        <v>0.25</v>
      </c>
      <c r="K56" s="12" t="n">
        <f aca="false">IFERROR(IF($B56="","",$E56+$J56),"")</f>
        <v>0.850805375</v>
      </c>
      <c r="L56" s="47" t="n">
        <f aca="false">IFERROR(IF(OR($B56="",$C56=0,$C56=""),"",$I56+ROW()*0.0000001),"")</f>
        <v>0.399200225</v>
      </c>
      <c r="M56" s="50" t="n">
        <f aca="false">$M$2</f>
        <v>0.9319</v>
      </c>
      <c r="N56" s="13" t="n">
        <f aca="false">IFERROR(IF($B56="","",$C56+$M56),"")</f>
        <v>96.12886</v>
      </c>
    </row>
    <row r="57" customFormat="false" ht="39" hidden="false" customHeight="true" outlineLevel="0" collapsed="false">
      <c r="A57" s="43" t="str">
        <f aca="false">IFERROR(IF(المنيو!$B57="","",المنيو!$A57),"")</f>
        <v>قسم البرجر</v>
      </c>
      <c r="B57" s="43" t="str">
        <f aca="false">IFERROR(المنيو!$B57,"")</f>
        <v>شيكاغو بيتزا برجر</v>
      </c>
      <c r="C57" s="13" t="n">
        <f aca="false">IFERROR(IF($B57="","",SUMIFS(الريسبي!$F$2:$F$1800,الريسبي!$A$2:$A$1800,$B57)),"")</f>
        <v>180.204</v>
      </c>
      <c r="D57" s="44" t="n">
        <f aca="false">IFERROR(IF($B57="","",المنيو!$C57),"")</f>
        <v>320</v>
      </c>
      <c r="E57" s="12" t="n">
        <f aca="false">IFERROR(IF(OR($B57="",$D57=0,$D57=""),"",$N57/$D57),"")</f>
        <v>0.5660496875</v>
      </c>
      <c r="F57" s="49" t="n">
        <f aca="false">$F$2</f>
        <v>0.375</v>
      </c>
      <c r="G57" s="13" t="n">
        <f aca="false">IFERROR(IF($B57="","",$N57/$F57),"")</f>
        <v>483.029066666667</v>
      </c>
      <c r="H57" s="13" t="n">
        <f aca="false">IFERROR(IF($B57="","",$D57-$N57),"")</f>
        <v>138.8641</v>
      </c>
      <c r="I57" s="12" t="n">
        <f aca="false">IFERROR(IF(OR($B57="",$D57=0,$D57=""),"",$H57/$D57),"")</f>
        <v>0.4339503125</v>
      </c>
      <c r="J57" s="49" t="n">
        <f aca="false">$J$2</f>
        <v>0.25</v>
      </c>
      <c r="K57" s="12" t="n">
        <f aca="false">IFERROR(IF($B57="","",$E57+$J57),"")</f>
        <v>0.8160496875</v>
      </c>
      <c r="L57" s="47" t="n">
        <f aca="false">IFERROR(IF(OR($B57="",$C57=0,$C57=""),"",$I57+ROW()*0.0000001),"")</f>
        <v>0.4339560125</v>
      </c>
      <c r="M57" s="50" t="n">
        <f aca="false">$M$2</f>
        <v>0.9319</v>
      </c>
      <c r="N57" s="13" t="n">
        <f aca="false">IFERROR(IF($B57="","",$C57+$M57),"")</f>
        <v>181.1359</v>
      </c>
    </row>
    <row r="58" customFormat="false" ht="39" hidden="false" customHeight="true" outlineLevel="0" collapsed="false">
      <c r="A58" s="43" t="str">
        <f aca="false">IFERROR(IF(المنيو!$B58="","",المنيو!$A58),"")</f>
        <v>قسم البرجر</v>
      </c>
      <c r="B58" s="43" t="str">
        <f aca="false">IFERROR(المنيو!$B58,"")</f>
        <v>فطيررجر</v>
      </c>
      <c r="C58" s="13" t="n">
        <f aca="false">IFERROR(IF($B58="","",SUMIFS(الريسبي!$F$2:$F$1800,الريسبي!$A$2:$A$1800,$B58)),"")</f>
        <v>72.086</v>
      </c>
      <c r="D58" s="44" t="n">
        <f aca="false">IFERROR(IF($B58="","",المنيو!$C58),"")</f>
        <v>140</v>
      </c>
      <c r="E58" s="12" t="n">
        <f aca="false">IFERROR(IF(OR($B58="",$D58=0,$D58=""),"",$N58/$D58),"")</f>
        <v>0.521556428571429</v>
      </c>
      <c r="F58" s="49" t="n">
        <f aca="false">$F$2</f>
        <v>0.375</v>
      </c>
      <c r="G58" s="13" t="n">
        <f aca="false">IFERROR(IF($B58="","",$N58/$F58),"")</f>
        <v>194.7144</v>
      </c>
      <c r="H58" s="13" t="n">
        <f aca="false">IFERROR(IF($B58="","",$D58-$N58),"")</f>
        <v>66.9821</v>
      </c>
      <c r="I58" s="12" t="n">
        <f aca="false">IFERROR(IF(OR($B58="",$D58=0,$D58=""),"",$H58/$D58),"")</f>
        <v>0.478443571428571</v>
      </c>
      <c r="J58" s="49" t="n">
        <f aca="false">$J$2</f>
        <v>0.25</v>
      </c>
      <c r="K58" s="12" t="n">
        <f aca="false">IFERROR(IF($B58="","",$E58+$J58),"")</f>
        <v>0.771556428571429</v>
      </c>
      <c r="L58" s="47" t="n">
        <f aca="false">IFERROR(IF(OR($B58="",$C58=0,$C58=""),"",$I58+ROW()*0.0000001),"")</f>
        <v>0.478449371428571</v>
      </c>
      <c r="M58" s="50" t="n">
        <f aca="false">$M$2</f>
        <v>0.9319</v>
      </c>
      <c r="N58" s="13" t="n">
        <f aca="false">IFERROR(IF($B58="","",$C58+$M58),"")</f>
        <v>73.0179</v>
      </c>
    </row>
    <row r="59" customFormat="false" ht="39" hidden="false" customHeight="true" outlineLevel="0" collapsed="false">
      <c r="A59" s="43" t="str">
        <f aca="false">IFERROR(IF(المنيو!$B59="","",المنيو!$A59),"")</f>
        <v>قسم المكرونات</v>
      </c>
      <c r="B59" s="43" t="str">
        <f aca="false">IFERROR(المنيو!$B59,"")</f>
        <v>مكرونة تجرسكو (فراخ ومشروم)</v>
      </c>
      <c r="C59" s="13" t="n">
        <f aca="false">IFERROR(IF($B59="","",SUMIFS(الريسبي!$F$2:$F$1800,الريسبي!$A$2:$A$1800,$B59)),"")</f>
        <v>87.276697</v>
      </c>
      <c r="D59" s="44" t="n">
        <f aca="false">IFERROR(IF($B59="","",المنيو!$C59),"")</f>
        <v>150</v>
      </c>
      <c r="E59" s="12" t="n">
        <f aca="false">IFERROR(IF(OR($B59="",$D59=0,$D59=""),"",$N59/$D59),"")</f>
        <v>0.588057313333333</v>
      </c>
      <c r="F59" s="49" t="n">
        <f aca="false">$F$2</f>
        <v>0.375</v>
      </c>
      <c r="G59" s="13" t="n">
        <f aca="false">IFERROR(IF($B59="","",$N59/$F59),"")</f>
        <v>235.222925333333</v>
      </c>
      <c r="H59" s="13" t="n">
        <f aca="false">IFERROR(IF($B59="","",$D59-$N59),"")</f>
        <v>61.791403</v>
      </c>
      <c r="I59" s="12" t="n">
        <f aca="false">IFERROR(IF(OR($B59="",$D59=0,$D59=""),"",$H59/$D59),"")</f>
        <v>0.411942686666667</v>
      </c>
      <c r="J59" s="49" t="n">
        <f aca="false">$J$2</f>
        <v>0.25</v>
      </c>
      <c r="K59" s="12" t="n">
        <f aca="false">IFERROR(IF($B59="","",$E59+$J59),"")</f>
        <v>0.838057313333333</v>
      </c>
      <c r="L59" s="47" t="n">
        <f aca="false">IFERROR(IF(OR($B59="",$C59=0,$C59=""),"",$I59+ROW()*0.0000001),"")</f>
        <v>0.411948586666667</v>
      </c>
      <c r="M59" s="50" t="n">
        <f aca="false">$M$2</f>
        <v>0.9319</v>
      </c>
      <c r="N59" s="13" t="n">
        <f aca="false">IFERROR(IF($B59="","",$C59+$M59),"")</f>
        <v>88.208597</v>
      </c>
    </row>
    <row r="60" customFormat="false" ht="39" hidden="false" customHeight="true" outlineLevel="0" collapsed="false">
      <c r="A60" s="43" t="str">
        <f aca="false">IFERROR(IF(المنيو!$B60="","",المنيو!$A60),"")</f>
        <v>قسم المكرونات</v>
      </c>
      <c r="B60" s="43" t="str">
        <f aca="false">IFERROR(المنيو!$B60,"")</f>
        <v>مكرونة كريسبي شيدر</v>
      </c>
      <c r="C60" s="13" t="n">
        <f aca="false">IFERROR(IF($B60="","",SUMIFS(الريسبي!$F$2:$F$1800,الريسبي!$A$2:$A$1800,$B60)),"")</f>
        <v>94.021335</v>
      </c>
      <c r="D60" s="44" t="n">
        <f aca="false">IFERROR(IF($B60="","",المنيو!$C60),"")</f>
        <v>170</v>
      </c>
      <c r="E60" s="12" t="n">
        <f aca="false">IFERROR(IF(OR($B60="",$D60=0,$D60=""),"",$N60/$D60),"")</f>
        <v>0.558548441176471</v>
      </c>
      <c r="F60" s="49" t="n">
        <f aca="false">$F$2</f>
        <v>0.375</v>
      </c>
      <c r="G60" s="13" t="n">
        <f aca="false">IFERROR(IF($B60="","",$N60/$F60),"")</f>
        <v>253.208626666667</v>
      </c>
      <c r="H60" s="13" t="n">
        <f aca="false">IFERROR(IF($B60="","",$D60-$N60),"")</f>
        <v>75.046765</v>
      </c>
      <c r="I60" s="12" t="n">
        <f aca="false">IFERROR(IF(OR($B60="",$D60=0,$D60=""),"",$H60/$D60),"")</f>
        <v>0.441451558823529</v>
      </c>
      <c r="J60" s="49" t="n">
        <f aca="false">$J$2</f>
        <v>0.25</v>
      </c>
      <c r="K60" s="12" t="n">
        <f aca="false">IFERROR(IF($B60="","",$E60+$J60),"")</f>
        <v>0.808548441176471</v>
      </c>
      <c r="L60" s="47" t="n">
        <f aca="false">IFERROR(IF(OR($B60="",$C60=0,$C60=""),"",$I60+ROW()*0.0000001),"")</f>
        <v>0.441457558823529</v>
      </c>
      <c r="M60" s="50" t="n">
        <f aca="false">$M$2</f>
        <v>0.9319</v>
      </c>
      <c r="N60" s="13" t="n">
        <f aca="false">IFERROR(IF($B60="","",$C60+$M60),"")</f>
        <v>94.953235</v>
      </c>
    </row>
    <row r="61" customFormat="false" ht="39" hidden="false" customHeight="true" outlineLevel="0" collapsed="false">
      <c r="A61" s="43" t="str">
        <f aca="false">IFERROR(IF(المنيو!$B61="","",المنيو!$A61),"")</f>
        <v>قسم المكرونات</v>
      </c>
      <c r="B61" s="43" t="str">
        <f aca="false">IFERROR(المنيو!$B61,"")</f>
        <v>مكرونة كريسبي رانش</v>
      </c>
      <c r="C61" s="13" t="n">
        <f aca="false">IFERROR(IF($B61="","",SUMIFS(الريسبي!$F$2:$F$1800,الريسبي!$A$2:$A$1800,$B61)),"")</f>
        <v>90.521335</v>
      </c>
      <c r="D61" s="44" t="n">
        <f aca="false">IFERROR(IF($B61="","",المنيو!$C61),"")</f>
        <v>170</v>
      </c>
      <c r="E61" s="12" t="n">
        <f aca="false">IFERROR(IF(OR($B61="",$D61=0,$D61=""),"",$N61/$D61),"")</f>
        <v>0.537960205882353</v>
      </c>
      <c r="F61" s="49" t="n">
        <f aca="false">$F$2</f>
        <v>0.375</v>
      </c>
      <c r="G61" s="13" t="n">
        <f aca="false">IFERROR(IF($B61="","",$N61/$F61),"")</f>
        <v>243.875293333333</v>
      </c>
      <c r="H61" s="13" t="n">
        <f aca="false">IFERROR(IF($B61="","",$D61-$N61),"")</f>
        <v>78.546765</v>
      </c>
      <c r="I61" s="12" t="n">
        <f aca="false">IFERROR(IF(OR($B61="",$D61=0,$D61=""),"",$H61/$D61),"")</f>
        <v>0.462039794117647</v>
      </c>
      <c r="J61" s="49" t="n">
        <f aca="false">$J$2</f>
        <v>0.25</v>
      </c>
      <c r="K61" s="12" t="n">
        <f aca="false">IFERROR(IF($B61="","",$E61+$J61),"")</f>
        <v>0.787960205882353</v>
      </c>
      <c r="L61" s="47" t="n">
        <f aca="false">IFERROR(IF(OR($B61="",$C61=0,$C61=""),"",$I61+ROW()*0.0000001),"")</f>
        <v>0.462045894117647</v>
      </c>
      <c r="M61" s="50" t="n">
        <f aca="false">$M$2</f>
        <v>0.9319</v>
      </c>
      <c r="N61" s="13" t="n">
        <f aca="false">IFERROR(IF($B61="","",$C61+$M61),"")</f>
        <v>91.453235</v>
      </c>
    </row>
    <row r="62" customFormat="false" ht="39" hidden="false" customHeight="true" outlineLevel="0" collapsed="false">
      <c r="A62" s="43" t="str">
        <f aca="false">IFERROR(IF(المنيو!$B62="","",المنيو!$A62),"")</f>
        <v>قسم المكرونات</v>
      </c>
      <c r="B62" s="43" t="str">
        <f aca="false">IFERROR(المنيو!$B62,"")</f>
        <v>مكرونة جمبري</v>
      </c>
      <c r="C62" s="13" t="n">
        <f aca="false">IFERROR(IF($B62="","",SUMIFS(الريسبي!$F$2:$F$1800,الريسبي!$A$2:$A$1800,$B62)),"")</f>
        <v>139.443635</v>
      </c>
      <c r="D62" s="44" t="n">
        <f aca="false">IFERROR(IF($B62="","",المنيو!$C62),"")</f>
        <v>250</v>
      </c>
      <c r="E62" s="12" t="n">
        <f aca="false">IFERROR(IF(OR($B62="",$D62=0,$D62=""),"",$N62/$D62),"")</f>
        <v>0.56150214</v>
      </c>
      <c r="F62" s="49" t="n">
        <f aca="false">$F$2</f>
        <v>0.375</v>
      </c>
      <c r="G62" s="13" t="n">
        <f aca="false">IFERROR(IF($B62="","",$N62/$F62),"")</f>
        <v>374.33476</v>
      </c>
      <c r="H62" s="13" t="n">
        <f aca="false">IFERROR(IF($B62="","",$D62-$N62),"")</f>
        <v>109.624465</v>
      </c>
      <c r="I62" s="12" t="n">
        <f aca="false">IFERROR(IF(OR($B62="",$D62=0,$D62=""),"",$H62/$D62),"")</f>
        <v>0.43849786</v>
      </c>
      <c r="J62" s="49" t="n">
        <f aca="false">$J$2</f>
        <v>0.25</v>
      </c>
      <c r="K62" s="12" t="n">
        <f aca="false">IFERROR(IF($B62="","",$E62+$J62),"")</f>
        <v>0.81150214</v>
      </c>
      <c r="L62" s="47" t="n">
        <f aca="false">IFERROR(IF(OR($B62="",$C62=0,$C62=""),"",$I62+ROW()*0.0000001),"")</f>
        <v>0.43850406</v>
      </c>
      <c r="M62" s="50" t="n">
        <f aca="false">$M$2</f>
        <v>0.9319</v>
      </c>
      <c r="N62" s="13" t="n">
        <f aca="false">IFERROR(IF($B62="","",$C62+$M62),"")</f>
        <v>140.375535</v>
      </c>
    </row>
    <row r="63" customFormat="false" ht="39" hidden="false" customHeight="true" outlineLevel="0" collapsed="false">
      <c r="A63" s="43" t="str">
        <f aca="false">IFERROR(IF(المنيو!$B63="","",المنيو!$A63),"")</f>
        <v>قسم المكرونات</v>
      </c>
      <c r="B63" s="43" t="str">
        <f aca="false">IFERROR(المنيو!$B63,"")</f>
        <v>مكرونة صوص ابيض سدق</v>
      </c>
      <c r="C63" s="13" t="n">
        <f aca="false">IFERROR(IF($B63="","",SUMIFS(الريسبي!$F$2:$F$1800,الريسبي!$A$2:$A$1800,$B63)),"")</f>
        <v>78.443635</v>
      </c>
      <c r="D63" s="44" t="n">
        <f aca="false">IFERROR(IF($B63="","",المنيو!$C63),"")</f>
        <v>130</v>
      </c>
      <c r="E63" s="12" t="n">
        <f aca="false">IFERROR(IF(OR($B63="",$D63=0,$D63=""),"",$N63/$D63),"")</f>
        <v>0.610581038461538</v>
      </c>
      <c r="F63" s="49" t="n">
        <f aca="false">$F$2</f>
        <v>0.375</v>
      </c>
      <c r="G63" s="13" t="n">
        <f aca="false">IFERROR(IF($B63="","",$N63/$F63),"")</f>
        <v>211.668093333333</v>
      </c>
      <c r="H63" s="13" t="n">
        <f aca="false">IFERROR(IF($B63="","",$D63-$N63),"")</f>
        <v>50.624465</v>
      </c>
      <c r="I63" s="12" t="n">
        <f aca="false">IFERROR(IF(OR($B63="",$D63=0,$D63=""),"",$H63/$D63),"")</f>
        <v>0.389418961538462</v>
      </c>
      <c r="J63" s="49" t="n">
        <f aca="false">$J$2</f>
        <v>0.25</v>
      </c>
      <c r="K63" s="12" t="n">
        <f aca="false">IFERROR(IF($B63="","",$E63+$J63),"")</f>
        <v>0.860581038461538</v>
      </c>
      <c r="L63" s="47" t="n">
        <f aca="false">IFERROR(IF(OR($B63="",$C63=0,$C63=""),"",$I63+ROW()*0.0000001),"")</f>
        <v>0.389425261538462</v>
      </c>
      <c r="M63" s="50" t="n">
        <f aca="false">$M$2</f>
        <v>0.9319</v>
      </c>
      <c r="N63" s="13" t="n">
        <f aca="false">IFERROR(IF($B63="","",$C63+$M63),"")</f>
        <v>79.375535</v>
      </c>
    </row>
    <row r="64" customFormat="false" ht="39" hidden="false" customHeight="true" outlineLevel="0" collapsed="false">
      <c r="A64" s="43" t="str">
        <f aca="false">IFERROR(IF(المنيو!$B64="","",المنيو!$A64),"")</f>
        <v>قسم المكرونات</v>
      </c>
      <c r="B64" s="43" t="str">
        <f aca="false">IFERROR(المنيو!$B64,"")</f>
        <v>مكرونة صوص ابيض بسطرمة</v>
      </c>
      <c r="C64" s="13" t="n">
        <f aca="false">IFERROR(IF($B64="","",SUMIFS(الريسبي!$F$2:$F$1800,الريسبي!$A$2:$A$1800,$B64)),"")</f>
        <v>79.443635</v>
      </c>
      <c r="D64" s="44" t="n">
        <f aca="false">IFERROR(IF($B64="","",المنيو!$C64),"")</f>
        <v>130</v>
      </c>
      <c r="E64" s="12" t="n">
        <f aca="false">IFERROR(IF(OR($B64="",$D64=0,$D64=""),"",$N64/$D64),"")</f>
        <v>0.618273346153846</v>
      </c>
      <c r="F64" s="49" t="n">
        <f aca="false">$F$2</f>
        <v>0.375</v>
      </c>
      <c r="G64" s="13" t="n">
        <f aca="false">IFERROR(IF($B64="","",$N64/$F64),"")</f>
        <v>214.33476</v>
      </c>
      <c r="H64" s="13" t="n">
        <f aca="false">IFERROR(IF($B64="","",$D64-$N64),"")</f>
        <v>49.624465</v>
      </c>
      <c r="I64" s="12" t="n">
        <f aca="false">IFERROR(IF(OR($B64="",$D64=0,$D64=""),"",$H64/$D64),"")</f>
        <v>0.381726653846154</v>
      </c>
      <c r="J64" s="49" t="n">
        <f aca="false">$J$2</f>
        <v>0.25</v>
      </c>
      <c r="K64" s="12" t="n">
        <f aca="false">IFERROR(IF($B64="","",$E64+$J64),"")</f>
        <v>0.868273346153846</v>
      </c>
      <c r="L64" s="47" t="n">
        <f aca="false">IFERROR(IF(OR($B64="",$C64=0,$C64=""),"",$I64+ROW()*0.0000001),"")</f>
        <v>0.381733053846154</v>
      </c>
      <c r="M64" s="50" t="n">
        <f aca="false">$M$2</f>
        <v>0.9319</v>
      </c>
      <c r="N64" s="13" t="n">
        <f aca="false">IFERROR(IF($B64="","",$C64+$M64),"")</f>
        <v>80.375535</v>
      </c>
    </row>
    <row r="65" customFormat="false" ht="39" hidden="false" customHeight="true" outlineLevel="0" collapsed="false">
      <c r="A65" s="43" t="str">
        <f aca="false">IFERROR(IF(المنيو!$B65="","",المنيو!$A65),"")</f>
        <v>قسم الكريب</v>
      </c>
      <c r="B65" s="43" t="str">
        <f aca="false">IFERROR(المنيو!$B65,"")</f>
        <v>كريب فراخ كريسبي شيدر</v>
      </c>
      <c r="C65" s="13" t="n">
        <f aca="false">IFERROR(IF($B65="","",SUMIFS(الريسبي!$F$2:$F$1800,الريسبي!$A$2:$A$1800,$B65)),"")</f>
        <v>63.6351125</v>
      </c>
      <c r="D65" s="44" t="n">
        <f aca="false">IFERROR(IF($B65="","",المنيو!$C65),"")</f>
        <v>115</v>
      </c>
      <c r="E65" s="12" t="n">
        <f aca="false">IFERROR(IF(OR($B65="",$D65=0,$D65=""),"",$N65/$D65),"")</f>
        <v>0.561452282608696</v>
      </c>
      <c r="F65" s="49" t="n">
        <f aca="false">$F$2</f>
        <v>0.375</v>
      </c>
      <c r="G65" s="13" t="n">
        <f aca="false">IFERROR(IF($B65="","",$N65/$F65),"")</f>
        <v>172.1787</v>
      </c>
      <c r="H65" s="13" t="n">
        <f aca="false">IFERROR(IF($B65="","",$D65-$N65),"")</f>
        <v>50.4329875</v>
      </c>
      <c r="I65" s="12" t="n">
        <f aca="false">IFERROR(IF(OR($B65="",$D65=0,$D65=""),"",$H65/$D65),"")</f>
        <v>0.438547717391304</v>
      </c>
      <c r="J65" s="49" t="n">
        <f aca="false">$J$2</f>
        <v>0.25</v>
      </c>
      <c r="K65" s="12" t="n">
        <f aca="false">IFERROR(IF($B65="","",$E65+$J65),"")</f>
        <v>0.811452282608696</v>
      </c>
      <c r="L65" s="47" t="n">
        <f aca="false">IFERROR(IF(OR($B65="",$C65=0,$C65=""),"",$I65+ROW()*0.0000001),"")</f>
        <v>0.438554217391304</v>
      </c>
      <c r="M65" s="50" t="n">
        <f aca="false">$M$2</f>
        <v>0.9319</v>
      </c>
      <c r="N65" s="13" t="n">
        <f aca="false">IFERROR(IF($B65="","",$C65+$M65),"")</f>
        <v>64.5670125</v>
      </c>
    </row>
    <row r="66" customFormat="false" ht="39" hidden="false" customHeight="true" outlineLevel="0" collapsed="false">
      <c r="A66" s="43" t="str">
        <f aca="false">IFERROR(IF(المنيو!$B66="","",المنيو!$A66),"")</f>
        <v>قسم الكريب</v>
      </c>
      <c r="B66" s="43" t="str">
        <f aca="false">IFERROR(المنيو!$B66,"")</f>
        <v>كريب مشكل فراخ</v>
      </c>
      <c r="C66" s="13" t="n">
        <f aca="false">IFERROR(IF($B66="","",SUMIFS(الريسبي!$F$2:$F$1800,الريسبي!$A$2:$A$1800,$B66)),"")</f>
        <v>59.9378625</v>
      </c>
      <c r="D66" s="44" t="n">
        <f aca="false">IFERROR(IF($B66="","",المنيو!$C66),"")</f>
        <v>115</v>
      </c>
      <c r="E66" s="12" t="n">
        <f aca="false">IFERROR(IF(OR($B66="",$D66=0,$D66=""),"",$N66/$D66),"")</f>
        <v>0.529302282608696</v>
      </c>
      <c r="F66" s="49" t="n">
        <f aca="false">$F$2</f>
        <v>0.375</v>
      </c>
      <c r="G66" s="13" t="n">
        <f aca="false">IFERROR(IF($B66="","",$N66/$F66),"")</f>
        <v>162.319366666667</v>
      </c>
      <c r="H66" s="13" t="n">
        <f aca="false">IFERROR(IF($B66="","",$D66-$N66),"")</f>
        <v>54.1302375</v>
      </c>
      <c r="I66" s="12" t="n">
        <f aca="false">IFERROR(IF(OR($B66="",$D66=0,$D66=""),"",$H66/$D66),"")</f>
        <v>0.470697717391304</v>
      </c>
      <c r="J66" s="49" t="n">
        <f aca="false">$J$2</f>
        <v>0.25</v>
      </c>
      <c r="K66" s="12" t="n">
        <f aca="false">IFERROR(IF($B66="","",$E66+$J66),"")</f>
        <v>0.779302282608696</v>
      </c>
      <c r="L66" s="47" t="n">
        <f aca="false">IFERROR(IF(OR($B66="",$C66=0,$C66=""),"",$I66+ROW()*0.0000001),"")</f>
        <v>0.470704317391304</v>
      </c>
      <c r="M66" s="50" t="n">
        <f aca="false">$M$2</f>
        <v>0.9319</v>
      </c>
      <c r="N66" s="13" t="n">
        <f aca="false">IFERROR(IF($B66="","",$C66+$M66),"")</f>
        <v>60.8697625</v>
      </c>
    </row>
    <row r="67" customFormat="false" ht="39" hidden="false" customHeight="true" outlineLevel="0" collapsed="false">
      <c r="A67" s="43" t="str">
        <f aca="false">IFERROR(IF(المنيو!$B67="","",المنيو!$A67),"")</f>
        <v>قسم الكريب</v>
      </c>
      <c r="B67" s="43" t="str">
        <f aca="false">IFERROR(المنيو!$B67,"")</f>
        <v>كريب بسطرمة</v>
      </c>
      <c r="C67" s="13" t="n">
        <f aca="false">IFERROR(IF($B67="","",SUMIFS(الريسبي!$F$2:$F$1800,الريسبي!$A$2:$A$1800,$B67)),"")</f>
        <v>51.5018625</v>
      </c>
      <c r="D67" s="44" t="n">
        <f aca="false">IFERROR(IF($B67="","",المنيو!$C67),"")</f>
        <v>100</v>
      </c>
      <c r="E67" s="12" t="n">
        <f aca="false">IFERROR(IF(OR($B67="",$D67=0,$D67=""),"",$N67/$D67),"")</f>
        <v>0.524337625</v>
      </c>
      <c r="F67" s="49" t="n">
        <f aca="false">$F$2</f>
        <v>0.375</v>
      </c>
      <c r="G67" s="13" t="n">
        <f aca="false">IFERROR(IF($B67="","",$N67/$F67),"")</f>
        <v>139.823366666667</v>
      </c>
      <c r="H67" s="13" t="n">
        <f aca="false">IFERROR(IF($B67="","",$D67-$N67),"")</f>
        <v>47.5662375</v>
      </c>
      <c r="I67" s="12" t="n">
        <f aca="false">IFERROR(IF(OR($B67="",$D67=0,$D67=""),"",$H67/$D67),"")</f>
        <v>0.475662375</v>
      </c>
      <c r="J67" s="49" t="n">
        <f aca="false">$J$2</f>
        <v>0.25</v>
      </c>
      <c r="K67" s="12" t="n">
        <f aca="false">IFERROR(IF($B67="","",$E67+$J67),"")</f>
        <v>0.774337625</v>
      </c>
      <c r="L67" s="47" t="n">
        <f aca="false">IFERROR(IF(OR($B67="",$C67=0,$C67=""),"",$I67+ROW()*0.0000001),"")</f>
        <v>0.475669075</v>
      </c>
      <c r="M67" s="50" t="n">
        <f aca="false">$M$2</f>
        <v>0.9319</v>
      </c>
      <c r="N67" s="13" t="n">
        <f aca="false">IFERROR(IF($B67="","",$C67+$M67),"")</f>
        <v>52.4337625</v>
      </c>
    </row>
    <row r="68" customFormat="false" ht="39" hidden="false" customHeight="true" outlineLevel="0" collapsed="false">
      <c r="A68" s="43" t="str">
        <f aca="false">IFERROR(IF(المنيو!$B68="","",المنيو!$A68),"")</f>
        <v>قسم الكريب</v>
      </c>
      <c r="B68" s="43" t="str">
        <f aca="false">IFERROR(المنيو!$B68,"")</f>
        <v>كريب سدق</v>
      </c>
      <c r="C68" s="13" t="n">
        <f aca="false">IFERROR(IF($B68="","",SUMIFS(الريسبي!$F$2:$F$1800,الريسبي!$A$2:$A$1800,$B68)),"")</f>
        <v>50.5574125</v>
      </c>
      <c r="D68" s="44" t="n">
        <f aca="false">IFERROR(IF($B68="","",المنيو!$C68),"")</f>
        <v>100</v>
      </c>
      <c r="E68" s="12" t="n">
        <f aca="false">IFERROR(IF(OR($B68="",$D68=0,$D68=""),"",$N68/$D68),"")</f>
        <v>0.514893125</v>
      </c>
      <c r="F68" s="49" t="n">
        <f aca="false">$F$2</f>
        <v>0.375</v>
      </c>
      <c r="G68" s="13" t="n">
        <f aca="false">IFERROR(IF($B68="","",$N68/$F68),"")</f>
        <v>137.304833333333</v>
      </c>
      <c r="H68" s="13" t="n">
        <f aca="false">IFERROR(IF($B68="","",$D68-$N68),"")</f>
        <v>48.5106875</v>
      </c>
      <c r="I68" s="12" t="n">
        <f aca="false">IFERROR(IF(OR($B68="",$D68=0,$D68=""),"",$H68/$D68),"")</f>
        <v>0.485106875</v>
      </c>
      <c r="J68" s="49" t="n">
        <f aca="false">$J$2</f>
        <v>0.25</v>
      </c>
      <c r="K68" s="12" t="n">
        <f aca="false">IFERROR(IF($B68="","",$E68+$J68),"")</f>
        <v>0.764893125</v>
      </c>
      <c r="L68" s="47" t="n">
        <f aca="false">IFERROR(IF(OR($B68="",$C68=0,$C68=""),"",$I68+ROW()*0.0000001),"")</f>
        <v>0.485113675</v>
      </c>
      <c r="M68" s="50" t="n">
        <f aca="false">$M$2</f>
        <v>0.9319</v>
      </c>
      <c r="N68" s="13" t="n">
        <f aca="false">IFERROR(IF($B68="","",$C68+$M68),"")</f>
        <v>51.4893125</v>
      </c>
    </row>
    <row r="69" customFormat="false" ht="39" hidden="false" customHeight="true" outlineLevel="0" collapsed="false">
      <c r="A69" s="43" t="str">
        <f aca="false">IFERROR(IF(المنيو!$B69="","",المنيو!$A69),"")</f>
        <v>قسم الكريب</v>
      </c>
      <c r="B69" s="43" t="str">
        <f aca="false">IFERROR(المنيو!$B69,"")</f>
        <v>كريب فراخ باربيكيو</v>
      </c>
      <c r="C69" s="13" t="n">
        <f aca="false">IFERROR(IF($B69="","",SUMIFS(الريسبي!$F$2:$F$1800,الريسبي!$A$2:$A$1800,$B69)),"")</f>
        <v>68.8183125</v>
      </c>
      <c r="D69" s="44" t="n">
        <f aca="false">IFERROR(IF($B69="","",المنيو!$C69),"")</f>
        <v>110</v>
      </c>
      <c r="E69" s="12" t="n">
        <f aca="false">IFERROR(IF(OR($B69="",$D69=0,$D69=""),"",$N69/$D69),"")</f>
        <v>0.634092840909091</v>
      </c>
      <c r="F69" s="49" t="n">
        <f aca="false">$F$2</f>
        <v>0.375</v>
      </c>
      <c r="G69" s="13" t="n">
        <f aca="false">IFERROR(IF($B69="","",$N69/$F69),"")</f>
        <v>186.000566666667</v>
      </c>
      <c r="H69" s="13" t="n">
        <f aca="false">IFERROR(IF($B69="","",$D69-$N69),"")</f>
        <v>40.2497875</v>
      </c>
      <c r="I69" s="12" t="n">
        <f aca="false">IFERROR(IF(OR($B69="",$D69=0,$D69=""),"",$H69/$D69),"")</f>
        <v>0.365907159090909</v>
      </c>
      <c r="J69" s="49" t="n">
        <f aca="false">$J$2</f>
        <v>0.25</v>
      </c>
      <c r="K69" s="12" t="n">
        <f aca="false">IFERROR(IF($B69="","",$E69+$J69),"")</f>
        <v>0.884092840909091</v>
      </c>
      <c r="L69" s="47" t="n">
        <f aca="false">IFERROR(IF(OR($B69="",$C69=0,$C69=""),"",$I69+ROW()*0.0000001),"")</f>
        <v>0.365914059090909</v>
      </c>
      <c r="M69" s="50" t="n">
        <f aca="false">$M$2</f>
        <v>0.9319</v>
      </c>
      <c r="N69" s="13" t="n">
        <f aca="false">IFERROR(IF($B69="","",$C69+$M69),"")</f>
        <v>69.7502125</v>
      </c>
    </row>
    <row r="70" customFormat="false" ht="51.75" hidden="false" customHeight="true" outlineLevel="0" collapsed="false">
      <c r="A70" s="43" t="str">
        <f aca="false">IFERROR(IF(المنيو!$B70="","",المنيو!$A70),"")</f>
        <v>قسم الكريب</v>
      </c>
      <c r="B70" s="43" t="str">
        <f aca="false">IFERROR(المنيو!$B70,"")</f>
        <v>عيش كريب</v>
      </c>
      <c r="C70" s="13" t="n">
        <f aca="false">IFERROR(IF($B70="","",SUMIFS(الريسبي!$F$2:$F$1800,الريسبي!$A$2:$A$1800,$B70)),"")</f>
        <v>4.9685125</v>
      </c>
      <c r="D70" s="44" t="n">
        <f aca="false">IFERROR(IF($B70="","",المنيو!$C70),"")</f>
        <v>5</v>
      </c>
      <c r="E70" s="12" t="n">
        <f aca="false">IFERROR(IF(OR($B70="",$D70=0,$D70=""),"",$N70/$D70),"")</f>
        <v>1.1800825</v>
      </c>
      <c r="F70" s="49" t="n">
        <f aca="false">$F$2</f>
        <v>0.375</v>
      </c>
      <c r="G70" s="13" t="n">
        <f aca="false">IFERROR(IF($B70="","",$N70/$F70),"")</f>
        <v>15.7344333333333</v>
      </c>
      <c r="H70" s="13" t="n">
        <f aca="false">IFERROR(IF($B70="","",$D70-$N70),"")</f>
        <v>-0.9004125</v>
      </c>
      <c r="I70" s="12" t="n">
        <f aca="false">IFERROR(IF(OR($B70="",$D70=0,$D70=""),"",$H70/$D70),"")</f>
        <v>-0.1800825</v>
      </c>
      <c r="J70" s="49" t="n">
        <f aca="false">$J$2</f>
        <v>0.25</v>
      </c>
      <c r="K70" s="12" t="n">
        <f aca="false">IFERROR(IF($B70="","",$E70+$J70),"")</f>
        <v>1.4300825</v>
      </c>
      <c r="L70" s="47" t="n">
        <f aca="false">IFERROR(IF(OR($B70="",$C70=0,$C70=""),"",$I70+ROW()*0.0000001),"")</f>
        <v>-0.1800755</v>
      </c>
      <c r="M70" s="50" t="n">
        <f aca="false">$M$2</f>
        <v>0.9319</v>
      </c>
      <c r="N70" s="13" t="n">
        <f aca="false">IFERROR(IF($B70="","",$C70+$M70),"")</f>
        <v>5.9004125</v>
      </c>
    </row>
    <row r="71" customFormat="false" ht="39" hidden="false" customHeight="true" outlineLevel="0" collapsed="false">
      <c r="A71" s="43" t="str">
        <f aca="false">IFERROR(IF(المنيو!$B71="","",المنيو!$A71),"")</f>
        <v>قسم البطاطس</v>
      </c>
      <c r="B71" s="43" t="str">
        <f aca="false">IFERROR(المنيو!$B71,"")</f>
        <v>باكت بطاطس وسط</v>
      </c>
      <c r="C71" s="13" t="n">
        <f aca="false">IFERROR(IF($B71="","",SUMIFS(الريسبي!$F$2:$F$1800,الريسبي!$A$2:$A$1800,$B71)),"")</f>
        <v>16.0527</v>
      </c>
      <c r="D71" s="44" t="n">
        <f aca="false">IFERROR(IF($B71="","",المنيو!$C71),"")</f>
        <v>30</v>
      </c>
      <c r="E71" s="12" t="n">
        <f aca="false">IFERROR(IF(OR($B71="",$D71=0,$D71=""),"",$N71/$D71),"")</f>
        <v>0.566153333333333</v>
      </c>
      <c r="F71" s="49" t="n">
        <f aca="false">$F$2</f>
        <v>0.375</v>
      </c>
      <c r="G71" s="13" t="n">
        <f aca="false">IFERROR(IF($B71="","",$N71/$F71),"")</f>
        <v>45.2922666666667</v>
      </c>
      <c r="H71" s="13" t="n">
        <f aca="false">IFERROR(IF($B71="","",$D71-$N71),"")</f>
        <v>13.0154</v>
      </c>
      <c r="I71" s="12" t="n">
        <f aca="false">IFERROR(IF(OR($B71="",$D71=0,$D71=""),"",$H71/$D71),"")</f>
        <v>0.433846666666667</v>
      </c>
      <c r="J71" s="49" t="n">
        <f aca="false">$J$2</f>
        <v>0.25</v>
      </c>
      <c r="K71" s="12" t="n">
        <f aca="false">IFERROR(IF($B71="","",$E71+$J71),"")</f>
        <v>0.816153333333333</v>
      </c>
      <c r="L71" s="47" t="n">
        <f aca="false">IFERROR(IF(OR($B71="",$C71=0,$C71=""),"",$I71+ROW()*0.0000001),"")</f>
        <v>0.433853766666667</v>
      </c>
      <c r="M71" s="50" t="n">
        <f aca="false">$M$2</f>
        <v>0.9319</v>
      </c>
      <c r="N71" s="13" t="n">
        <f aca="false">IFERROR(IF($B71="","",$C71+$M71),"")</f>
        <v>16.9846</v>
      </c>
    </row>
    <row r="72" customFormat="false" ht="39" hidden="false" customHeight="true" outlineLevel="0" collapsed="false">
      <c r="A72" s="43" t="str">
        <f aca="false">IFERROR(IF(المنيو!$B72="","",المنيو!$A72),"")</f>
        <v>قسم البطاطس</v>
      </c>
      <c r="B72" s="43" t="str">
        <f aca="false">IFERROR(المنيو!$B72,"")</f>
        <v>باكت بطاطس كبير</v>
      </c>
      <c r="C72" s="13" t="n">
        <f aca="false">IFERROR(IF($B72="","",SUMIFS(الريسبي!$F$2:$F$1800,الريسبي!$A$2:$A$1800,$B72)),"")</f>
        <v>25.1277</v>
      </c>
      <c r="D72" s="44" t="n">
        <f aca="false">IFERROR(IF($B72="","",المنيو!$C72),"")</f>
        <v>50</v>
      </c>
      <c r="E72" s="12" t="n">
        <f aca="false">IFERROR(IF(OR($B72="",$D72=0,$D72=""),"",$N72/$D72),"")</f>
        <v>0.521192</v>
      </c>
      <c r="F72" s="49" t="n">
        <f aca="false">$F$2</f>
        <v>0.375</v>
      </c>
      <c r="G72" s="13" t="n">
        <f aca="false">IFERROR(IF($B72="","",$N72/$F72),"")</f>
        <v>69.4922666666667</v>
      </c>
      <c r="H72" s="13" t="n">
        <f aca="false">IFERROR(IF($B72="","",$D72-$N72),"")</f>
        <v>23.9404</v>
      </c>
      <c r="I72" s="12" t="n">
        <f aca="false">IFERROR(IF(OR($B72="",$D72=0,$D72=""),"",$H72/$D72),"")</f>
        <v>0.478808</v>
      </c>
      <c r="J72" s="49" t="n">
        <f aca="false">$J$2</f>
        <v>0.25</v>
      </c>
      <c r="K72" s="12" t="n">
        <f aca="false">IFERROR(IF($B72="","",$E72+$J72),"")</f>
        <v>0.771192</v>
      </c>
      <c r="L72" s="47" t="n">
        <f aca="false">IFERROR(IF(OR($B72="",$C72=0,$C72=""),"",$I72+ROW()*0.0000001),"")</f>
        <v>0.4788152</v>
      </c>
      <c r="M72" s="50" t="n">
        <f aca="false">$M$2</f>
        <v>0.9319</v>
      </c>
      <c r="N72" s="13" t="n">
        <f aca="false">IFERROR(IF($B72="","",$C72+$M72),"")</f>
        <v>26.0596</v>
      </c>
    </row>
    <row r="73" customFormat="false" ht="39" hidden="false" customHeight="true" outlineLevel="0" collapsed="false">
      <c r="A73" s="43" t="str">
        <f aca="false">IFERROR(IF(المنيو!$B73="","",المنيو!$A73),"")</f>
        <v>قسم البطاطس</v>
      </c>
      <c r="B73" s="43" t="str">
        <f aca="false">IFERROR(المنيو!$B73,"")</f>
        <v>باكت بطاطس جبنة (وسط)</v>
      </c>
      <c r="C73" s="13" t="n">
        <f aca="false">IFERROR(IF($B73="","",SUMIFS(الريسبي!$F$2:$F$1800,الريسبي!$A$2:$A$1800,$B73)),"")</f>
        <v>17.475</v>
      </c>
      <c r="D73" s="44" t="n">
        <f aca="false">IFERROR(IF($B73="","",المنيو!$C73),"")</f>
        <v>40</v>
      </c>
      <c r="E73" s="12" t="n">
        <f aca="false">IFERROR(IF(OR($B73="",$D73=0,$D73=""),"",$N73/$D73),"")</f>
        <v>0.4601725</v>
      </c>
      <c r="F73" s="49" t="n">
        <f aca="false">$F$2</f>
        <v>0.375</v>
      </c>
      <c r="G73" s="13" t="n">
        <f aca="false">IFERROR(IF($B73="","",$N73/$F73),"")</f>
        <v>49.0850666666667</v>
      </c>
      <c r="H73" s="13" t="n">
        <f aca="false">IFERROR(IF($B73="","",$D73-$N73),"")</f>
        <v>21.5931</v>
      </c>
      <c r="I73" s="12" t="n">
        <f aca="false">IFERROR(IF(OR($B73="",$D73=0,$D73=""),"",$H73/$D73),"")</f>
        <v>0.5398275</v>
      </c>
      <c r="J73" s="49" t="n">
        <f aca="false">$J$2</f>
        <v>0.25</v>
      </c>
      <c r="K73" s="12" t="n">
        <f aca="false">IFERROR(IF($B73="","",$E73+$J73),"")</f>
        <v>0.7101725</v>
      </c>
      <c r="L73" s="47" t="n">
        <f aca="false">IFERROR(IF(OR($B73="",$C73=0,$C73=""),"",$I73+ROW()*0.0000001),"")</f>
        <v>0.5398348</v>
      </c>
      <c r="M73" s="50" t="n">
        <f aca="false">$M$2</f>
        <v>0.9319</v>
      </c>
      <c r="N73" s="13" t="n">
        <f aca="false">IFERROR(IF($B73="","",$C73+$M73),"")</f>
        <v>18.4069</v>
      </c>
    </row>
    <row r="74" customFormat="false" ht="39" hidden="false" customHeight="true" outlineLevel="0" collapsed="false">
      <c r="A74" s="43" t="str">
        <f aca="false">IFERROR(IF(المنيو!$B74="","",المنيو!$A74),"")</f>
        <v>قسم البطاطس</v>
      </c>
      <c r="B74" s="43" t="str">
        <f aca="false">IFERROR(المنيو!$B74,"")</f>
        <v>باكت بطاطس جبنة (كبير)</v>
      </c>
      <c r="C74" s="13" t="n">
        <f aca="false">IFERROR(IF($B74="","",SUMIFS(الريسبي!$F$2:$F$1800,الريسبي!$A$2:$A$1800,$B74)),"")</f>
        <v>33.55</v>
      </c>
      <c r="D74" s="44" t="n">
        <f aca="false">IFERROR(IF($B74="","",المنيو!$C74),"")</f>
        <v>60</v>
      </c>
      <c r="E74" s="12" t="n">
        <f aca="false">IFERROR(IF(OR($B74="",$D74=0,$D74=""),"",$N74/$D74),"")</f>
        <v>0.574698333333333</v>
      </c>
      <c r="F74" s="49" t="n">
        <f aca="false">$F$2</f>
        <v>0.375</v>
      </c>
      <c r="G74" s="13" t="n">
        <f aca="false">IFERROR(IF($B74="","",$N74/$F74),"")</f>
        <v>91.9517333333333</v>
      </c>
      <c r="H74" s="13" t="n">
        <f aca="false">IFERROR(IF($B74="","",$D74-$N74),"")</f>
        <v>25.5181</v>
      </c>
      <c r="I74" s="12" t="n">
        <f aca="false">IFERROR(IF(OR($B74="",$D74=0,$D74=""),"",$H74/$D74),"")</f>
        <v>0.425301666666667</v>
      </c>
      <c r="J74" s="49" t="n">
        <f aca="false">$J$2</f>
        <v>0.25</v>
      </c>
      <c r="K74" s="12" t="n">
        <f aca="false">IFERROR(IF($B74="","",$E74+$J74),"")</f>
        <v>0.824698333333333</v>
      </c>
      <c r="L74" s="47" t="n">
        <f aca="false">IFERROR(IF(OR($B74="",$C74=0,$C74=""),"",$I74+ROW()*0.0000001),"")</f>
        <v>0.425309066666667</v>
      </c>
      <c r="M74" s="50" t="n">
        <f aca="false">$M$2</f>
        <v>0.9319</v>
      </c>
      <c r="N74" s="13" t="n">
        <f aca="false">IFERROR(IF($B74="","",$C74+$M74),"")</f>
        <v>34.4819</v>
      </c>
    </row>
    <row r="75" customFormat="false" ht="39" hidden="false" customHeight="true" outlineLevel="0" collapsed="false">
      <c r="A75" s="43" t="str">
        <f aca="false">IFERROR(IF(المنيو!$B75="","",المنيو!$A75),"")</f>
        <v>قسم المشروبات</v>
      </c>
      <c r="B75" s="43" t="str">
        <f aca="false">IFERROR(المنيو!$B75,"")</f>
        <v>بيبسي كانز</v>
      </c>
      <c r="C75" s="13" t="n">
        <f aca="false">IFERROR(IF($B75="","",SUMIFS(الريسبي!$F$2:$F$1800,الريسبي!$A$2:$A$1800,$B75)),"")</f>
        <v>15.5556</v>
      </c>
      <c r="D75" s="44" t="n">
        <f aca="false">IFERROR(IF($B75="","",المنيو!$C75),"")</f>
        <v>20</v>
      </c>
      <c r="E75" s="12" t="n">
        <f aca="false">IFERROR(IF(OR($B75="",$D75=0,$D75=""),"",$N75/$D75),"")</f>
        <v>0.824375</v>
      </c>
      <c r="F75" s="49" t="n">
        <f aca="false">$F$2</f>
        <v>0.375</v>
      </c>
      <c r="G75" s="13" t="n">
        <f aca="false">IFERROR(IF($B75="","",$N75/$F75),"")</f>
        <v>43.9666666666667</v>
      </c>
      <c r="H75" s="13" t="n">
        <f aca="false">IFERROR(IF($B75="","",$D75-$N75),"")</f>
        <v>3.5125</v>
      </c>
      <c r="I75" s="12" t="n">
        <f aca="false">IFERROR(IF(OR($B75="",$D75=0,$D75=""),"",$H75/$D75),"")</f>
        <v>0.175625</v>
      </c>
      <c r="J75" s="49" t="n">
        <f aca="false">$J$2</f>
        <v>0.25</v>
      </c>
      <c r="K75" s="12" t="n">
        <f aca="false">IFERROR(IF($B75="","",$E75+$J75),"")</f>
        <v>1.074375</v>
      </c>
      <c r="L75" s="47" t="n">
        <f aca="false">IFERROR(IF(OR($B75="",$C75=0,$C75=""),"",$I75+ROW()*0.0000001),"")</f>
        <v>0.1756325</v>
      </c>
      <c r="M75" s="50" t="n">
        <f aca="false">$M$2</f>
        <v>0.9319</v>
      </c>
      <c r="N75" s="13" t="n">
        <f aca="false">IFERROR(IF($B75="","",$C75+$M75),"")</f>
        <v>16.4875</v>
      </c>
    </row>
    <row r="76" customFormat="false" ht="39" hidden="false" customHeight="true" outlineLevel="0" collapsed="false">
      <c r="A76" s="43" t="str">
        <f aca="false">IFERROR(IF(المنيو!$B76="","",المنيو!$A76),"")</f>
        <v>قسم المشروبات</v>
      </c>
      <c r="B76" s="43" t="str">
        <f aca="false">IFERROR(المنيو!$B76,"")</f>
        <v>بيبسي لتر</v>
      </c>
      <c r="C76" s="13" t="n">
        <f aca="false">IFERROR(IF($B76="","",SUMIFS(الريسبي!$F$2:$F$1800,الريسبي!$A$2:$A$1800,$B76)),"")</f>
        <v>30</v>
      </c>
      <c r="D76" s="44" t="n">
        <f aca="false">IFERROR(IF($B76="","",المنيو!$C76),"")</f>
        <v>35</v>
      </c>
      <c r="E76" s="12" t="n">
        <f aca="false">IFERROR(IF(OR($B76="",$D76=0,$D76=""),"",$N76/$D76),"")</f>
        <v>0.883768571428571</v>
      </c>
      <c r="F76" s="49" t="n">
        <f aca="false">$F$2</f>
        <v>0.375</v>
      </c>
      <c r="G76" s="13" t="n">
        <f aca="false">IFERROR(IF($B76="","",$N76/$F76),"")</f>
        <v>82.4850666666667</v>
      </c>
      <c r="H76" s="13" t="n">
        <f aca="false">IFERROR(IF($B76="","",$D76-$N76),"")</f>
        <v>4.0681</v>
      </c>
      <c r="I76" s="12" t="n">
        <f aca="false">IFERROR(IF(OR($B76="",$D76=0,$D76=""),"",$H76/$D76),"")</f>
        <v>0.116231428571429</v>
      </c>
      <c r="J76" s="49" t="n">
        <f aca="false">$J$2</f>
        <v>0.25</v>
      </c>
      <c r="K76" s="12" t="n">
        <f aca="false">IFERROR(IF($B76="","",$E76+$J76),"")</f>
        <v>1.13376857142857</v>
      </c>
      <c r="L76" s="47" t="n">
        <f aca="false">IFERROR(IF(OR($B76="",$C76=0,$C76=""),"",$I76+ROW()*0.0000001),"")</f>
        <v>0.116239028571429</v>
      </c>
      <c r="M76" s="50" t="n">
        <f aca="false">$M$2</f>
        <v>0.9319</v>
      </c>
      <c r="N76" s="13" t="n">
        <f aca="false">IFERROR(IF($B76="","",$C76+$M76),"")</f>
        <v>30.9319</v>
      </c>
    </row>
    <row r="77" customFormat="false" ht="39" hidden="false" customHeight="true" outlineLevel="0" collapsed="false">
      <c r="A77" s="43" t="str">
        <f aca="false">IFERROR(IF(المنيو!$B77="","",المنيو!$A77),"")</f>
        <v>قسم البيتزا الصيامي</v>
      </c>
      <c r="B77" s="43" t="str">
        <f aca="false">IFERROR(المنيو!$B77,"")</f>
        <v>بيتزا مارجريتا صيامي وسط</v>
      </c>
      <c r="C77" s="13" t="n">
        <f aca="false">IFERROR(IF($B77="","",SUMIFS(الريسبي!$F$2:$F$1800,الريسبي!$A$2:$A$1800,$B77)),"")</f>
        <v>35.416</v>
      </c>
      <c r="D77" s="44" t="n">
        <f aca="false">IFERROR(IF($B77="","",المنيو!$C77),"")</f>
        <v>80</v>
      </c>
      <c r="E77" s="12" t="n">
        <f aca="false">IFERROR(IF(OR($B77="",$D77=0,$D77=""),"",$N77/$D77),"")</f>
        <v>0.45434875</v>
      </c>
      <c r="F77" s="49" t="n">
        <f aca="false">$F$2</f>
        <v>0.375</v>
      </c>
      <c r="G77" s="13" t="n">
        <f aca="false">IFERROR(IF($B77="","",$N77/$F77),"")</f>
        <v>96.9277333333333</v>
      </c>
      <c r="H77" s="13" t="n">
        <f aca="false">IFERROR(IF($B77="","",$D77-$N77),"")</f>
        <v>43.6521</v>
      </c>
      <c r="I77" s="12" t="n">
        <f aca="false">IFERROR(IF(OR($B77="",$D77=0,$D77=""),"",$H77/$D77),"")</f>
        <v>0.54565125</v>
      </c>
      <c r="J77" s="49" t="n">
        <f aca="false">$J$2</f>
        <v>0.25</v>
      </c>
      <c r="K77" s="12" t="n">
        <f aca="false">IFERROR(IF($B77="","",$E77+$J77),"")</f>
        <v>0.70434875</v>
      </c>
      <c r="L77" s="47" t="n">
        <f aca="false">IFERROR(IF(OR($B77="",$C77=0,$C77=""),"",$I77+ROW()*0.0000001),"")</f>
        <v>0.54565895</v>
      </c>
      <c r="M77" s="50" t="n">
        <f aca="false">$M$2</f>
        <v>0.9319</v>
      </c>
      <c r="N77" s="13" t="n">
        <f aca="false">IFERROR(IF($B77="","",$C77+$M77),"")</f>
        <v>36.3479</v>
      </c>
    </row>
    <row r="78" customFormat="false" ht="39" hidden="false" customHeight="true" outlineLevel="0" collapsed="false">
      <c r="A78" s="43" t="str">
        <f aca="false">IFERROR(IF(المنيو!$B78="","",المنيو!$A78),"")</f>
        <v>قسم البيتزا الصيامي</v>
      </c>
      <c r="B78" s="43" t="str">
        <f aca="false">IFERROR(المنيو!$B78,"")</f>
        <v>بيتزا مارجريتا صيامي مخصوص</v>
      </c>
      <c r="C78" s="13" t="n">
        <f aca="false">IFERROR(IF($B78="","",SUMIFS(الريسبي!$F$2:$F$1800,الريسبي!$A$2:$A$1800,$B78)),"")</f>
        <v>48.151</v>
      </c>
      <c r="D78" s="44" t="n">
        <f aca="false">IFERROR(IF($B78="","",المنيو!$C78),"")</f>
        <v>110</v>
      </c>
      <c r="E78" s="12" t="n">
        <f aca="false">IFERROR(IF(OR($B78="",$D78=0,$D78=""),"",$N78/$D78),"")</f>
        <v>0.446208181818182</v>
      </c>
      <c r="F78" s="49" t="n">
        <f aca="false">$F$2</f>
        <v>0.375</v>
      </c>
      <c r="G78" s="13" t="n">
        <f aca="false">IFERROR(IF($B78="","",$N78/$F78),"")</f>
        <v>130.887733333333</v>
      </c>
      <c r="H78" s="13" t="n">
        <f aca="false">IFERROR(IF($B78="","",$D78-$N78),"")</f>
        <v>60.9171</v>
      </c>
      <c r="I78" s="12" t="n">
        <f aca="false">IFERROR(IF(OR($B78="",$D78=0,$D78=""),"",$H78/$D78),"")</f>
        <v>0.553791818181818</v>
      </c>
      <c r="J78" s="49" t="n">
        <f aca="false">$J$2</f>
        <v>0.25</v>
      </c>
      <c r="K78" s="12" t="n">
        <f aca="false">IFERROR(IF($B78="","",$E78+$J78),"")</f>
        <v>0.696208181818182</v>
      </c>
      <c r="L78" s="47" t="n">
        <f aca="false">IFERROR(IF(OR($B78="",$C78=0,$C78=""),"",$I78+ROW()*0.0000001),"")</f>
        <v>0.553799618181818</v>
      </c>
      <c r="M78" s="50" t="n">
        <f aca="false">$M$2</f>
        <v>0.9319</v>
      </c>
      <c r="N78" s="13" t="n">
        <f aca="false">IFERROR(IF($B78="","",$C78+$M78),"")</f>
        <v>49.0829</v>
      </c>
    </row>
    <row r="79" customFormat="false" ht="39" hidden="false" customHeight="true" outlineLevel="0" collapsed="false">
      <c r="A79" s="43" t="str">
        <f aca="false">IFERROR(IF(المنيو!$B79="","",المنيو!$A79),"")</f>
        <v>قسم البيتزا الصيامي</v>
      </c>
      <c r="B79" s="43" t="str">
        <f aca="false">IFERROR(المنيو!$B79,"")</f>
        <v>بيتزا مشروم صيامي وسط</v>
      </c>
      <c r="C79" s="13" t="n">
        <f aca="false">IFERROR(IF($B79="","",SUMIFS(الريسبي!$F$2:$F$1800,الريسبي!$A$2:$A$1800,$B79)),"")</f>
        <v>50.53627</v>
      </c>
      <c r="D79" s="44" t="n">
        <f aca="false">IFERROR(IF($B79="","",المنيو!$C79),"")</f>
        <v>105</v>
      </c>
      <c r="E79" s="12" t="n">
        <f aca="false">IFERROR(IF(OR($B79="",$D79=0,$D79=""),"",$N79/$D79),"")</f>
        <v>0.490173047619048</v>
      </c>
      <c r="F79" s="49" t="n">
        <f aca="false">$F$2</f>
        <v>0.375</v>
      </c>
      <c r="G79" s="13" t="n">
        <f aca="false">IFERROR(IF($B79="","",$N79/$F79),"")</f>
        <v>137.248453333333</v>
      </c>
      <c r="H79" s="13" t="n">
        <f aca="false">IFERROR(IF($B79="","",$D79-$N79),"")</f>
        <v>53.53183</v>
      </c>
      <c r="I79" s="12" t="n">
        <f aca="false">IFERROR(IF(OR($B79="",$D79=0,$D79=""),"",$H79/$D79),"")</f>
        <v>0.509826952380952</v>
      </c>
      <c r="J79" s="49" t="n">
        <f aca="false">$J$2</f>
        <v>0.25</v>
      </c>
      <c r="K79" s="12" t="n">
        <f aca="false">IFERROR(IF($B79="","",$E79+$J79),"")</f>
        <v>0.740173047619048</v>
      </c>
      <c r="L79" s="47" t="n">
        <f aca="false">IFERROR(IF(OR($B79="",$C79=0,$C79=""),"",$I79+ROW()*0.0000001),"")</f>
        <v>0.509834852380952</v>
      </c>
      <c r="M79" s="50" t="n">
        <f aca="false">$M$2</f>
        <v>0.9319</v>
      </c>
      <c r="N79" s="13" t="n">
        <f aca="false">IFERROR(IF($B79="","",$C79+$M79),"")</f>
        <v>51.46817</v>
      </c>
    </row>
    <row r="80" customFormat="false" ht="39" hidden="false" customHeight="true" outlineLevel="0" collapsed="false">
      <c r="A80" s="43" t="str">
        <f aca="false">IFERROR(IF(المنيو!$B80="","",المنيو!$A80),"")</f>
        <v>قسم البيتزا الصيامي</v>
      </c>
      <c r="B80" s="43" t="str">
        <f aca="false">IFERROR(المنيو!$B80,"")</f>
        <v>بيتزا مشروم صيامي مخصوص</v>
      </c>
      <c r="C80" s="13" t="n">
        <f aca="false">IFERROR(IF($B80="","",SUMIFS(الريسبي!$F$2:$F$1800,الريسبي!$A$2:$A$1800,$B80)),"")</f>
        <v>70.831405</v>
      </c>
      <c r="D80" s="44" t="n">
        <f aca="false">IFERROR(IF($B80="","",المنيو!$C80),"")</f>
        <v>160</v>
      </c>
      <c r="E80" s="12" t="n">
        <f aca="false">IFERROR(IF(OR($B80="",$D80=0,$D80=""),"",$N80/$D80),"")</f>
        <v>0.44852065625</v>
      </c>
      <c r="F80" s="49" t="n">
        <f aca="false">$F$2</f>
        <v>0.375</v>
      </c>
      <c r="G80" s="13" t="n">
        <f aca="false">IFERROR(IF($B80="","",$N80/$F80),"")</f>
        <v>191.368813333333</v>
      </c>
      <c r="H80" s="13" t="n">
        <f aca="false">IFERROR(IF($B80="","",$D80-$N80),"")</f>
        <v>88.236695</v>
      </c>
      <c r="I80" s="12" t="n">
        <f aca="false">IFERROR(IF(OR($B80="",$D80=0,$D80=""),"",$H80/$D80),"")</f>
        <v>0.55147934375</v>
      </c>
      <c r="J80" s="49" t="n">
        <f aca="false">$J$2</f>
        <v>0.25</v>
      </c>
      <c r="K80" s="12" t="n">
        <f aca="false">IFERROR(IF($B80="","",$E80+$J80),"")</f>
        <v>0.69852065625</v>
      </c>
      <c r="L80" s="47" t="n">
        <f aca="false">IFERROR(IF(OR($B80="",$C80=0,$C80=""),"",$I80+ROW()*0.0000001),"")</f>
        <v>0.55148734375</v>
      </c>
      <c r="M80" s="50" t="n">
        <f aca="false">$M$2</f>
        <v>0.9319</v>
      </c>
      <c r="N80" s="13" t="n">
        <f aca="false">IFERROR(IF($B80="","",$C80+$M80),"")</f>
        <v>71.763305</v>
      </c>
    </row>
    <row r="81" customFormat="false" ht="39" hidden="false" customHeight="true" outlineLevel="0" collapsed="false">
      <c r="A81" s="43" t="str">
        <f aca="false">IFERROR(IF(المنيو!$B81="","",المنيو!$A81),"")</f>
        <v>قسم البيتزا الصيامي</v>
      </c>
      <c r="B81" s="43" t="str">
        <f aca="false">IFERROR(المنيو!$B81,"")</f>
        <v>بيتزا سوسيس صيامي وسط</v>
      </c>
      <c r="C81" s="13" t="n">
        <f aca="false">IFERROR(IF($B81="","",SUMIFS(الريسبي!$F$2:$F$1800,الريسبي!$A$2:$A$1800,$B81)),"")</f>
        <v>61.8184</v>
      </c>
      <c r="D81" s="44" t="n">
        <f aca="false">IFERROR(IF($B81="","",المنيو!$C81),"")</f>
        <v>110</v>
      </c>
      <c r="E81" s="12" t="n">
        <f aca="false">IFERROR(IF(OR($B81="",$D81=0,$D81=""),"",$N81/$D81),"")</f>
        <v>0.570457272727273</v>
      </c>
      <c r="F81" s="49" t="n">
        <f aca="false">$F$2</f>
        <v>0.375</v>
      </c>
      <c r="G81" s="13" t="n">
        <f aca="false">IFERROR(IF($B81="","",$N81/$F81),"")</f>
        <v>167.334133333333</v>
      </c>
      <c r="H81" s="13" t="n">
        <f aca="false">IFERROR(IF($B81="","",$D81-$N81),"")</f>
        <v>47.2497</v>
      </c>
      <c r="I81" s="12" t="n">
        <f aca="false">IFERROR(IF(OR($B81="",$D81=0,$D81=""),"",$H81/$D81),"")</f>
        <v>0.429542727272727</v>
      </c>
      <c r="J81" s="49" t="n">
        <f aca="false">$J$2</f>
        <v>0.25</v>
      </c>
      <c r="K81" s="12" t="n">
        <f aca="false">IFERROR(IF($B81="","",$E81+$J81),"")</f>
        <v>0.820457272727273</v>
      </c>
      <c r="L81" s="47" t="n">
        <f aca="false">IFERROR(IF(OR($B81="",$C81=0,$C81=""),"",$I81+ROW()*0.0000001),"")</f>
        <v>0.429550827272727</v>
      </c>
      <c r="M81" s="50" t="n">
        <f aca="false">$M$2</f>
        <v>0.9319</v>
      </c>
      <c r="N81" s="13" t="n">
        <f aca="false">IFERROR(IF($B81="","",$C81+$M81),"")</f>
        <v>62.7503</v>
      </c>
    </row>
    <row r="82" customFormat="false" ht="39" hidden="false" customHeight="true" outlineLevel="0" collapsed="false">
      <c r="A82" s="43" t="str">
        <f aca="false">IFERROR(IF(المنيو!$B82="","",المنيو!$A82),"")</f>
        <v>قسم البيتزا الصيامي</v>
      </c>
      <c r="B82" s="43" t="str">
        <f aca="false">IFERROR(المنيو!$B82,"")</f>
        <v>بيتزا سوسيس صيامي مخصوص</v>
      </c>
      <c r="C82" s="13" t="n">
        <f aca="false">IFERROR(IF($B82="","",SUMIFS(الريسبي!$F$2:$F$1800,الريسبي!$A$2:$A$1800,$B82)),"")</f>
        <v>87.7546</v>
      </c>
      <c r="D82" s="44" t="n">
        <f aca="false">IFERROR(IF($B82="","",المنيو!$C82),"")</f>
        <v>180</v>
      </c>
      <c r="E82" s="12" t="n">
        <f aca="false">IFERROR(IF(OR($B82="",$D82=0,$D82=""),"",$N82/$D82),"")</f>
        <v>0.492702777777778</v>
      </c>
      <c r="F82" s="49" t="n">
        <f aca="false">$F$2</f>
        <v>0.375</v>
      </c>
      <c r="G82" s="13" t="n">
        <f aca="false">IFERROR(IF($B82="","",$N82/$F82),"")</f>
        <v>236.497333333333</v>
      </c>
      <c r="H82" s="13" t="n">
        <f aca="false">IFERROR(IF($B82="","",$D82-$N82),"")</f>
        <v>91.3135</v>
      </c>
      <c r="I82" s="12" t="n">
        <f aca="false">IFERROR(IF(OR($B82="",$D82=0,$D82=""),"",$H82/$D82),"")</f>
        <v>0.507297222222222</v>
      </c>
      <c r="J82" s="49" t="n">
        <f aca="false">$J$2</f>
        <v>0.25</v>
      </c>
      <c r="K82" s="12" t="n">
        <f aca="false">IFERROR(IF($B82="","",$E82+$J82),"")</f>
        <v>0.742702777777778</v>
      </c>
      <c r="L82" s="47" t="n">
        <f aca="false">IFERROR(IF(OR($B82="",$C82=0,$C82=""),"",$I82+ROW()*0.0000001),"")</f>
        <v>0.507305422222222</v>
      </c>
      <c r="M82" s="50" t="n">
        <f aca="false">$M$2</f>
        <v>0.9319</v>
      </c>
      <c r="N82" s="13" t="n">
        <f aca="false">IFERROR(IF($B82="","",$C82+$M82),"")</f>
        <v>88.6865</v>
      </c>
    </row>
    <row r="83" customFormat="false" ht="39" hidden="false" customHeight="true" outlineLevel="0" collapsed="false">
      <c r="A83" s="43" t="str">
        <f aca="false">IFERROR(IF(المنيو!$B83="","",المنيو!$A83),"")</f>
        <v>قسم البيتزا الصيامي</v>
      </c>
      <c r="B83" s="43" t="str">
        <f aca="false">IFERROR(المنيو!$B83,"")</f>
        <v>بيتزا شاورما لحم / فراخ صيامي وسط</v>
      </c>
      <c r="C83" s="13" t="n">
        <f aca="false">IFERROR(IF($B83="","",SUMIFS(الريسبي!$F$2:$F$1800,الريسبي!$A$2:$A$1800,$B83)),"")</f>
        <v>66.1082</v>
      </c>
      <c r="D83" s="44" t="n">
        <f aca="false">IFERROR(IF($B83="","",المنيو!$C83),"")</f>
        <v>120</v>
      </c>
      <c r="E83" s="12" t="n">
        <f aca="false">IFERROR(IF(OR($B83="",$D83=0,$D83=""),"",$N83/$D83),"")</f>
        <v>0.5586675</v>
      </c>
      <c r="F83" s="49" t="n">
        <f aca="false">$F$2</f>
        <v>0.375</v>
      </c>
      <c r="G83" s="13" t="n">
        <f aca="false">IFERROR(IF($B83="","",$N83/$F83),"")</f>
        <v>178.7736</v>
      </c>
      <c r="H83" s="13" t="n">
        <f aca="false">IFERROR(IF($B83="","",$D83-$N83),"")</f>
        <v>52.9599</v>
      </c>
      <c r="I83" s="12" t="n">
        <f aca="false">IFERROR(IF(OR($B83="",$D83=0,$D83=""),"",$H83/$D83),"")</f>
        <v>0.4413325</v>
      </c>
      <c r="J83" s="49" t="n">
        <f aca="false">$J$2</f>
        <v>0.25</v>
      </c>
      <c r="K83" s="12" t="n">
        <f aca="false">IFERROR(IF($B83="","",$E83+$J83),"")</f>
        <v>0.8086675</v>
      </c>
      <c r="L83" s="47" t="n">
        <f aca="false">IFERROR(IF(OR($B83="",$C83=0,$C83=""),"",$I83+ROW()*0.0000001),"")</f>
        <v>0.4413408</v>
      </c>
      <c r="M83" s="50" t="n">
        <f aca="false">$M$2</f>
        <v>0.9319</v>
      </c>
      <c r="N83" s="13" t="n">
        <f aca="false">IFERROR(IF($B83="","",$C83+$M83),"")</f>
        <v>67.0401</v>
      </c>
    </row>
    <row r="84" customFormat="false" ht="39" hidden="false" customHeight="true" outlineLevel="0" collapsed="false">
      <c r="A84" s="43" t="str">
        <f aca="false">IFERROR(IF(المنيو!$B84="","",المنيو!$A84),"")</f>
        <v>قسم البيتزا الصيامي</v>
      </c>
      <c r="B84" s="43" t="str">
        <f aca="false">IFERROR(المنيو!$B84,"")</f>
        <v>بيتزا شاورما لحم / فراخ صيامي مخصوص</v>
      </c>
      <c r="C84" s="13" t="n">
        <f aca="false">IFERROR(IF($B84="","",SUMIFS(الريسبي!$F$2:$F$1800,الريسبي!$A$2:$A$1800,$B84)),"")</f>
        <v>94.1893</v>
      </c>
      <c r="D84" s="44" t="n">
        <f aca="false">IFERROR(IF($B84="","",المنيو!$C84),"")</f>
        <v>190</v>
      </c>
      <c r="E84" s="12" t="n">
        <f aca="false">IFERROR(IF(OR($B84="",$D84=0,$D84=""),"",$N84/$D84),"")</f>
        <v>0.500637894736842</v>
      </c>
      <c r="F84" s="49" t="n">
        <f aca="false">$F$2</f>
        <v>0.375</v>
      </c>
      <c r="G84" s="13" t="n">
        <f aca="false">IFERROR(IF($B84="","",$N84/$F84),"")</f>
        <v>253.656533333333</v>
      </c>
      <c r="H84" s="13" t="n">
        <f aca="false">IFERROR(IF($B84="","",$D84-$N84),"")</f>
        <v>94.8788</v>
      </c>
      <c r="I84" s="12" t="n">
        <f aca="false">IFERROR(IF(OR($B84="",$D84=0,$D84=""),"",$H84/$D84),"")</f>
        <v>0.499362105263158</v>
      </c>
      <c r="J84" s="49" t="n">
        <f aca="false">$J$2</f>
        <v>0.25</v>
      </c>
      <c r="K84" s="12" t="n">
        <f aca="false">IFERROR(IF($B84="","",$E84+$J84),"")</f>
        <v>0.750637894736842</v>
      </c>
      <c r="L84" s="47" t="n">
        <f aca="false">IFERROR(IF(OR($B84="",$C84=0,$C84=""),"",$I84+ROW()*0.0000001),"")</f>
        <v>0.499370505263158</v>
      </c>
      <c r="M84" s="50" t="n">
        <f aca="false">$M$2</f>
        <v>0.9319</v>
      </c>
      <c r="N84" s="13" t="n">
        <f aca="false">IFERROR(IF($B84="","",$C84+$M84),"")</f>
        <v>95.1212</v>
      </c>
    </row>
    <row r="85" customFormat="false" ht="39" hidden="false" customHeight="true" outlineLevel="0" collapsed="false">
      <c r="A85" s="43" t="str">
        <f aca="false">IFERROR(IF(المنيو!$B85="","",المنيو!$A85),"")</f>
        <v>قسم البيتزا الصيامي</v>
      </c>
      <c r="B85" s="43" t="str">
        <f aca="false">IFERROR(المنيو!$B85,"")</f>
        <v>بيتزا مشكل جبن صيامي وسط</v>
      </c>
      <c r="C85" s="13" t="n">
        <f aca="false">IFERROR(IF($B85="","",SUMIFS(الريسبي!$F$2:$F$1800,الريسبي!$A$2:$A$1800,$B85)),"")</f>
        <v>45.916</v>
      </c>
      <c r="D85" s="44" t="n">
        <f aca="false">IFERROR(IF($B85="","",المنيو!$C85),"")</f>
        <v>120</v>
      </c>
      <c r="E85" s="12" t="n">
        <f aca="false">IFERROR(IF(OR($B85="",$D85=0,$D85=""),"",$N85/$D85),"")</f>
        <v>0.390399166666667</v>
      </c>
      <c r="F85" s="49" t="n">
        <f aca="false">$F$2</f>
        <v>0.375</v>
      </c>
      <c r="G85" s="13" t="n">
        <f aca="false">IFERROR(IF($B85="","",$N85/$F85),"")</f>
        <v>124.927733333333</v>
      </c>
      <c r="H85" s="13" t="n">
        <f aca="false">IFERROR(IF($B85="","",$D85-$N85),"")</f>
        <v>73.1521</v>
      </c>
      <c r="I85" s="12" t="n">
        <f aca="false">IFERROR(IF(OR($B85="",$D85=0,$D85=""),"",$H85/$D85),"")</f>
        <v>0.609600833333333</v>
      </c>
      <c r="J85" s="49" t="n">
        <f aca="false">$J$2</f>
        <v>0.25</v>
      </c>
      <c r="K85" s="12" t="n">
        <f aca="false">IFERROR(IF($B85="","",$E85+$J85),"")</f>
        <v>0.640399166666667</v>
      </c>
      <c r="L85" s="47" t="n">
        <f aca="false">IFERROR(IF(OR($B85="",$C85=0,$C85=""),"",$I85+ROW()*0.0000001),"")</f>
        <v>0.609609333333333</v>
      </c>
      <c r="M85" s="50" t="n">
        <f aca="false">$M$2</f>
        <v>0.9319</v>
      </c>
      <c r="N85" s="13" t="n">
        <f aca="false">IFERROR(IF($B85="","",$C85+$M85),"")</f>
        <v>46.8479</v>
      </c>
    </row>
    <row r="86" customFormat="false" ht="39" hidden="false" customHeight="true" outlineLevel="0" collapsed="false">
      <c r="A86" s="43" t="str">
        <f aca="false">IFERROR(IF(المنيو!$B86="","",المنيو!$A86),"")</f>
        <v>قسم البيتزا الصيامي</v>
      </c>
      <c r="B86" s="43" t="str">
        <f aca="false">IFERROR(المنيو!$B86,"")</f>
        <v>بيتزا مشكل جبن صيامي مخصوص</v>
      </c>
      <c r="C86" s="13" t="n">
        <f aca="false">IFERROR(IF($B86="","",SUMIFS(الريسبي!$F$2:$F$1800,الريسبي!$A$2:$A$1800,$B86)),"")</f>
        <v>63.901</v>
      </c>
      <c r="D86" s="44" t="n">
        <f aca="false">IFERROR(IF($B86="","",المنيو!$C86),"")</f>
        <v>180</v>
      </c>
      <c r="E86" s="12" t="n">
        <f aca="false">IFERROR(IF(OR($B86="",$D86=0,$D86=""),"",$N86/$D86),"")</f>
        <v>0.360182777777778</v>
      </c>
      <c r="F86" s="49" t="n">
        <f aca="false">$F$2</f>
        <v>0.375</v>
      </c>
      <c r="G86" s="13" t="n">
        <f aca="false">IFERROR(IF($B86="","",$N86/$F86),"")</f>
        <v>172.887733333333</v>
      </c>
      <c r="H86" s="13" t="n">
        <f aca="false">IFERROR(IF($B86="","",$D86-$N86),"")</f>
        <v>115.1671</v>
      </c>
      <c r="I86" s="12" t="n">
        <f aca="false">IFERROR(IF(OR($B86="",$D86=0,$D86=""),"",$H86/$D86),"")</f>
        <v>0.639817222222222</v>
      </c>
      <c r="J86" s="49" t="n">
        <f aca="false">$J$2</f>
        <v>0.25</v>
      </c>
      <c r="K86" s="12" t="n">
        <f aca="false">IFERROR(IF($B86="","",$E86+$J86),"")</f>
        <v>0.610182777777778</v>
      </c>
      <c r="L86" s="47" t="n">
        <f aca="false">IFERROR(IF(OR($B86="",$C86=0,$C86=""),"",$I86+ROW()*0.0000001),"")</f>
        <v>0.639825822222222</v>
      </c>
      <c r="M86" s="50" t="n">
        <f aca="false">$M$2</f>
        <v>0.9319</v>
      </c>
      <c r="N86" s="13" t="n">
        <f aca="false">IFERROR(IF($B86="","",$C86+$M86),"")</f>
        <v>64.8329</v>
      </c>
    </row>
    <row r="87" customFormat="false" ht="39" hidden="false" customHeight="true" outlineLevel="0" collapsed="false">
      <c r="A87" s="43" t="str">
        <f aca="false">IFERROR(IF(المنيو!$B87="","",المنيو!$A87),"")</f>
        <v>قسم البيتزا الصيامي</v>
      </c>
      <c r="B87" s="43" t="str">
        <f aca="false">IFERROR(المنيو!$B87,"")</f>
        <v>بيتزا فراخ باربيكيو صيامي وسط</v>
      </c>
      <c r="C87" s="13" t="n">
        <f aca="false">IFERROR(IF($B87="","",SUMIFS(الريسبي!$F$2:$F$1800,الريسبي!$A$2:$A$1800,$B87)),"")</f>
        <v>68.9937</v>
      </c>
      <c r="D87" s="44" t="n">
        <f aca="false">IFERROR(IF($B87="","",المنيو!$C87),"")</f>
        <v>145</v>
      </c>
      <c r="E87" s="12" t="n">
        <f aca="false">IFERROR(IF(OR($B87="",$D87=0,$D87=""),"",$N87/$D87),"")</f>
        <v>0.482245517241379</v>
      </c>
      <c r="F87" s="49" t="n">
        <f aca="false">$F$2</f>
        <v>0.375</v>
      </c>
      <c r="G87" s="13" t="n">
        <f aca="false">IFERROR(IF($B87="","",$N87/$F87),"")</f>
        <v>186.468266666667</v>
      </c>
      <c r="H87" s="13" t="n">
        <f aca="false">IFERROR(IF($B87="","",$D87-$N87),"")</f>
        <v>75.0744</v>
      </c>
      <c r="I87" s="12" t="n">
        <f aca="false">IFERROR(IF(OR($B87="",$D87=0,$D87=""),"",$H87/$D87),"")</f>
        <v>0.517754482758621</v>
      </c>
      <c r="J87" s="49" t="n">
        <f aca="false">$J$2</f>
        <v>0.25</v>
      </c>
      <c r="K87" s="12" t="n">
        <f aca="false">IFERROR(IF($B87="","",$E87+$J87),"")</f>
        <v>0.732245517241379</v>
      </c>
      <c r="L87" s="47" t="n">
        <f aca="false">IFERROR(IF(OR($B87="",$C87=0,$C87=""),"",$I87+ROW()*0.0000001),"")</f>
        <v>0.517763182758621</v>
      </c>
      <c r="M87" s="50" t="n">
        <f aca="false">$M$2</f>
        <v>0.9319</v>
      </c>
      <c r="N87" s="13" t="n">
        <f aca="false">IFERROR(IF($B87="","",$C87+$M87),"")</f>
        <v>69.9256</v>
      </c>
    </row>
    <row r="88" customFormat="false" ht="39" hidden="false" customHeight="true" outlineLevel="0" collapsed="false">
      <c r="A88" s="43" t="str">
        <f aca="false">IFERROR(IF(المنيو!$B88="","",المنيو!$A88),"")</f>
        <v>قسم البيتزا الصيامي</v>
      </c>
      <c r="B88" s="43" t="str">
        <f aca="false">IFERROR(المنيو!$B88,"")</f>
        <v>بيتزا فراخ باربيكيو صيامي مخصوص</v>
      </c>
      <c r="C88" s="13" t="n">
        <f aca="false">IFERROR(IF($B88="","",SUMIFS(الريسبي!$F$2:$F$1800,الريسبي!$A$2:$A$1800,$B88)),"")</f>
        <v>95.7287</v>
      </c>
      <c r="D88" s="44" t="n">
        <f aca="false">IFERROR(IF($B88="","",المنيو!$C88),"")</f>
        <v>220</v>
      </c>
      <c r="E88" s="12" t="n">
        <f aca="false">IFERROR(IF(OR($B88="",$D88=0,$D88=""),"",$N88/$D88),"")</f>
        <v>0.439366363636364</v>
      </c>
      <c r="F88" s="49" t="n">
        <f aca="false">$F$2</f>
        <v>0.375</v>
      </c>
      <c r="G88" s="13" t="n">
        <f aca="false">IFERROR(IF($B88="","",$N88/$F88),"")</f>
        <v>257.7616</v>
      </c>
      <c r="H88" s="13" t="n">
        <f aca="false">IFERROR(IF($B88="","",$D88-$N88),"")</f>
        <v>123.3394</v>
      </c>
      <c r="I88" s="12" t="n">
        <f aca="false">IFERROR(IF(OR($B88="",$D88=0,$D88=""),"",$H88/$D88),"")</f>
        <v>0.560633636363636</v>
      </c>
      <c r="J88" s="49" t="n">
        <f aca="false">$J$2</f>
        <v>0.25</v>
      </c>
      <c r="K88" s="12" t="n">
        <f aca="false">IFERROR(IF($B88="","",$E88+$J88),"")</f>
        <v>0.689366363636364</v>
      </c>
      <c r="L88" s="47" t="n">
        <f aca="false">IFERROR(IF(OR($B88="",$C88=0,$C88=""),"",$I88+ROW()*0.0000001),"")</f>
        <v>0.560642436363636</v>
      </c>
      <c r="M88" s="50" t="n">
        <f aca="false">$M$2</f>
        <v>0.9319</v>
      </c>
      <c r="N88" s="13" t="n">
        <f aca="false">IFERROR(IF($B88="","",$C88+$M88),"")</f>
        <v>96.6606</v>
      </c>
    </row>
    <row r="89" customFormat="false" ht="39" hidden="false" customHeight="true" outlineLevel="0" collapsed="false">
      <c r="A89" s="43" t="str">
        <f aca="false">IFERROR(IF(المنيو!$B89="","",المنيو!$A89),"")</f>
        <v>قسم البيتزا الصيامي</v>
      </c>
      <c r="B89" s="43" t="str">
        <f aca="false">IFERROR(المنيو!$B89,"")</f>
        <v>بيتزا جمبري صيامي وسط</v>
      </c>
      <c r="C89" s="13" t="n">
        <f aca="false">IFERROR(IF($B89="","",SUMIFS(الريسبي!$F$2:$F$1800,الريسبي!$A$2:$A$1800,$B89)),"")</f>
        <v>130.416</v>
      </c>
      <c r="D89" s="44" t="n">
        <f aca="false">IFERROR(IF($B89="","",المنيو!$C89),"")</f>
        <v>230</v>
      </c>
      <c r="E89" s="12" t="n">
        <f aca="false">IFERROR(IF(OR($B89="",$D89=0,$D89=""),"",$N89/$D89),"")</f>
        <v>0.571077826086957</v>
      </c>
      <c r="F89" s="49" t="n">
        <f aca="false">$F$2</f>
        <v>0.375</v>
      </c>
      <c r="G89" s="13" t="n">
        <f aca="false">IFERROR(IF($B89="","",$N89/$F89),"")</f>
        <v>350.261066666667</v>
      </c>
      <c r="H89" s="13" t="n">
        <f aca="false">IFERROR(IF($B89="","",$D89-$N89),"")</f>
        <v>98.6521</v>
      </c>
      <c r="I89" s="12" t="n">
        <f aca="false">IFERROR(IF(OR($B89="",$D89=0,$D89=""),"",$H89/$D89),"")</f>
        <v>0.428922173913043</v>
      </c>
      <c r="J89" s="49" t="n">
        <f aca="false">$J$2</f>
        <v>0.25</v>
      </c>
      <c r="K89" s="12" t="n">
        <f aca="false">IFERROR(IF($B89="","",$E89+$J89),"")</f>
        <v>0.821077826086957</v>
      </c>
      <c r="L89" s="47" t="n">
        <f aca="false">IFERROR(IF(OR($B89="",$C89=0,$C89=""),"",$I89+ROW()*0.0000001),"")</f>
        <v>0.428931073913043</v>
      </c>
      <c r="M89" s="50" t="n">
        <f aca="false">$M$2</f>
        <v>0.9319</v>
      </c>
      <c r="N89" s="13" t="n">
        <f aca="false">IFERROR(IF($B89="","",$C89+$M89),"")</f>
        <v>131.3479</v>
      </c>
    </row>
    <row r="90" customFormat="false" ht="39" hidden="false" customHeight="true" outlineLevel="0" collapsed="false">
      <c r="A90" s="43" t="str">
        <f aca="false">IFERROR(IF(المنيو!$B90="","",المنيو!$A90),"")</f>
        <v>قسم البيتزا الصيامي</v>
      </c>
      <c r="B90" s="43" t="str">
        <f aca="false">IFERROR(المنيو!$B90,"")</f>
        <v>بيتزا جمبري صيامي مخصوص</v>
      </c>
      <c r="C90" s="13" t="n">
        <f aca="false">IFERROR(IF($B90="","",SUMIFS(الريسبي!$F$2:$F$1800,الريسبي!$A$2:$A$1800,$B90)),"")</f>
        <v>190.651</v>
      </c>
      <c r="D90" s="44" t="n">
        <f aca="false">IFERROR(IF($B90="","",المنيو!$C90),"")</f>
        <v>350</v>
      </c>
      <c r="E90" s="12" t="n">
        <f aca="false">IFERROR(IF(OR($B90="",$D90=0,$D90=""),"",$N90/$D90),"")</f>
        <v>0.547379714285714</v>
      </c>
      <c r="F90" s="49" t="n">
        <f aca="false">$F$2</f>
        <v>0.375</v>
      </c>
      <c r="G90" s="13" t="n">
        <f aca="false">IFERROR(IF($B90="","",$N90/$F90),"")</f>
        <v>510.887733333333</v>
      </c>
      <c r="H90" s="13" t="n">
        <f aca="false">IFERROR(IF($B90="","",$D90-$N90),"")</f>
        <v>158.4171</v>
      </c>
      <c r="I90" s="12" t="n">
        <f aca="false">IFERROR(IF(OR($B90="",$D90=0,$D90=""),"",$H90/$D90),"")</f>
        <v>0.452620285714286</v>
      </c>
      <c r="J90" s="49" t="n">
        <f aca="false">$J$2</f>
        <v>0.25</v>
      </c>
      <c r="K90" s="12" t="n">
        <f aca="false">IFERROR(IF($B90="","",$E90+$J90),"")</f>
        <v>0.797379714285714</v>
      </c>
      <c r="L90" s="47" t="n">
        <f aca="false">IFERROR(IF(OR($B90="",$C90=0,$C90=""),"",$I90+ROW()*0.0000001),"")</f>
        <v>0.452629285714286</v>
      </c>
      <c r="M90" s="50" t="n">
        <f aca="false">$M$2</f>
        <v>0.9319</v>
      </c>
      <c r="N90" s="13" t="n">
        <f aca="false">IFERROR(IF($B90="","",$C90+$M90),"")</f>
        <v>191.5829</v>
      </c>
    </row>
    <row r="91" customFormat="false" ht="39" hidden="false" customHeight="true" outlineLevel="0" collapsed="false">
      <c r="A91" s="43" t="str">
        <f aca="false">IFERROR(IF(المنيو!$B91="","",المنيو!$A91),"")</f>
        <v>قسم البيتزا الصيامي</v>
      </c>
      <c r="B91" s="43" t="str">
        <f aca="false">IFERROR(المنيو!$B91,"")</f>
        <v>بيتزا تونة صيامي وسط</v>
      </c>
      <c r="C91" s="13" t="n">
        <f aca="false">IFERROR(IF($B91="","",SUMIFS(الريسبي!$F$2:$F$1800,الريسبي!$A$2:$A$1800,$B91)),"")</f>
        <v>77.446</v>
      </c>
      <c r="D91" s="44" t="n">
        <f aca="false">IFERROR(IF($B91="","",المنيو!$C91),"")</f>
        <v>170</v>
      </c>
      <c r="E91" s="12" t="n">
        <f aca="false">IFERROR(IF(OR($B91="",$D91=0,$D91=""),"",$N91/$D91),"")</f>
        <v>0.461046470588235</v>
      </c>
      <c r="F91" s="49" t="n">
        <f aca="false">$F$2</f>
        <v>0.375</v>
      </c>
      <c r="G91" s="13" t="n">
        <f aca="false">IFERROR(IF($B91="","",$N91/$F91),"")</f>
        <v>209.007733333333</v>
      </c>
      <c r="H91" s="13" t="n">
        <f aca="false">IFERROR(IF($B91="","",$D91-$N91),"")</f>
        <v>91.6221</v>
      </c>
      <c r="I91" s="12" t="n">
        <f aca="false">IFERROR(IF(OR($B91="",$D91=0,$D91=""),"",$H91/$D91),"")</f>
        <v>0.538953529411765</v>
      </c>
      <c r="J91" s="49" t="n">
        <f aca="false">$J$2</f>
        <v>0.25</v>
      </c>
      <c r="K91" s="12" t="n">
        <f aca="false">IFERROR(IF($B91="","",$E91+$J91),"")</f>
        <v>0.711046470588235</v>
      </c>
      <c r="L91" s="47" t="n">
        <f aca="false">IFERROR(IF(OR($B91="",$C91=0,$C91=""),"",$I91+ROW()*0.0000001),"")</f>
        <v>0.538962629411765</v>
      </c>
      <c r="M91" s="50" t="n">
        <f aca="false">$M$2</f>
        <v>0.9319</v>
      </c>
      <c r="N91" s="13" t="n">
        <f aca="false">IFERROR(IF($B91="","",$C91+$M91),"")</f>
        <v>78.3779</v>
      </c>
    </row>
    <row r="92" customFormat="false" ht="39" hidden="false" customHeight="true" outlineLevel="0" collapsed="false">
      <c r="A92" s="43" t="str">
        <f aca="false">IFERROR(IF(المنيو!$B92="","",المنيو!$A92),"")</f>
        <v>قسم البيتزا الصيامي</v>
      </c>
      <c r="B92" s="43" t="str">
        <f aca="false">IFERROR(المنيو!$B92,"")</f>
        <v>بيتزا تونة صيامي مخصوص</v>
      </c>
      <c r="C92" s="13" t="n">
        <f aca="false">IFERROR(IF($B92="","",SUMIFS(الريسبي!$F$2:$F$1800,الريسبي!$A$2:$A$1800,$B92)),"")</f>
        <v>111.196</v>
      </c>
      <c r="D92" s="44" t="n">
        <f aca="false">IFERROR(IF($B92="","",المنيو!$C92),"")</f>
        <v>240</v>
      </c>
      <c r="E92" s="12" t="n">
        <f aca="false">IFERROR(IF(OR($B92="",$D92=0,$D92=""),"",$N92/$D92),"")</f>
        <v>0.467199583333333</v>
      </c>
      <c r="F92" s="49" t="n">
        <f aca="false">$F$2</f>
        <v>0.375</v>
      </c>
      <c r="G92" s="13" t="n">
        <f aca="false">IFERROR(IF($B92="","",$N92/$F92),"")</f>
        <v>299.007733333333</v>
      </c>
      <c r="H92" s="13" t="n">
        <f aca="false">IFERROR(IF($B92="","",$D92-$N92),"")</f>
        <v>127.8721</v>
      </c>
      <c r="I92" s="12" t="n">
        <f aca="false">IFERROR(IF(OR($B92="",$D92=0,$D92=""),"",$H92/$D92),"")</f>
        <v>0.532800416666667</v>
      </c>
      <c r="J92" s="49" t="n">
        <f aca="false">$J$2</f>
        <v>0.25</v>
      </c>
      <c r="K92" s="12" t="n">
        <f aca="false">IFERROR(IF($B92="","",$E92+$J92),"")</f>
        <v>0.717199583333333</v>
      </c>
      <c r="L92" s="47" t="n">
        <f aca="false">IFERROR(IF(OR($B92="",$C92=0,$C92=""),"",$I92+ROW()*0.0000001),"")</f>
        <v>0.532809616666667</v>
      </c>
      <c r="M92" s="50" t="n">
        <f aca="false">$M$2</f>
        <v>0.9319</v>
      </c>
      <c r="N92" s="13" t="n">
        <f aca="false">IFERROR(IF($B92="","",$C92+$M92),"")</f>
        <v>112.1279</v>
      </c>
    </row>
    <row r="93" customFormat="false" ht="39" hidden="false" customHeight="true" outlineLevel="0" collapsed="false">
      <c r="A93" s="43" t="str">
        <f aca="false">IFERROR(IF(المنيو!$B93="","",المنيو!$A93),"")</f>
        <v>قسم الفطير الحادق الصيامي</v>
      </c>
      <c r="B93" s="43" t="str">
        <f aca="false">IFERROR(المنيو!$B93,"")</f>
        <v>فطيرة خضروات صيامي وسط</v>
      </c>
      <c r="C93" s="13" t="n">
        <f aca="false">IFERROR(IF($B93="","",SUMIFS(الريسبي!$F$2:$F$1800,الريسبي!$A$2:$A$1800,$B93)),"")</f>
        <v>33.296</v>
      </c>
      <c r="D93" s="44" t="n">
        <f aca="false">IFERROR(IF($B93="","",المنيو!$C93),"")</f>
        <v>80</v>
      </c>
      <c r="E93" s="12" t="n">
        <f aca="false">IFERROR(IF(OR($B93="",$D93=0,$D93=""),"",$N93/$D93),"")</f>
        <v>0.42784875</v>
      </c>
      <c r="F93" s="49" t="n">
        <f aca="false">$F$2</f>
        <v>0.375</v>
      </c>
      <c r="G93" s="13" t="n">
        <f aca="false">IFERROR(IF($B93="","",$N93/$F93),"")</f>
        <v>91.2744</v>
      </c>
      <c r="H93" s="13" t="n">
        <f aca="false">IFERROR(IF($B93="","",$D93-$N93),"")</f>
        <v>45.7721</v>
      </c>
      <c r="I93" s="12" t="n">
        <f aca="false">IFERROR(IF(OR($B93="",$D93=0,$D93=""),"",$H93/$D93),"")</f>
        <v>0.57215125</v>
      </c>
      <c r="J93" s="49" t="n">
        <f aca="false">$J$2</f>
        <v>0.25</v>
      </c>
      <c r="K93" s="12" t="n">
        <f aca="false">IFERROR(IF($B93="","",$E93+$J93),"")</f>
        <v>0.67784875</v>
      </c>
      <c r="L93" s="47" t="n">
        <f aca="false">IFERROR(IF(OR($B93="",$C93=0,$C93=""),"",$I93+ROW()*0.0000001),"")</f>
        <v>0.57216055</v>
      </c>
      <c r="M93" s="50" t="n">
        <f aca="false">$M$2</f>
        <v>0.9319</v>
      </c>
      <c r="N93" s="13" t="n">
        <f aca="false">IFERROR(IF($B93="","",$C93+$M93),"")</f>
        <v>34.2279</v>
      </c>
    </row>
    <row r="94" customFormat="false" ht="39" hidden="false" customHeight="true" outlineLevel="0" collapsed="false">
      <c r="A94" s="43" t="str">
        <f aca="false">IFERROR(IF(المنيو!$B94="","",المنيو!$A94),"")</f>
        <v>قسم الفطير الحادق الصيامي</v>
      </c>
      <c r="B94" s="43" t="str">
        <f aca="false">IFERROR(المنيو!$B94,"")</f>
        <v>فطيرة خضروات صيامي مخصوص</v>
      </c>
      <c r="C94" s="13" t="n">
        <f aca="false">IFERROR(IF($B94="","",SUMIFS(الريسبي!$F$2:$F$1800,الريسبي!$A$2:$A$1800,$B94)),"")</f>
        <v>45.631</v>
      </c>
      <c r="D94" s="44" t="n">
        <f aca="false">IFERROR(IF($B94="","",المنيو!$C94),"")</f>
        <v>110</v>
      </c>
      <c r="E94" s="12" t="n">
        <f aca="false">IFERROR(IF(OR($B94="",$D94=0,$D94=""),"",$N94/$D94),"")</f>
        <v>0.423299090909091</v>
      </c>
      <c r="F94" s="49" t="n">
        <f aca="false">$F$2</f>
        <v>0.375</v>
      </c>
      <c r="G94" s="13" t="n">
        <f aca="false">IFERROR(IF($B94="","",$N94/$F94),"")</f>
        <v>124.167733333333</v>
      </c>
      <c r="H94" s="13" t="n">
        <f aca="false">IFERROR(IF($B94="","",$D94-$N94),"")</f>
        <v>63.4371</v>
      </c>
      <c r="I94" s="12" t="n">
        <f aca="false">IFERROR(IF(OR($B94="",$D94=0,$D94=""),"",$H94/$D94),"")</f>
        <v>0.576700909090909</v>
      </c>
      <c r="J94" s="49" t="n">
        <f aca="false">$J$2</f>
        <v>0.25</v>
      </c>
      <c r="K94" s="12" t="n">
        <f aca="false">IFERROR(IF($B94="","",$E94+$J94),"")</f>
        <v>0.673299090909091</v>
      </c>
      <c r="L94" s="47" t="n">
        <f aca="false">IFERROR(IF(OR($B94="",$C94=0,$C94=""),"",$I94+ROW()*0.0000001),"")</f>
        <v>0.576710309090909</v>
      </c>
      <c r="M94" s="50" t="n">
        <f aca="false">$M$2</f>
        <v>0.9319</v>
      </c>
      <c r="N94" s="13" t="n">
        <f aca="false">IFERROR(IF($B94="","",$C94+$M94),"")</f>
        <v>46.5629</v>
      </c>
    </row>
    <row r="95" customFormat="false" ht="39" hidden="false" customHeight="true" outlineLevel="0" collapsed="false">
      <c r="A95" s="43" t="str">
        <f aca="false">IFERROR(IF(المنيو!$B95="","",المنيو!$A95),"")</f>
        <v>قسم الفطير الحادق الصيامي</v>
      </c>
      <c r="B95" s="43" t="str">
        <f aca="false">IFERROR(المنيو!$B95,"")</f>
        <v>فطيرة مشروم صيامي وسط</v>
      </c>
      <c r="C95" s="13" t="n">
        <f aca="false">IFERROR(IF($B95="","",SUMIFS(الريسبي!$F$2:$F$1800,الريسبي!$A$2:$A$1800,$B95)),"")</f>
        <v>48.41627</v>
      </c>
      <c r="D95" s="44" t="n">
        <f aca="false">IFERROR(IF($B95="","",المنيو!$C95),"")</f>
        <v>105</v>
      </c>
      <c r="E95" s="12" t="n">
        <f aca="false">IFERROR(IF(OR($B95="",$D95=0,$D95=""),"",$N95/$D95),"")</f>
        <v>0.469982571428571</v>
      </c>
      <c r="F95" s="49" t="n">
        <f aca="false">$F$2</f>
        <v>0.375</v>
      </c>
      <c r="G95" s="13" t="n">
        <f aca="false">IFERROR(IF($B95="","",$N95/$F95),"")</f>
        <v>131.59512</v>
      </c>
      <c r="H95" s="13" t="n">
        <f aca="false">IFERROR(IF($B95="","",$D95-$N95),"")</f>
        <v>55.65183</v>
      </c>
      <c r="I95" s="12" t="n">
        <f aca="false">IFERROR(IF(OR($B95="",$D95=0,$D95=""),"",$H95/$D95),"")</f>
        <v>0.530017428571429</v>
      </c>
      <c r="J95" s="49" t="n">
        <f aca="false">$J$2</f>
        <v>0.25</v>
      </c>
      <c r="K95" s="12" t="n">
        <f aca="false">IFERROR(IF($B95="","",$E95+$J95),"")</f>
        <v>0.719982571428572</v>
      </c>
      <c r="L95" s="47" t="n">
        <f aca="false">IFERROR(IF(OR($B95="",$C95=0,$C95=""),"",$I95+ROW()*0.0000001),"")</f>
        <v>0.530026928571429</v>
      </c>
      <c r="M95" s="50" t="n">
        <f aca="false">$M$2</f>
        <v>0.9319</v>
      </c>
      <c r="N95" s="13" t="n">
        <f aca="false">IFERROR(IF($B95="","",$C95+$M95),"")</f>
        <v>49.34817</v>
      </c>
    </row>
    <row r="96" customFormat="false" ht="39" hidden="false" customHeight="true" outlineLevel="0" collapsed="false">
      <c r="A96" s="43" t="str">
        <f aca="false">IFERROR(IF(المنيو!$B96="","",المنيو!$A96),"")</f>
        <v>قسم الفطير الحادق الصيامي</v>
      </c>
      <c r="B96" s="43" t="str">
        <f aca="false">IFERROR(المنيو!$B96,"")</f>
        <v>فطيرة مشروم صيامي مخصوص</v>
      </c>
      <c r="C96" s="13" t="n">
        <f aca="false">IFERROR(IF($B96="","",SUMIFS(الريسبي!$F$2:$F$1800,الريسبي!$A$2:$A$1800,$B96)),"")</f>
        <v>68.311405</v>
      </c>
      <c r="D96" s="44" t="n">
        <f aca="false">IFERROR(IF($B96="","",المنيو!$C96),"")</f>
        <v>160</v>
      </c>
      <c r="E96" s="12" t="n">
        <f aca="false">IFERROR(IF(OR($B96="",$D96=0,$D96=""),"",$N96/$D96),"")</f>
        <v>0.43277065625</v>
      </c>
      <c r="F96" s="49" t="n">
        <f aca="false">$F$2</f>
        <v>0.375</v>
      </c>
      <c r="G96" s="13" t="n">
        <f aca="false">IFERROR(IF($B96="","",$N96/$F96),"")</f>
        <v>184.648813333333</v>
      </c>
      <c r="H96" s="13" t="n">
        <f aca="false">IFERROR(IF($B96="","",$D96-$N96),"")</f>
        <v>90.756695</v>
      </c>
      <c r="I96" s="12" t="n">
        <f aca="false">IFERROR(IF(OR($B96="",$D96=0,$D96=""),"",$H96/$D96),"")</f>
        <v>0.56722934375</v>
      </c>
      <c r="J96" s="49" t="n">
        <f aca="false">$J$2</f>
        <v>0.25</v>
      </c>
      <c r="K96" s="12" t="n">
        <f aca="false">IFERROR(IF($B96="","",$E96+$J96),"")</f>
        <v>0.68277065625</v>
      </c>
      <c r="L96" s="47" t="n">
        <f aca="false">IFERROR(IF(OR($B96="",$C96=0,$C96=""),"",$I96+ROW()*0.0000001),"")</f>
        <v>0.56723894375</v>
      </c>
      <c r="M96" s="50" t="n">
        <f aca="false">$M$2</f>
        <v>0.9319</v>
      </c>
      <c r="N96" s="13" t="n">
        <f aca="false">IFERROR(IF($B96="","",$C96+$M96),"")</f>
        <v>69.243305</v>
      </c>
    </row>
    <row r="97" customFormat="false" ht="39" hidden="false" customHeight="true" outlineLevel="0" collapsed="false">
      <c r="A97" s="43" t="str">
        <f aca="false">IFERROR(IF(المنيو!$B97="","",المنيو!$A97),"")</f>
        <v>قسم الفطير الحادق الصيامي</v>
      </c>
      <c r="B97" s="43" t="str">
        <f aca="false">IFERROR(المنيو!$B97,"")</f>
        <v>فطيرة سوسيس صيامي وسط</v>
      </c>
      <c r="C97" s="13" t="n">
        <f aca="false">IFERROR(IF($B97="","",SUMIFS(الريسبي!$F$2:$F$1800,الريسبي!$A$2:$A$1800,$B97)),"")</f>
        <v>59.6984</v>
      </c>
      <c r="D97" s="44" t="n">
        <f aca="false">IFERROR(IF($B97="","",المنيو!$C97),"")</f>
        <v>110</v>
      </c>
      <c r="E97" s="12" t="n">
        <f aca="false">IFERROR(IF(OR($B97="",$D97=0,$D97=""),"",$N97/$D97),"")</f>
        <v>0.551184545454545</v>
      </c>
      <c r="F97" s="49" t="n">
        <f aca="false">$F$2</f>
        <v>0.375</v>
      </c>
      <c r="G97" s="13" t="n">
        <f aca="false">IFERROR(IF($B97="","",$N97/$F97),"")</f>
        <v>161.6808</v>
      </c>
      <c r="H97" s="13" t="n">
        <f aca="false">IFERROR(IF($B97="","",$D97-$N97),"")</f>
        <v>49.3697</v>
      </c>
      <c r="I97" s="12" t="n">
        <f aca="false">IFERROR(IF(OR($B97="",$D97=0,$D97=""),"",$H97/$D97),"")</f>
        <v>0.448815454545455</v>
      </c>
      <c r="J97" s="49" t="n">
        <f aca="false">$J$2</f>
        <v>0.25</v>
      </c>
      <c r="K97" s="12" t="n">
        <f aca="false">IFERROR(IF($B97="","",$E97+$J97),"")</f>
        <v>0.801184545454545</v>
      </c>
      <c r="L97" s="47" t="n">
        <f aca="false">IFERROR(IF(OR($B97="",$C97=0,$C97=""),"",$I97+ROW()*0.0000001),"")</f>
        <v>0.448825154545455</v>
      </c>
      <c r="M97" s="50" t="n">
        <f aca="false">$M$2</f>
        <v>0.9319</v>
      </c>
      <c r="N97" s="13" t="n">
        <f aca="false">IFERROR(IF($B97="","",$C97+$M97),"")</f>
        <v>60.6303</v>
      </c>
    </row>
    <row r="98" customFormat="false" ht="39" hidden="false" customHeight="true" outlineLevel="0" collapsed="false">
      <c r="A98" s="43" t="str">
        <f aca="false">IFERROR(IF(المنيو!$B98="","",المنيو!$A98),"")</f>
        <v>قسم الفطير الحادق الصيامي</v>
      </c>
      <c r="B98" s="43" t="str">
        <f aca="false">IFERROR(المنيو!$B98,"")</f>
        <v>فطيرة سوسيس صيامي مخصوص</v>
      </c>
      <c r="C98" s="13" t="n">
        <f aca="false">IFERROR(IF($B98="","",SUMIFS(الريسبي!$F$2:$F$1800,الريسبي!$A$2:$A$1800,$B98)),"")</f>
        <v>85.2346</v>
      </c>
      <c r="D98" s="44" t="n">
        <f aca="false">IFERROR(IF($B98="","",المنيو!$C98),"")</f>
        <v>180</v>
      </c>
      <c r="E98" s="12" t="n">
        <f aca="false">IFERROR(IF(OR($B98="",$D98=0,$D98=""),"",$N98/$D98),"")</f>
        <v>0.478702777777778</v>
      </c>
      <c r="F98" s="49" t="n">
        <f aca="false">$F$2</f>
        <v>0.375</v>
      </c>
      <c r="G98" s="13" t="n">
        <f aca="false">IFERROR(IF($B98="","",$N98/$F98),"")</f>
        <v>229.777333333333</v>
      </c>
      <c r="H98" s="13" t="n">
        <f aca="false">IFERROR(IF($B98="","",$D98-$N98),"")</f>
        <v>93.8335</v>
      </c>
      <c r="I98" s="12" t="n">
        <f aca="false">IFERROR(IF(OR($B98="",$D98=0,$D98=""),"",$H98/$D98),"")</f>
        <v>0.521297222222222</v>
      </c>
      <c r="J98" s="49" t="n">
        <f aca="false">$J$2</f>
        <v>0.25</v>
      </c>
      <c r="K98" s="12" t="n">
        <f aca="false">IFERROR(IF($B98="","",$E98+$J98),"")</f>
        <v>0.728702777777778</v>
      </c>
      <c r="L98" s="47" t="n">
        <f aca="false">IFERROR(IF(OR($B98="",$C98=0,$C98=""),"",$I98+ROW()*0.0000001),"")</f>
        <v>0.521307022222222</v>
      </c>
      <c r="M98" s="50" t="n">
        <f aca="false">$M$2</f>
        <v>0.9319</v>
      </c>
      <c r="N98" s="13" t="n">
        <f aca="false">IFERROR(IF($B98="","",$C98+$M98),"")</f>
        <v>86.1665</v>
      </c>
    </row>
    <row r="99" customFormat="false" ht="39" hidden="false" customHeight="true" outlineLevel="0" collapsed="false">
      <c r="A99" s="43" t="str">
        <f aca="false">IFERROR(IF(المنيو!$B99="","",المنيو!$A99),"")</f>
        <v>قسم الفطير الحادق الصيامي</v>
      </c>
      <c r="B99" s="43" t="str">
        <f aca="false">IFERROR(المنيو!$B99,"")</f>
        <v>فطيرة شاورما لحم / فراخ صيامي وسط</v>
      </c>
      <c r="C99" s="13" t="n">
        <f aca="false">IFERROR(IF($B99="","",SUMIFS(الريسبي!$F$2:$F$1800,الريسبي!$A$2:$A$1800,$B99)),"")</f>
        <v>63.9882</v>
      </c>
      <c r="D99" s="44" t="n">
        <f aca="false">IFERROR(IF($B99="","",المنيو!$C99),"")</f>
        <v>120</v>
      </c>
      <c r="E99" s="12" t="n">
        <f aca="false">IFERROR(IF(OR($B99="",$D99=0,$D99=""),"",$N99/$D99),"")</f>
        <v>0.541000833333333</v>
      </c>
      <c r="F99" s="49" t="n">
        <f aca="false">$F$2</f>
        <v>0.375</v>
      </c>
      <c r="G99" s="13" t="n">
        <f aca="false">IFERROR(IF($B99="","",$N99/$F99),"")</f>
        <v>173.120266666667</v>
      </c>
      <c r="H99" s="13" t="n">
        <f aca="false">IFERROR(IF($B99="","",$D99-$N99),"")</f>
        <v>55.0799</v>
      </c>
      <c r="I99" s="12" t="n">
        <f aca="false">IFERROR(IF(OR($B99="",$D99=0,$D99=""),"",$H99/$D99),"")</f>
        <v>0.458999166666667</v>
      </c>
      <c r="J99" s="49" t="n">
        <f aca="false">$J$2</f>
        <v>0.25</v>
      </c>
      <c r="K99" s="12" t="n">
        <f aca="false">IFERROR(IF($B99="","",$E99+$J99),"")</f>
        <v>0.791000833333333</v>
      </c>
      <c r="L99" s="47" t="n">
        <f aca="false">IFERROR(IF(OR($B99="",$C99=0,$C99=""),"",$I99+ROW()*0.0000001),"")</f>
        <v>0.459009066666667</v>
      </c>
      <c r="M99" s="50" t="n">
        <f aca="false">$M$2</f>
        <v>0.9319</v>
      </c>
      <c r="N99" s="13" t="n">
        <f aca="false">IFERROR(IF($B99="","",$C99+$M99),"")</f>
        <v>64.9201</v>
      </c>
    </row>
    <row r="100" customFormat="false" ht="39" hidden="false" customHeight="true" outlineLevel="0" collapsed="false">
      <c r="A100" s="43" t="str">
        <f aca="false">IFERROR(IF(المنيو!$B100="","",المنيو!$A100),"")</f>
        <v>قسم الفطير الحادق الصيامي</v>
      </c>
      <c r="B100" s="43" t="str">
        <f aca="false">IFERROR(المنيو!$B100,"")</f>
        <v>فطيرة شاورما لحم / فراخ صيامي مخصوص</v>
      </c>
      <c r="C100" s="13" t="n">
        <f aca="false">IFERROR(IF($B100="","",SUMIFS(الريسبي!$F$2:$F$1800,الريسبي!$A$2:$A$1800,$B100)),"")</f>
        <v>91.6693</v>
      </c>
      <c r="D100" s="44" t="n">
        <f aca="false">IFERROR(IF($B100="","",المنيو!$C100),"")</f>
        <v>190</v>
      </c>
      <c r="E100" s="12" t="n">
        <f aca="false">IFERROR(IF(OR($B100="",$D100=0,$D100=""),"",$N100/$D100),"")</f>
        <v>0.487374736842105</v>
      </c>
      <c r="F100" s="49" t="n">
        <f aca="false">$F$2</f>
        <v>0.375</v>
      </c>
      <c r="G100" s="13" t="n">
        <f aca="false">IFERROR(IF($B100="","",$N100/$F100),"")</f>
        <v>246.936533333333</v>
      </c>
      <c r="H100" s="13" t="n">
        <f aca="false">IFERROR(IF($B100="","",$D100-$N100),"")</f>
        <v>97.3988</v>
      </c>
      <c r="I100" s="12" t="n">
        <f aca="false">IFERROR(IF(OR($B100="",$D100=0,$D100=""),"",$H100/$D100),"")</f>
        <v>0.512625263157895</v>
      </c>
      <c r="J100" s="49" t="n">
        <f aca="false">$J$2</f>
        <v>0.25</v>
      </c>
      <c r="K100" s="12" t="n">
        <f aca="false">IFERROR(IF($B100="","",$E100+$J100),"")</f>
        <v>0.737374736842105</v>
      </c>
      <c r="L100" s="47" t="n">
        <f aca="false">IFERROR(IF(OR($B100="",$C100=0,$C100=""),"",$I100+ROW()*0.0000001),"")</f>
        <v>0.512635263157895</v>
      </c>
      <c r="M100" s="50" t="n">
        <f aca="false">$M$2</f>
        <v>0.9319</v>
      </c>
      <c r="N100" s="13" t="n">
        <f aca="false">IFERROR(IF($B100="","",$C100+$M100),"")</f>
        <v>92.6012</v>
      </c>
    </row>
    <row r="101" customFormat="false" ht="39" hidden="false" customHeight="true" outlineLevel="0" collapsed="false">
      <c r="A101" s="43" t="str">
        <f aca="false">IFERROR(IF(المنيو!$B101="","",المنيو!$A101),"")</f>
        <v>قسم الفطير الحادق الصيامي</v>
      </c>
      <c r="B101" s="43" t="str">
        <f aca="false">IFERROR(المنيو!$B101,"")</f>
        <v>فطيرة مشكل لحوم صيامي وسط</v>
      </c>
      <c r="C101" s="13" t="n">
        <f aca="false">IFERROR(IF($B101="","",SUMIFS(الريسبي!$F$2:$F$1800,الريسبي!$A$2:$A$1800,$B101)),"")</f>
        <v>61.8433</v>
      </c>
      <c r="D101" s="44" t="n">
        <f aca="false">IFERROR(IF($B101="","",المنيو!$C101),"")</f>
        <v>150</v>
      </c>
      <c r="E101" s="12" t="n">
        <f aca="false">IFERROR(IF(OR($B101="",$D101=0,$D101=""),"",$N101/$D101),"")</f>
        <v>0.418501333333333</v>
      </c>
      <c r="F101" s="49" t="n">
        <f aca="false">$F$2</f>
        <v>0.375</v>
      </c>
      <c r="G101" s="13" t="n">
        <f aca="false">IFERROR(IF($B101="","",$N101/$F101),"")</f>
        <v>167.400533333333</v>
      </c>
      <c r="H101" s="13" t="n">
        <f aca="false">IFERROR(IF($B101="","",$D101-$N101),"")</f>
        <v>87.2248</v>
      </c>
      <c r="I101" s="12" t="n">
        <f aca="false">IFERROR(IF(OR($B101="",$D101=0,$D101=""),"",$H101/$D101),"")</f>
        <v>0.581498666666667</v>
      </c>
      <c r="J101" s="49" t="n">
        <f aca="false">$J$2</f>
        <v>0.25</v>
      </c>
      <c r="K101" s="12" t="n">
        <f aca="false">IFERROR(IF($B101="","",$E101+$J101),"")</f>
        <v>0.668501333333333</v>
      </c>
      <c r="L101" s="47" t="n">
        <f aca="false">IFERROR(IF(OR($B101="",$C101=0,$C101=""),"",$I101+ROW()*0.0000001),"")</f>
        <v>0.581508766666667</v>
      </c>
      <c r="M101" s="50" t="n">
        <f aca="false">$M$2</f>
        <v>0.9319</v>
      </c>
      <c r="N101" s="13" t="n">
        <f aca="false">IFERROR(IF($B101="","",$C101+$M101),"")</f>
        <v>62.7752</v>
      </c>
    </row>
    <row r="102" customFormat="false" ht="39" hidden="false" customHeight="true" outlineLevel="0" collapsed="false">
      <c r="A102" s="43" t="str">
        <f aca="false">IFERROR(IF(المنيو!$B102="","",المنيو!$A102),"")</f>
        <v>قسم الفطير الحادق الصيامي</v>
      </c>
      <c r="B102" s="43" t="str">
        <f aca="false">IFERROR(المنيو!$B102,"")</f>
        <v>فطيرة مشكل لحوم صيامي مخصوص</v>
      </c>
      <c r="C102" s="13" t="n">
        <f aca="false">IFERROR(IF($B102="","",SUMIFS(الريسبي!$F$2:$F$1800,الريسبي!$A$2:$A$1800,$B102)),"")</f>
        <v>88.45195</v>
      </c>
      <c r="D102" s="44" t="n">
        <f aca="false">IFERROR(IF($B102="","",المنيو!$C102),"")</f>
        <v>210</v>
      </c>
      <c r="E102" s="12" t="n">
        <f aca="false">IFERROR(IF(OR($B102="",$D102=0,$D102=""),"",$N102/$D102),"")</f>
        <v>0.425637380952381</v>
      </c>
      <c r="F102" s="49" t="n">
        <f aca="false">$F$2</f>
        <v>0.375</v>
      </c>
      <c r="G102" s="13" t="n">
        <f aca="false">IFERROR(IF($B102="","",$N102/$F102),"")</f>
        <v>238.356933333333</v>
      </c>
      <c r="H102" s="13" t="n">
        <f aca="false">IFERROR(IF($B102="","",$D102-$N102),"")</f>
        <v>120.61615</v>
      </c>
      <c r="I102" s="12" t="n">
        <f aca="false">IFERROR(IF(OR($B102="",$D102=0,$D102=""),"",$H102/$D102),"")</f>
        <v>0.574362619047619</v>
      </c>
      <c r="J102" s="49" t="n">
        <f aca="false">$J$2</f>
        <v>0.25</v>
      </c>
      <c r="K102" s="12" t="n">
        <f aca="false">IFERROR(IF($B102="","",$E102+$J102),"")</f>
        <v>0.675637380952381</v>
      </c>
      <c r="L102" s="47" t="n">
        <f aca="false">IFERROR(IF(OR($B102="",$C102=0,$C102=""),"",$I102+ROW()*0.0000001),"")</f>
        <v>0.574372819047619</v>
      </c>
      <c r="M102" s="50" t="n">
        <f aca="false">$M$2</f>
        <v>0.9319</v>
      </c>
      <c r="N102" s="13" t="n">
        <f aca="false">IFERROR(IF($B102="","",$C102+$M102),"")</f>
        <v>89.38385</v>
      </c>
    </row>
    <row r="103" customFormat="false" ht="39" hidden="false" customHeight="true" outlineLevel="0" collapsed="false">
      <c r="A103" s="43" t="str">
        <f aca="false">IFERROR(IF(المنيو!$B103="","",المنيو!$A103),"")</f>
        <v>قسم الفطير الحادق الصيامي</v>
      </c>
      <c r="B103" s="43" t="str">
        <f aca="false">IFERROR(المنيو!$B103,"")</f>
        <v>فطيرة مشكل جبن صيامي وسط</v>
      </c>
      <c r="C103" s="13" t="n">
        <f aca="false">IFERROR(IF($B103="","",SUMIFS(الريسبي!$F$2:$F$1800,الريسبي!$A$2:$A$1800,$B103)),"")</f>
        <v>43.796</v>
      </c>
      <c r="D103" s="44" t="n">
        <f aca="false">IFERROR(IF($B103="","",المنيو!$C103),"")</f>
        <v>120</v>
      </c>
      <c r="E103" s="12" t="n">
        <f aca="false">IFERROR(IF(OR($B103="",$D103=0,$D103=""),"",$N103/$D103),"")</f>
        <v>0.3727325</v>
      </c>
      <c r="F103" s="49" t="n">
        <f aca="false">$F$2</f>
        <v>0.375</v>
      </c>
      <c r="G103" s="13" t="n">
        <f aca="false">IFERROR(IF($B103="","",$N103/$F103),"")</f>
        <v>119.2744</v>
      </c>
      <c r="H103" s="13" t="n">
        <f aca="false">IFERROR(IF($B103="","",$D103-$N103),"")</f>
        <v>75.2721</v>
      </c>
      <c r="I103" s="12" t="n">
        <f aca="false">IFERROR(IF(OR($B103="",$D103=0,$D103=""),"",$H103/$D103),"")</f>
        <v>0.6272675</v>
      </c>
      <c r="J103" s="49" t="n">
        <f aca="false">$J$2</f>
        <v>0.25</v>
      </c>
      <c r="K103" s="12" t="n">
        <f aca="false">IFERROR(IF($B103="","",$E103+$J103),"")</f>
        <v>0.6227325</v>
      </c>
      <c r="L103" s="47" t="n">
        <f aca="false">IFERROR(IF(OR($B103="",$C103=0,$C103=""),"",$I103+ROW()*0.0000001),"")</f>
        <v>0.6272778</v>
      </c>
      <c r="M103" s="50" t="n">
        <f aca="false">$M$2</f>
        <v>0.9319</v>
      </c>
      <c r="N103" s="13" t="n">
        <f aca="false">IFERROR(IF($B103="","",$C103+$M103),"")</f>
        <v>44.7279</v>
      </c>
    </row>
    <row r="104" customFormat="false" ht="39" hidden="false" customHeight="true" outlineLevel="0" collapsed="false">
      <c r="A104" s="43" t="str">
        <f aca="false">IFERROR(IF(المنيو!$B104="","",المنيو!$A104),"")</f>
        <v>قسم الفطير الحادق الصيامي</v>
      </c>
      <c r="B104" s="43" t="str">
        <f aca="false">IFERROR(المنيو!$B104,"")</f>
        <v>فطيرة مشكل جبن صيامي مخصوص</v>
      </c>
      <c r="C104" s="13" t="n">
        <f aca="false">IFERROR(IF($B104="","",SUMIFS(الريسبي!$F$2:$F$1800,الريسبي!$A$2:$A$1800,$B104)),"")</f>
        <v>61.381</v>
      </c>
      <c r="D104" s="44" t="n">
        <f aca="false">IFERROR(IF($B104="","",المنيو!$C104),"")</f>
        <v>180</v>
      </c>
      <c r="E104" s="12" t="n">
        <f aca="false">IFERROR(IF(OR($B104="",$D104=0,$D104=""),"",$N104/$D104),"")</f>
        <v>0.346182777777778</v>
      </c>
      <c r="F104" s="49" t="n">
        <f aca="false">$F$2</f>
        <v>0.375</v>
      </c>
      <c r="G104" s="13" t="n">
        <f aca="false">IFERROR(IF($B104="","",$N104/$F104),"")</f>
        <v>166.167733333333</v>
      </c>
      <c r="H104" s="13" t="n">
        <f aca="false">IFERROR(IF($B104="","",$D104-$N104),"")</f>
        <v>117.6871</v>
      </c>
      <c r="I104" s="12" t="n">
        <f aca="false">IFERROR(IF(OR($B104="",$D104=0,$D104=""),"",$H104/$D104),"")</f>
        <v>0.653817222222222</v>
      </c>
      <c r="J104" s="49" t="n">
        <f aca="false">$J$2</f>
        <v>0.25</v>
      </c>
      <c r="K104" s="12" t="n">
        <f aca="false">IFERROR(IF($B104="","",$E104+$J104),"")</f>
        <v>0.596182777777778</v>
      </c>
      <c r="L104" s="47" t="n">
        <f aca="false">IFERROR(IF(OR($B104="",$C104=0,$C104=""),"",$I104+ROW()*0.0000001),"")</f>
        <v>0.653827622222222</v>
      </c>
      <c r="M104" s="50" t="n">
        <f aca="false">$M$2</f>
        <v>0.9319</v>
      </c>
      <c r="N104" s="13" t="n">
        <f aca="false">IFERROR(IF($B104="","",$C104+$M104),"")</f>
        <v>62.3129</v>
      </c>
    </row>
    <row r="105" customFormat="false" ht="39" hidden="false" customHeight="true" outlineLevel="0" collapsed="false">
      <c r="A105" s="43" t="str">
        <f aca="false">IFERROR(IF(المنيو!$B105="","",المنيو!$A105),"")</f>
        <v>قسم الفطير الحادق الصيامي</v>
      </c>
      <c r="B105" s="43" t="str">
        <f aca="false">IFERROR(المنيو!$B105,"")</f>
        <v>فطيرة فراخ باربيكيو صيامي وسط</v>
      </c>
      <c r="C105" s="13" t="n">
        <f aca="false">IFERROR(IF($B105="","",SUMIFS(الريسبي!$F$2:$F$1800,الريسبي!$A$2:$A$1800,$B105)),"")</f>
        <v>66.8737</v>
      </c>
      <c r="D105" s="44" t="n">
        <f aca="false">IFERROR(IF($B105="","",المنيو!$C105),"")</f>
        <v>145</v>
      </c>
      <c r="E105" s="12" t="n">
        <f aca="false">IFERROR(IF(OR($B105="",$D105=0,$D105=""),"",$N105/$D105),"")</f>
        <v>0.467624827586207</v>
      </c>
      <c r="F105" s="49" t="n">
        <f aca="false">$F$2</f>
        <v>0.375</v>
      </c>
      <c r="G105" s="13" t="n">
        <f aca="false">IFERROR(IF($B105="","",$N105/$F105),"")</f>
        <v>180.814933333333</v>
      </c>
      <c r="H105" s="13" t="n">
        <f aca="false">IFERROR(IF($B105="","",$D105-$N105),"")</f>
        <v>77.1944</v>
      </c>
      <c r="I105" s="12" t="n">
        <f aca="false">IFERROR(IF(OR($B105="",$D105=0,$D105=""),"",$H105/$D105),"")</f>
        <v>0.532375172413793</v>
      </c>
      <c r="J105" s="49" t="n">
        <f aca="false">$J$2</f>
        <v>0.25</v>
      </c>
      <c r="K105" s="12" t="n">
        <f aca="false">IFERROR(IF($B105="","",$E105+$J105),"")</f>
        <v>0.717624827586207</v>
      </c>
      <c r="L105" s="47" t="n">
        <f aca="false">IFERROR(IF(OR($B105="",$C105=0,$C105=""),"",$I105+ROW()*0.0000001),"")</f>
        <v>0.532385672413793</v>
      </c>
      <c r="M105" s="50" t="n">
        <f aca="false">$M$2</f>
        <v>0.9319</v>
      </c>
      <c r="N105" s="13" t="n">
        <f aca="false">IFERROR(IF($B105="","",$C105+$M105),"")</f>
        <v>67.8056</v>
      </c>
    </row>
    <row r="106" customFormat="false" ht="39" hidden="false" customHeight="true" outlineLevel="0" collapsed="false">
      <c r="A106" s="43" t="str">
        <f aca="false">IFERROR(IF(المنيو!$B106="","",المنيو!$A106),"")</f>
        <v>قسم الفطير الحادق الصيامي</v>
      </c>
      <c r="B106" s="43" t="str">
        <f aca="false">IFERROR(المنيو!$B106,"")</f>
        <v>فطيرة فراخ باربيكيو صيامي مخصوص</v>
      </c>
      <c r="C106" s="13" t="n">
        <f aca="false">IFERROR(IF($B106="","",SUMIFS(الريسبي!$F$2:$F$1800,الريسبي!$A$2:$A$1800,$B106)),"")</f>
        <v>93.2087</v>
      </c>
      <c r="D106" s="44" t="n">
        <f aca="false">IFERROR(IF($B106="","",المنيو!$C106),"")</f>
        <v>220</v>
      </c>
      <c r="E106" s="12" t="n">
        <f aca="false">IFERROR(IF(OR($B106="",$D106=0,$D106=""),"",$N106/$D106),"")</f>
        <v>0.427911818181818</v>
      </c>
      <c r="F106" s="49" t="n">
        <f aca="false">$F$2</f>
        <v>0.375</v>
      </c>
      <c r="G106" s="13" t="n">
        <f aca="false">IFERROR(IF($B106="","",$N106/$F106),"")</f>
        <v>251.0416</v>
      </c>
      <c r="H106" s="13" t="n">
        <f aca="false">IFERROR(IF($B106="","",$D106-$N106),"")</f>
        <v>125.8594</v>
      </c>
      <c r="I106" s="12" t="n">
        <f aca="false">IFERROR(IF(OR($B106="",$D106=0,$D106=""),"",$H106/$D106),"")</f>
        <v>0.572088181818182</v>
      </c>
      <c r="J106" s="49" t="n">
        <f aca="false">$J$2</f>
        <v>0.25</v>
      </c>
      <c r="K106" s="12" t="n">
        <f aca="false">IFERROR(IF($B106="","",$E106+$J106),"")</f>
        <v>0.677911818181818</v>
      </c>
      <c r="L106" s="47" t="n">
        <f aca="false">IFERROR(IF(OR($B106="",$C106=0,$C106=""),"",$I106+ROW()*0.0000001),"")</f>
        <v>0.572098781818182</v>
      </c>
      <c r="M106" s="50" t="n">
        <f aca="false">$M$2</f>
        <v>0.9319</v>
      </c>
      <c r="N106" s="13" t="n">
        <f aca="false">IFERROR(IF($B106="","",$C106+$M106),"")</f>
        <v>94.1406</v>
      </c>
    </row>
    <row r="107" customFormat="false" ht="39" hidden="false" customHeight="true" outlineLevel="0" collapsed="false">
      <c r="A107" s="43" t="str">
        <f aca="false">IFERROR(IF(المنيو!$B107="","",المنيو!$A107),"")</f>
        <v>قسم الفطير الحادق الصيامي</v>
      </c>
      <c r="B107" s="43" t="str">
        <f aca="false">IFERROR(المنيو!$B107,"")</f>
        <v>فطيرة جمبري صيامي وسط</v>
      </c>
      <c r="C107" s="13" t="n">
        <f aca="false">IFERROR(IF($B107="","",SUMIFS(الريسبي!$F$2:$F$1800,الريسبي!$A$2:$A$1800,$B107)),"")</f>
        <v>128.296</v>
      </c>
      <c r="D107" s="44" t="n">
        <f aca="false">IFERROR(IF($B107="","",المنيو!$C107),"")</f>
        <v>230</v>
      </c>
      <c r="E107" s="12" t="n">
        <f aca="false">IFERROR(IF(OR($B107="",$D107=0,$D107=""),"",$N107/$D107),"")</f>
        <v>0.561860434782609</v>
      </c>
      <c r="F107" s="49" t="n">
        <f aca="false">$F$2</f>
        <v>0.375</v>
      </c>
      <c r="G107" s="13" t="n">
        <f aca="false">IFERROR(IF($B107="","",$N107/$F107),"")</f>
        <v>344.607733333333</v>
      </c>
      <c r="H107" s="13" t="n">
        <f aca="false">IFERROR(IF($B107="","",$D107-$N107),"")</f>
        <v>100.7721</v>
      </c>
      <c r="I107" s="12" t="n">
        <f aca="false">IFERROR(IF(OR($B107="",$D107=0,$D107=""),"",$H107/$D107),"")</f>
        <v>0.438139565217391</v>
      </c>
      <c r="J107" s="49" t="n">
        <f aca="false">$J$2</f>
        <v>0.25</v>
      </c>
      <c r="K107" s="12" t="n">
        <f aca="false">IFERROR(IF($B107="","",$E107+$J107),"")</f>
        <v>0.811860434782609</v>
      </c>
      <c r="L107" s="47" t="n">
        <f aca="false">IFERROR(IF(OR($B107="",$C107=0,$C107=""),"",$I107+ROW()*0.0000001),"")</f>
        <v>0.438150265217391</v>
      </c>
      <c r="M107" s="50" t="n">
        <f aca="false">$M$2</f>
        <v>0.9319</v>
      </c>
      <c r="N107" s="13" t="n">
        <f aca="false">IFERROR(IF($B107="","",$C107+$M107),"")</f>
        <v>129.2279</v>
      </c>
    </row>
    <row r="108" customFormat="false" ht="39" hidden="false" customHeight="true" outlineLevel="0" collapsed="false">
      <c r="A108" s="43" t="str">
        <f aca="false">IFERROR(IF(المنيو!$B108="","",المنيو!$A108),"")</f>
        <v>قسم الفطير الحادق الصيامي</v>
      </c>
      <c r="B108" s="43" t="str">
        <f aca="false">IFERROR(المنيو!$B108,"")</f>
        <v>فطيرة جمبري صيامي مخصوص</v>
      </c>
      <c r="C108" s="13" t="n">
        <f aca="false">IFERROR(IF($B108="","",SUMIFS(الريسبي!$F$2:$F$1800,الريسبي!$A$2:$A$1800,$B108)),"")</f>
        <v>188.131</v>
      </c>
      <c r="D108" s="44" t="n">
        <f aca="false">IFERROR(IF($B108="","",المنيو!$C108),"")</f>
        <v>350</v>
      </c>
      <c r="E108" s="12" t="n">
        <f aca="false">IFERROR(IF(OR($B108="",$D108=0,$D108=""),"",$N108/$D108),"")</f>
        <v>0.540179714285714</v>
      </c>
      <c r="F108" s="49" t="n">
        <f aca="false">$F$2</f>
        <v>0.375</v>
      </c>
      <c r="G108" s="13" t="n">
        <f aca="false">IFERROR(IF($B108="","",$N108/$F108),"")</f>
        <v>504.167733333333</v>
      </c>
      <c r="H108" s="13" t="n">
        <f aca="false">IFERROR(IF($B108="","",$D108-$N108),"")</f>
        <v>160.9371</v>
      </c>
      <c r="I108" s="12" t="n">
        <f aca="false">IFERROR(IF(OR($B108="",$D108=0,$D108=""),"",$H108/$D108),"")</f>
        <v>0.459820285714286</v>
      </c>
      <c r="J108" s="49" t="n">
        <f aca="false">$J$2</f>
        <v>0.25</v>
      </c>
      <c r="K108" s="12" t="n">
        <f aca="false">IFERROR(IF($B108="","",$E108+$J108),"")</f>
        <v>0.790179714285714</v>
      </c>
      <c r="L108" s="47" t="n">
        <f aca="false">IFERROR(IF(OR($B108="",$C108=0,$C108=""),"",$I108+ROW()*0.0000001),"")</f>
        <v>0.459831085714286</v>
      </c>
      <c r="M108" s="50" t="n">
        <f aca="false">$M$2</f>
        <v>0.9319</v>
      </c>
      <c r="N108" s="13" t="n">
        <f aca="false">IFERROR(IF($B108="","",$C108+$M108),"")</f>
        <v>189.0629</v>
      </c>
    </row>
    <row r="109" customFormat="false" ht="39" hidden="false" customHeight="true" outlineLevel="0" collapsed="false">
      <c r="A109" s="43" t="str">
        <f aca="false">IFERROR(IF(المنيو!$B109="","",المنيو!$A109),"")</f>
        <v>قسم الفطير الحادق الصيامي</v>
      </c>
      <c r="B109" s="43" t="str">
        <f aca="false">IFERROR(المنيو!$B109,"")</f>
        <v>فطيرة تونة صيامي وسط</v>
      </c>
      <c r="C109" s="13" t="n">
        <f aca="false">IFERROR(IF($B109="","",SUMIFS(الريسبي!$F$2:$F$1800,الريسبي!$A$2:$A$1800,$B109)),"")</f>
        <v>75.326</v>
      </c>
      <c r="D109" s="44" t="n">
        <f aca="false">IFERROR(IF($B109="","",المنيو!$C109),"")</f>
        <v>170</v>
      </c>
      <c r="E109" s="12" t="n">
        <f aca="false">IFERROR(IF(OR($B109="",$D109=0,$D109=""),"",$N109/$D109),"")</f>
        <v>0.448575882352941</v>
      </c>
      <c r="F109" s="49" t="n">
        <f aca="false">$F$2</f>
        <v>0.375</v>
      </c>
      <c r="G109" s="13" t="n">
        <f aca="false">IFERROR(IF($B109="","",$N109/$F109),"")</f>
        <v>203.3544</v>
      </c>
      <c r="H109" s="13" t="n">
        <f aca="false">IFERROR(IF($B109="","",$D109-$N109),"")</f>
        <v>93.7421</v>
      </c>
      <c r="I109" s="12" t="n">
        <f aca="false">IFERROR(IF(OR($B109="",$D109=0,$D109=""),"",$H109/$D109),"")</f>
        <v>0.551424117647059</v>
      </c>
      <c r="J109" s="49" t="n">
        <f aca="false">$J$2</f>
        <v>0.25</v>
      </c>
      <c r="K109" s="12" t="n">
        <f aca="false">IFERROR(IF($B109="","",$E109+$J109),"")</f>
        <v>0.698575882352941</v>
      </c>
      <c r="L109" s="47" t="n">
        <f aca="false">IFERROR(IF(OR($B109="",$C109=0,$C109=""),"",$I109+ROW()*0.0000001),"")</f>
        <v>0.551435017647059</v>
      </c>
      <c r="M109" s="50" t="n">
        <f aca="false">$M$2</f>
        <v>0.9319</v>
      </c>
      <c r="N109" s="13" t="n">
        <f aca="false">IFERROR(IF($B109="","",$C109+$M109),"")</f>
        <v>76.2579</v>
      </c>
    </row>
    <row r="110" customFormat="false" ht="39" hidden="false" customHeight="true" outlineLevel="0" collapsed="false">
      <c r="A110" s="43" t="str">
        <f aca="false">IFERROR(IF(المنيو!$B110="","",المنيو!$A110),"")</f>
        <v>قسم الفطير الحادق الصيامي</v>
      </c>
      <c r="B110" s="43" t="str">
        <f aca="false">IFERROR(المنيو!$B110,"")</f>
        <v>فطيرة تونة صيامي مخصوص</v>
      </c>
      <c r="C110" s="13" t="n">
        <f aca="false">IFERROR(IF($B110="","",SUMIFS(الريسبي!$F$2:$F$1800,الريسبي!$A$2:$A$1800,$B110)),"")</f>
        <v>108.676</v>
      </c>
      <c r="D110" s="44" t="n">
        <f aca="false">IFERROR(IF($B110="","",المنيو!$C110),"")</f>
        <v>240</v>
      </c>
      <c r="E110" s="12" t="n">
        <f aca="false">IFERROR(IF(OR($B110="",$D110=0,$D110=""),"",$N110/$D110),"")</f>
        <v>0.456699583333333</v>
      </c>
      <c r="F110" s="49" t="n">
        <f aca="false">$F$2</f>
        <v>0.375</v>
      </c>
      <c r="G110" s="13" t="n">
        <f aca="false">IFERROR(IF($B110="","",$N110/$F110),"")</f>
        <v>292.287733333333</v>
      </c>
      <c r="H110" s="13" t="n">
        <f aca="false">IFERROR(IF($B110="","",$D110-$N110),"")</f>
        <v>130.3921</v>
      </c>
      <c r="I110" s="12" t="n">
        <f aca="false">IFERROR(IF(OR($B110="",$D110=0,$D110=""),"",$H110/$D110),"")</f>
        <v>0.543300416666667</v>
      </c>
      <c r="J110" s="49" t="n">
        <f aca="false">$J$2</f>
        <v>0.25</v>
      </c>
      <c r="K110" s="12" t="n">
        <f aca="false">IFERROR(IF($B110="","",$E110+$J110),"")</f>
        <v>0.706699583333333</v>
      </c>
      <c r="L110" s="47" t="n">
        <f aca="false">IFERROR(IF(OR($B110="",$C110=0,$C110=""),"",$I110+ROW()*0.0000001),"")</f>
        <v>0.543311416666667</v>
      </c>
      <c r="M110" s="50" t="n">
        <f aca="false">$M$2</f>
        <v>0.9319</v>
      </c>
      <c r="N110" s="13" t="n">
        <f aca="false">IFERROR(IF($B110="","",$C110+$M110),"")</f>
        <v>109.6079</v>
      </c>
    </row>
    <row r="111" customFormat="false" ht="39" hidden="false" customHeight="true" outlineLevel="0" collapsed="false">
      <c r="A111" s="43" t="str">
        <f aca="false">IFERROR(IF(المنيو!$B111="","",المنيو!$A111),"")</f>
        <v>قسم الفطير الحلو الصيامي</v>
      </c>
      <c r="B111" s="43" t="str">
        <f aca="false">IFERROR(المنيو!$B111,"")</f>
        <v>فطيرة سكر / كاستر صيامي</v>
      </c>
      <c r="C111" s="13" t="n">
        <f aca="false">IFERROR(IF($B111="","",SUMIFS(الريسبي!$F$2:$F$1800,الريسبي!$A$2:$A$1800,$B111)),"")</f>
        <v>14.90847</v>
      </c>
      <c r="D111" s="44" t="n">
        <f aca="false">IFERROR(IF($B111="","",المنيو!$C111),"")</f>
        <v>40</v>
      </c>
      <c r="E111" s="12" t="n">
        <f aca="false">IFERROR(IF(OR($B111="",$D111=0,$D111=""),"",$N111/$D111),"")</f>
        <v>0.39600925</v>
      </c>
      <c r="F111" s="49" t="n">
        <f aca="false">$F$2</f>
        <v>0.375</v>
      </c>
      <c r="G111" s="13" t="n">
        <f aca="false">IFERROR(IF($B111="","",$N111/$F111),"")</f>
        <v>42.2409866666667</v>
      </c>
      <c r="H111" s="13" t="n">
        <f aca="false">IFERROR(IF($B111="","",$D111-$N111),"")</f>
        <v>24.15963</v>
      </c>
      <c r="I111" s="12" t="n">
        <f aca="false">IFERROR(IF(OR($B111="",$D111=0,$D111=""),"",$H111/$D111),"")</f>
        <v>0.60399075</v>
      </c>
      <c r="J111" s="49" t="n">
        <f aca="false">$J$2</f>
        <v>0.25</v>
      </c>
      <c r="K111" s="12" t="n">
        <f aca="false">IFERROR(IF($B111="","",$E111+$J111),"")</f>
        <v>0.64600925</v>
      </c>
      <c r="L111" s="47" t="n">
        <f aca="false">IFERROR(IF(OR($B111="",$C111=0,$C111=""),"",$I111+ROW()*0.0000001),"")</f>
        <v>0.60400185</v>
      </c>
      <c r="M111" s="50" t="n">
        <f aca="false">$M$2</f>
        <v>0.9319</v>
      </c>
      <c r="N111" s="13" t="n">
        <f aca="false">IFERROR(IF($B111="","",$C111+$M111),"")</f>
        <v>15.84037</v>
      </c>
    </row>
    <row r="112" customFormat="false" ht="39" hidden="false" customHeight="true" outlineLevel="0" collapsed="false">
      <c r="A112" s="43" t="str">
        <f aca="false">IFERROR(IF(المنيو!$B112="","",المنيو!$A112),"")</f>
        <v>قسم الفطير الحلو الصيامي</v>
      </c>
      <c r="B112" s="43" t="str">
        <f aca="false">IFERROR(المنيو!$B112,"")</f>
        <v>فطيرة ملوكي زبيب وجوزهند صيامي</v>
      </c>
      <c r="C112" s="13" t="n">
        <f aca="false">IFERROR(IF($B112="","",SUMIFS(الريسبي!$F$2:$F$1800,الريسبي!$A$2:$A$1800,$B112)),"")</f>
        <v>35.37407</v>
      </c>
      <c r="D112" s="44" t="n">
        <f aca="false">IFERROR(IF($B112="","",المنيو!$C112),"")</f>
        <v>60</v>
      </c>
      <c r="E112" s="12" t="n">
        <f aca="false">IFERROR(IF(OR($B112="",$D112=0,$D112=""),"",$N112/$D112),"")</f>
        <v>0.6050995</v>
      </c>
      <c r="F112" s="49" t="n">
        <f aca="false">$F$2</f>
        <v>0.375</v>
      </c>
      <c r="G112" s="13" t="n">
        <f aca="false">IFERROR(IF($B112="","",$N112/$F112),"")</f>
        <v>96.81592</v>
      </c>
      <c r="H112" s="13" t="n">
        <f aca="false">IFERROR(IF($B112="","",$D112-$N112),"")</f>
        <v>23.69403</v>
      </c>
      <c r="I112" s="12" t="n">
        <f aca="false">IFERROR(IF(OR($B112="",$D112=0,$D112=""),"",$H112/$D112),"")</f>
        <v>0.3949005</v>
      </c>
      <c r="J112" s="49" t="n">
        <f aca="false">$J$2</f>
        <v>0.25</v>
      </c>
      <c r="K112" s="12" t="n">
        <f aca="false">IFERROR(IF($B112="","",$E112+$J112),"")</f>
        <v>0.8550995</v>
      </c>
      <c r="L112" s="47" t="n">
        <f aca="false">IFERROR(IF(OR($B112="",$C112=0,$C112=""),"",$I112+ROW()*0.0000001),"")</f>
        <v>0.3949117</v>
      </c>
      <c r="M112" s="50" t="n">
        <f aca="false">$M$2</f>
        <v>0.9319</v>
      </c>
      <c r="N112" s="13" t="n">
        <f aca="false">IFERROR(IF($B112="","",$C112+$M112),"")</f>
        <v>36.30597</v>
      </c>
    </row>
    <row r="113" customFormat="false" ht="39" hidden="false" customHeight="true" outlineLevel="0" collapsed="false">
      <c r="A113" s="43" t="str">
        <f aca="false">IFERROR(IF(المنيو!$B113="","",المنيو!$A113),"")</f>
        <v>قسم الفطير الحلو الصيامي</v>
      </c>
      <c r="B113" s="43" t="str">
        <f aca="false">IFERROR(المنيو!$B113,"")</f>
        <v>فطيرة شيكولاتة صيامي</v>
      </c>
      <c r="C113" s="13" t="n">
        <f aca="false">IFERROR(IF($B113="","",SUMIFS(الريسبي!$F$2:$F$1800,الريسبي!$A$2:$A$1800,$B113)),"")</f>
        <v>42.661</v>
      </c>
      <c r="D113" s="44" t="n">
        <f aca="false">IFERROR(IF($B113="","",المنيو!$C113),"")</f>
        <v>90</v>
      </c>
      <c r="E113" s="12" t="n">
        <f aca="false">IFERROR(IF(OR($B113="",$D113=0,$D113=""),"",$N113/$D113),"")</f>
        <v>0.484365555555556</v>
      </c>
      <c r="F113" s="49" t="n">
        <f aca="false">$F$2</f>
        <v>0.375</v>
      </c>
      <c r="G113" s="13" t="n">
        <f aca="false">IFERROR(IF($B113="","",$N113/$F113),"")</f>
        <v>116.247733333333</v>
      </c>
      <c r="H113" s="13" t="n">
        <f aca="false">IFERROR(IF($B113="","",$D113-$N113),"")</f>
        <v>46.4071</v>
      </c>
      <c r="I113" s="12" t="n">
        <f aca="false">IFERROR(IF(OR($B113="",$D113=0,$D113=""),"",$H113/$D113),"")</f>
        <v>0.515634444444444</v>
      </c>
      <c r="J113" s="49" t="n">
        <f aca="false">$J$2</f>
        <v>0.25</v>
      </c>
      <c r="K113" s="12" t="n">
        <f aca="false">IFERROR(IF($B113="","",$E113+$J113),"")</f>
        <v>0.734365555555556</v>
      </c>
      <c r="L113" s="47" t="n">
        <f aca="false">IFERROR(IF(OR($B113="",$C113=0,$C113=""),"",$I113+ROW()*0.0000001),"")</f>
        <v>0.515645744444444</v>
      </c>
      <c r="M113" s="50" t="n">
        <f aca="false">$M$2</f>
        <v>0.9319</v>
      </c>
      <c r="N113" s="13" t="n">
        <f aca="false">IFERROR(IF($B113="","",$C113+$M113),"")</f>
        <v>43.5929</v>
      </c>
    </row>
    <row r="114" customFormat="false" ht="39" hidden="false" customHeight="true" outlineLevel="0" collapsed="false">
      <c r="A114" s="43" t="str">
        <f aca="false">IFERROR(IF(المنيو!$B114="","",المنيو!$A114),"")</f>
        <v>قسم الفطير الحلو الصيامي</v>
      </c>
      <c r="B114" s="43" t="str">
        <f aca="false">IFERROR(المنيو!$B114,"")</f>
        <v>فطيرة لوتس صيامي</v>
      </c>
      <c r="C114" s="13" t="n">
        <f aca="false">IFERROR(IF($B114="","",SUMIFS(الريسبي!$F$2:$F$1800,الريسبي!$A$2:$A$1800,$B114)),"")</f>
        <v>42.3526</v>
      </c>
      <c r="D114" s="44" t="n">
        <f aca="false">IFERROR(IF($B114="","",المنيو!$C114),"")</f>
        <v>130</v>
      </c>
      <c r="E114" s="12" t="n">
        <f aca="false">IFERROR(IF(OR($B114="",$D114=0,$D114=""),"",$N114/$D114),"")</f>
        <v>0.332957692307692</v>
      </c>
      <c r="F114" s="49" t="n">
        <f aca="false">$F$2</f>
        <v>0.375</v>
      </c>
      <c r="G114" s="13" t="n">
        <f aca="false">IFERROR(IF($B114="","",$N114/$F114),"")</f>
        <v>115.425333333333</v>
      </c>
      <c r="H114" s="13" t="n">
        <f aca="false">IFERROR(IF($B114="","",$D114-$N114),"")</f>
        <v>86.7155</v>
      </c>
      <c r="I114" s="12" t="n">
        <f aca="false">IFERROR(IF(OR($B114="",$D114=0,$D114=""),"",$H114/$D114),"")</f>
        <v>0.667042307692308</v>
      </c>
      <c r="J114" s="49" t="n">
        <f aca="false">$J$2</f>
        <v>0.25</v>
      </c>
      <c r="K114" s="12" t="n">
        <f aca="false">IFERROR(IF($B114="","",$E114+$J114),"")</f>
        <v>0.582957692307692</v>
      </c>
      <c r="L114" s="47" t="n">
        <f aca="false">IFERROR(IF(OR($B114="",$C114=0,$C114=""),"",$I114+ROW()*0.0000001),"")</f>
        <v>0.667053707692308</v>
      </c>
      <c r="M114" s="50" t="n">
        <f aca="false">$M$2</f>
        <v>0.9319</v>
      </c>
      <c r="N114" s="13" t="n">
        <f aca="false">IFERROR(IF($B114="","",$C114+$M114),"")</f>
        <v>43.2845</v>
      </c>
    </row>
    <row r="115" customFormat="false" ht="39" hidden="false" customHeight="true" outlineLevel="0" collapsed="false">
      <c r="A115" s="43" t="str">
        <f aca="false">IFERROR(IF(المنيو!$B115="","",المنيو!$A115),"")</f>
        <v>قسم البرجر الصيامي</v>
      </c>
      <c r="B115" s="43" t="str">
        <f aca="false">IFERROR(المنيو!$B115,"")</f>
        <v>قنبلة برجر صيامي</v>
      </c>
      <c r="C115" s="13" t="n">
        <f aca="false">IFERROR(IF($B115="","",SUMIFS(الريسبي!$F$2:$F$1800,الريسبي!$A$2:$A$1800,$B115)),"")</f>
        <v>59.976</v>
      </c>
      <c r="D115" s="44" t="n">
        <f aca="false">IFERROR(IF($B115="","",المنيو!$C115),"")</f>
        <v>150</v>
      </c>
      <c r="E115" s="12" t="n">
        <f aca="false">IFERROR(IF(OR($B115="",$D115=0,$D115=""),"",$N115/$D115),"")</f>
        <v>0.406052666666667</v>
      </c>
      <c r="F115" s="49" t="n">
        <f aca="false">$F$2</f>
        <v>0.375</v>
      </c>
      <c r="G115" s="13" t="n">
        <f aca="false">IFERROR(IF($B115="","",$N115/$F115),"")</f>
        <v>162.421066666667</v>
      </c>
      <c r="H115" s="13" t="n">
        <f aca="false">IFERROR(IF($B115="","",$D115-$N115),"")</f>
        <v>89.0921</v>
      </c>
      <c r="I115" s="12" t="n">
        <f aca="false">IFERROR(IF(OR($B115="",$D115=0,$D115=""),"",$H115/$D115),"")</f>
        <v>0.593947333333333</v>
      </c>
      <c r="J115" s="49" t="n">
        <f aca="false">$J$2</f>
        <v>0.25</v>
      </c>
      <c r="K115" s="12" t="n">
        <f aca="false">IFERROR(IF($B115="","",$E115+$J115),"")</f>
        <v>0.656052666666667</v>
      </c>
      <c r="L115" s="47" t="n">
        <f aca="false">IFERROR(IF(OR($B115="",$C115=0,$C115=""),"",$I115+ROW()*0.0000001),"")</f>
        <v>0.593958833333333</v>
      </c>
      <c r="M115" s="50" t="n">
        <f aca="false">$M$2</f>
        <v>0.9319</v>
      </c>
      <c r="N115" s="13" t="n">
        <f aca="false">IFERROR(IF($B115="","",$C115+$M115),"")</f>
        <v>60.9079</v>
      </c>
    </row>
    <row r="116" customFormat="false" ht="39" hidden="false" customHeight="true" outlineLevel="0" collapsed="false">
      <c r="A116" s="43" t="str">
        <f aca="false">IFERROR(IF(المنيو!$B116="","",المنيو!$A116),"")</f>
        <v>قسم البرجر الصيامي</v>
      </c>
      <c r="B116" s="43" t="str">
        <f aca="false">IFERROR(المنيو!$B116,"")</f>
        <v>قنبلة كريسبي صيامي</v>
      </c>
      <c r="C116" s="13" t="n">
        <f aca="false">IFERROR(IF($B116="","",SUMIFS(الريسبي!$F$2:$F$1800,الريسبي!$A$2:$A$1800,$B116)),"")</f>
        <v>66.8037</v>
      </c>
      <c r="D116" s="44" t="n">
        <f aca="false">IFERROR(IF($B116="","",المنيو!$C116),"")</f>
        <v>150</v>
      </c>
      <c r="E116" s="12" t="n">
        <f aca="false">IFERROR(IF(OR($B116="",$D116=0,$D116=""),"",$N116/$D116),"")</f>
        <v>0.451570666666667</v>
      </c>
      <c r="F116" s="49" t="n">
        <f aca="false">$F$2</f>
        <v>0.375</v>
      </c>
      <c r="G116" s="13" t="n">
        <f aca="false">IFERROR(IF($B116="","",$N116/$F116),"")</f>
        <v>180.628266666667</v>
      </c>
      <c r="H116" s="13" t="n">
        <f aca="false">IFERROR(IF($B116="","",$D116-$N116),"")</f>
        <v>82.2644</v>
      </c>
      <c r="I116" s="12" t="n">
        <f aca="false">IFERROR(IF(OR($B116="",$D116=0,$D116=""),"",$H116/$D116),"")</f>
        <v>0.548429333333333</v>
      </c>
      <c r="J116" s="49" t="n">
        <f aca="false">$J$2</f>
        <v>0.25</v>
      </c>
      <c r="K116" s="12" t="n">
        <f aca="false">IFERROR(IF($B116="","",$E116+$J116),"")</f>
        <v>0.701570666666667</v>
      </c>
      <c r="L116" s="47" t="n">
        <f aca="false">IFERROR(IF(OR($B116="",$C116=0,$C116=""),"",$I116+ROW()*0.0000001),"")</f>
        <v>0.548440933333333</v>
      </c>
      <c r="M116" s="50" t="n">
        <f aca="false">$M$2</f>
        <v>0.9319</v>
      </c>
      <c r="N116" s="13" t="n">
        <f aca="false">IFERROR(IF($B116="","",$C116+$M116),"")</f>
        <v>67.7356</v>
      </c>
    </row>
    <row r="117" customFormat="false" ht="39" hidden="false" customHeight="true" outlineLevel="0" collapsed="false">
      <c r="A117" s="43" t="str">
        <f aca="false">IFERROR(IF(المنيو!$B117="","",المنيو!$A117),"")</f>
        <v>قسم البرجر الصيامي</v>
      </c>
      <c r="B117" s="43" t="str">
        <f aca="false">IFERROR(المنيو!$B117,"")</f>
        <v>بهججة بيتزا برجر صيامي</v>
      </c>
      <c r="C117" s="13" t="n">
        <f aca="false">IFERROR(IF($B117="","",SUMIFS(الريسبي!$F$2:$F$1800,الريسبي!$A$2:$A$1800,$B117)),"")</f>
        <v>68.726</v>
      </c>
      <c r="D117" s="44" t="n">
        <f aca="false">IFERROR(IF($B117="","",المنيو!$C117),"")</f>
        <v>160</v>
      </c>
      <c r="E117" s="12" t="n">
        <f aca="false">IFERROR(IF(OR($B117="",$D117=0,$D117=""),"",$N117/$D117),"")</f>
        <v>0.435361875</v>
      </c>
      <c r="F117" s="49" t="n">
        <f aca="false">$F$2</f>
        <v>0.375</v>
      </c>
      <c r="G117" s="13" t="n">
        <f aca="false">IFERROR(IF($B117="","",$N117/$F117),"")</f>
        <v>185.7544</v>
      </c>
      <c r="H117" s="13" t="n">
        <f aca="false">IFERROR(IF($B117="","",$D117-$N117),"")</f>
        <v>90.3421</v>
      </c>
      <c r="I117" s="12" t="n">
        <f aca="false">IFERROR(IF(OR($B117="",$D117=0,$D117=""),"",$H117/$D117),"")</f>
        <v>0.564638125</v>
      </c>
      <c r="J117" s="49" t="n">
        <f aca="false">$J$2</f>
        <v>0.25</v>
      </c>
      <c r="K117" s="12" t="n">
        <f aca="false">IFERROR(IF($B117="","",$E117+$J117),"")</f>
        <v>0.685361875</v>
      </c>
      <c r="L117" s="47" t="n">
        <f aca="false">IFERROR(IF(OR($B117="",$C117=0,$C117=""),"",$I117+ROW()*0.0000001),"")</f>
        <v>0.564649825</v>
      </c>
      <c r="M117" s="50" t="n">
        <f aca="false">$M$2</f>
        <v>0.9319</v>
      </c>
      <c r="N117" s="13" t="n">
        <f aca="false">IFERROR(IF($B117="","",$C117+$M117),"")</f>
        <v>69.6579</v>
      </c>
    </row>
    <row r="118" customFormat="false" ht="39" hidden="false" customHeight="true" outlineLevel="0" collapsed="false">
      <c r="A118" s="43" t="str">
        <f aca="false">IFERROR(IF(المنيو!$B118="","",المنيو!$A118),"")</f>
        <v>قسم البرجر الصيامي</v>
      </c>
      <c r="B118" s="43" t="str">
        <f aca="false">IFERROR(المنيو!$B118,"")</f>
        <v>بهججة كريسبي صيامي</v>
      </c>
      <c r="C118" s="13" t="n">
        <f aca="false">IFERROR(IF($B118="","",SUMIFS(الريسبي!$F$2:$F$1800,الريسبي!$A$2:$A$1800,$B118)),"")</f>
        <v>75.5537</v>
      </c>
      <c r="D118" s="44" t="n">
        <f aca="false">IFERROR(IF($B118="","",المنيو!$C118),"")</f>
        <v>160</v>
      </c>
      <c r="E118" s="12" t="n">
        <f aca="false">IFERROR(IF(OR($B118="",$D118=0,$D118=""),"",$N118/$D118),"")</f>
        <v>0.478035</v>
      </c>
      <c r="F118" s="49" t="n">
        <f aca="false">$F$2</f>
        <v>0.375</v>
      </c>
      <c r="G118" s="13" t="n">
        <f aca="false">IFERROR(IF($B118="","",$N118/$F118),"")</f>
        <v>203.9616</v>
      </c>
      <c r="H118" s="13" t="n">
        <f aca="false">IFERROR(IF($B118="","",$D118-$N118),"")</f>
        <v>83.5144</v>
      </c>
      <c r="I118" s="12" t="n">
        <f aca="false">IFERROR(IF(OR($B118="",$D118=0,$D118=""),"",$H118/$D118),"")</f>
        <v>0.521965</v>
      </c>
      <c r="J118" s="49" t="n">
        <f aca="false">$J$2</f>
        <v>0.25</v>
      </c>
      <c r="K118" s="12" t="n">
        <f aca="false">IFERROR(IF($B118="","",$E118+$J118),"")</f>
        <v>0.728035</v>
      </c>
      <c r="L118" s="47" t="n">
        <f aca="false">IFERROR(IF(OR($B118="",$C118=0,$C118=""),"",$I118+ROW()*0.0000001),"")</f>
        <v>0.5219768</v>
      </c>
      <c r="M118" s="50" t="n">
        <f aca="false">$M$2</f>
        <v>0.9319</v>
      </c>
      <c r="N118" s="13" t="n">
        <f aca="false">IFERROR(IF($B118="","",$C118+$M118),"")</f>
        <v>76.4856</v>
      </c>
    </row>
    <row r="119" customFormat="false" ht="39" hidden="false" customHeight="true" outlineLevel="0" collapsed="false">
      <c r="A119" s="43" t="str">
        <f aca="false">IFERROR(IF(المنيو!$B119="","",المنيو!$A119),"")</f>
        <v>قسم المكرونات الصيامي</v>
      </c>
      <c r="B119" s="43" t="str">
        <f aca="false">IFERROR(المنيو!$B119,"")</f>
        <v>مكرونة صوص ابيض خضروات صيامي</v>
      </c>
      <c r="C119" s="13" t="n">
        <f aca="false">IFERROR(IF($B119="","",SUMIFS(الريسبي!$F$2:$F$1800,الريسبي!$A$2:$A$1800,$B119)),"")</f>
        <v>36.53</v>
      </c>
      <c r="D119" s="44" t="n">
        <f aca="false">IFERROR(IF($B119="","",المنيو!$C119),"")</f>
        <v>90</v>
      </c>
      <c r="E119" s="12" t="n">
        <f aca="false">IFERROR(IF(OR($B119="",$D119=0,$D119=""),"",$N119/$D119),"")</f>
        <v>0.416243333333333</v>
      </c>
      <c r="F119" s="49" t="n">
        <f aca="false">$F$2</f>
        <v>0.375</v>
      </c>
      <c r="G119" s="13" t="n">
        <f aca="false">IFERROR(IF($B119="","",$N119/$F119),"")</f>
        <v>99.8984</v>
      </c>
      <c r="H119" s="13" t="n">
        <f aca="false">IFERROR(IF($B119="","",$D119-$N119),"")</f>
        <v>52.5381</v>
      </c>
      <c r="I119" s="12" t="n">
        <f aca="false">IFERROR(IF(OR($B119="",$D119=0,$D119=""),"",$H119/$D119),"")</f>
        <v>0.583756666666667</v>
      </c>
      <c r="J119" s="49" t="n">
        <f aca="false">$J$2</f>
        <v>0.25</v>
      </c>
      <c r="K119" s="12" t="n">
        <f aca="false">IFERROR(IF($B119="","",$E119+$J119),"")</f>
        <v>0.666243333333333</v>
      </c>
      <c r="L119" s="47" t="n">
        <f aca="false">IFERROR(IF(OR($B119="",$C119=0,$C119=""),"",$I119+ROW()*0.0000001),"")</f>
        <v>0.583768566666667</v>
      </c>
      <c r="M119" s="50" t="n">
        <f aca="false">$M$2</f>
        <v>0.9319</v>
      </c>
      <c r="N119" s="13" t="n">
        <f aca="false">IFERROR(IF($B119="","",$C119+$M119),"")</f>
        <v>37.4619</v>
      </c>
    </row>
    <row r="120" customFormat="false" ht="39" hidden="false" customHeight="true" outlineLevel="0" collapsed="false">
      <c r="A120" s="43" t="str">
        <f aca="false">IFERROR(IF(المنيو!$B120="","",المنيو!$A120),"")</f>
        <v>قسم المكرونات الصيامي</v>
      </c>
      <c r="B120" s="43" t="str">
        <f aca="false">IFERROR(المنيو!$B120,"")</f>
        <v>مكرونة مشروم صيامي</v>
      </c>
      <c r="C120" s="13" t="n">
        <f aca="false">IFERROR(IF($B120="","",SUMIFS(الريسبي!$F$2:$F$1800,الريسبي!$A$2:$A$1800,$B120)),"")</f>
        <v>45.602162</v>
      </c>
      <c r="D120" s="44" t="n">
        <f aca="false">IFERROR(IF($B120="","",المنيو!$C120),"")</f>
        <v>120</v>
      </c>
      <c r="E120" s="12" t="n">
        <f aca="false">IFERROR(IF(OR($B120="",$D120=0,$D120=""),"",$N120/$D120),"")</f>
        <v>0.38778385</v>
      </c>
      <c r="F120" s="49" t="n">
        <f aca="false">$F$2</f>
        <v>0.375</v>
      </c>
      <c r="G120" s="13" t="n">
        <f aca="false">IFERROR(IF($B120="","",$N120/$F120),"")</f>
        <v>124.090832</v>
      </c>
      <c r="H120" s="13" t="n">
        <f aca="false">IFERROR(IF($B120="","",$D120-$N120),"")</f>
        <v>73.465938</v>
      </c>
      <c r="I120" s="12" t="n">
        <f aca="false">IFERROR(IF(OR($B120="",$D120=0,$D120=""),"",$H120/$D120),"")</f>
        <v>0.61221615</v>
      </c>
      <c r="J120" s="49" t="n">
        <f aca="false">$J$2</f>
        <v>0.25</v>
      </c>
      <c r="K120" s="12" t="n">
        <f aca="false">IFERROR(IF($B120="","",$E120+$J120),"")</f>
        <v>0.63778385</v>
      </c>
      <c r="L120" s="47" t="n">
        <f aca="false">IFERROR(IF(OR($B120="",$C120=0,$C120=""),"",$I120+ROW()*0.0000001),"")</f>
        <v>0.61222815</v>
      </c>
      <c r="M120" s="50" t="n">
        <f aca="false">$M$2</f>
        <v>0.9319</v>
      </c>
      <c r="N120" s="13" t="n">
        <f aca="false">IFERROR(IF($B120="","",$C120+$M120),"")</f>
        <v>46.534062</v>
      </c>
    </row>
    <row r="121" customFormat="false" ht="39" hidden="false" customHeight="true" outlineLevel="0" collapsed="false">
      <c r="A121" s="43" t="str">
        <f aca="false">IFERROR(IF(المنيو!$B121="","",المنيو!$A121),"")</f>
        <v>قسم المكرونات الصيامي</v>
      </c>
      <c r="B121" s="43" t="str">
        <f aca="false">IFERROR(المنيو!$B121,"")</f>
        <v>مكرونة سوسيس صيامي</v>
      </c>
      <c r="C121" s="13" t="n">
        <f aca="false">IFERROR(IF($B121="","",SUMIFS(الريسبي!$F$2:$F$1800,الريسبي!$A$2:$A$1800,$B121)),"")</f>
        <v>67.3328</v>
      </c>
      <c r="D121" s="44" t="n">
        <f aca="false">IFERROR(IF($B121="","",المنيو!$C121),"")</f>
        <v>120</v>
      </c>
      <c r="E121" s="12" t="n">
        <f aca="false">IFERROR(IF(OR($B121="",$D121=0,$D121=""),"",$N121/$D121),"")</f>
        <v>0.5688725</v>
      </c>
      <c r="F121" s="49" t="n">
        <f aca="false">$F$2</f>
        <v>0.375</v>
      </c>
      <c r="G121" s="13" t="n">
        <f aca="false">IFERROR(IF($B121="","",$N121/$F121),"")</f>
        <v>182.0392</v>
      </c>
      <c r="H121" s="13" t="n">
        <f aca="false">IFERROR(IF($B121="","",$D121-$N121),"")</f>
        <v>51.7353</v>
      </c>
      <c r="I121" s="12" t="n">
        <f aca="false">IFERROR(IF(OR($B121="",$D121=0,$D121=""),"",$H121/$D121),"")</f>
        <v>0.4311275</v>
      </c>
      <c r="J121" s="49" t="n">
        <f aca="false">$J$2</f>
        <v>0.25</v>
      </c>
      <c r="K121" s="12" t="n">
        <f aca="false">IFERROR(IF($B121="","",$E121+$J121),"")</f>
        <v>0.8188725</v>
      </c>
      <c r="L121" s="47" t="n">
        <f aca="false">IFERROR(IF(OR($B121="",$C121=0,$C121=""),"",$I121+ROW()*0.0000001),"")</f>
        <v>0.4311396</v>
      </c>
      <c r="M121" s="50" t="n">
        <f aca="false">$M$2</f>
        <v>0.9319</v>
      </c>
      <c r="N121" s="13" t="n">
        <f aca="false">IFERROR(IF($B121="","",$C121+$M121),"")</f>
        <v>68.2647</v>
      </c>
    </row>
    <row r="122" customFormat="false" ht="39" hidden="false" customHeight="true" outlineLevel="0" collapsed="false">
      <c r="A122" s="43" t="str">
        <f aca="false">IFERROR(IF(المنيو!$B122="","",المنيو!$A122),"")</f>
        <v>قسم المكرونات الصيامي</v>
      </c>
      <c r="B122" s="43" t="str">
        <f aca="false">IFERROR(المنيو!$B122,"")</f>
        <v>مكرونة فراخ باربيكيو صيامي</v>
      </c>
      <c r="C122" s="13" t="n">
        <f aca="false">IFERROR(IF($B122="","",SUMIFS(الريسبي!$F$2:$F$1800,الريسبي!$A$2:$A$1800,$B122)),"")</f>
        <v>70.1077</v>
      </c>
      <c r="D122" s="44" t="n">
        <f aca="false">IFERROR(IF($B122="","",المنيو!$C122),"")</f>
        <v>150</v>
      </c>
      <c r="E122" s="12" t="n">
        <f aca="false">IFERROR(IF(OR($B122="",$D122=0,$D122=""),"",$N122/$D122),"")</f>
        <v>0.473597333333333</v>
      </c>
      <c r="F122" s="49" t="n">
        <f aca="false">$F$2</f>
        <v>0.375</v>
      </c>
      <c r="G122" s="13" t="n">
        <f aca="false">IFERROR(IF($B122="","",$N122/$F122),"")</f>
        <v>189.438933333333</v>
      </c>
      <c r="H122" s="13" t="n">
        <f aca="false">IFERROR(IF($B122="","",$D122-$N122),"")</f>
        <v>78.9604</v>
      </c>
      <c r="I122" s="12" t="n">
        <f aca="false">IFERROR(IF(OR($B122="",$D122=0,$D122=""),"",$H122/$D122),"")</f>
        <v>0.526402666666667</v>
      </c>
      <c r="J122" s="49" t="n">
        <f aca="false">$J$2</f>
        <v>0.25</v>
      </c>
      <c r="K122" s="12" t="n">
        <f aca="false">IFERROR(IF($B122="","",$E122+$J122),"")</f>
        <v>0.723597333333333</v>
      </c>
      <c r="L122" s="47" t="n">
        <f aca="false">IFERROR(IF(OR($B122="",$C122=0,$C122=""),"",$I122+ROW()*0.0000001),"")</f>
        <v>0.526414866666667</v>
      </c>
      <c r="M122" s="50" t="n">
        <f aca="false">$M$2</f>
        <v>0.9319</v>
      </c>
      <c r="N122" s="13" t="n">
        <f aca="false">IFERROR(IF($B122="","",$C122+$M122),"")</f>
        <v>71.0396</v>
      </c>
    </row>
    <row r="123" customFormat="false" ht="39" hidden="false" customHeight="true" outlineLevel="0" collapsed="false">
      <c r="A123" s="43" t="str">
        <f aca="false">IFERROR(IF(المنيو!$B123="","",المنيو!$A123),"")</f>
        <v>قسم المكرونات الصيامي</v>
      </c>
      <c r="B123" s="43" t="str">
        <f aca="false">IFERROR(المنيو!$B123,"")</f>
        <v>مكرونة جمبري صيامي</v>
      </c>
      <c r="C123" s="13" t="n">
        <f aca="false">IFERROR(IF($B123="","",SUMIFS(الريسبي!$F$2:$F$1800,الريسبي!$A$2:$A$1800,$B123)),"")</f>
        <v>131.53</v>
      </c>
      <c r="D123" s="44" t="n">
        <f aca="false">IFERROR(IF($B123="","",المنيو!$C123),"")</f>
        <v>250</v>
      </c>
      <c r="E123" s="12" t="n">
        <f aca="false">IFERROR(IF(OR($B123="",$D123=0,$D123=""),"",$N123/$D123),"")</f>
        <v>0.5298476</v>
      </c>
      <c r="F123" s="49" t="n">
        <f aca="false">$F$2</f>
        <v>0.375</v>
      </c>
      <c r="G123" s="13" t="n">
        <f aca="false">IFERROR(IF($B123="","",$N123/$F123),"")</f>
        <v>353.231733333333</v>
      </c>
      <c r="H123" s="13" t="n">
        <f aca="false">IFERROR(IF($B123="","",$D123-$N123),"")</f>
        <v>117.5381</v>
      </c>
      <c r="I123" s="12" t="n">
        <f aca="false">IFERROR(IF(OR($B123="",$D123=0,$D123=""),"",$H123/$D123),"")</f>
        <v>0.4701524</v>
      </c>
      <c r="J123" s="49" t="n">
        <f aca="false">$J$2</f>
        <v>0.25</v>
      </c>
      <c r="K123" s="12" t="n">
        <f aca="false">IFERROR(IF($B123="","",$E123+$J123),"")</f>
        <v>0.7798476</v>
      </c>
      <c r="L123" s="47" t="n">
        <f aca="false">IFERROR(IF(OR($B123="",$C123=0,$C123=""),"",$I123+ROW()*0.0000001),"")</f>
        <v>0.4701647</v>
      </c>
      <c r="M123" s="50" t="n">
        <f aca="false">$M$2</f>
        <v>0.9319</v>
      </c>
      <c r="N123" s="13" t="n">
        <f aca="false">IFERROR(IF($B123="","",$C123+$M123),"")</f>
        <v>132.4619</v>
      </c>
    </row>
    <row r="124" customFormat="false" ht="39" hidden="false" customHeight="true" outlineLevel="0" collapsed="false">
      <c r="A124" s="43" t="str">
        <f aca="false">IFERROR(IF(المنيو!$B124="","",المنيو!$A124),"")</f>
        <v>قسم الكريب الصيامي</v>
      </c>
      <c r="B124" s="43" t="str">
        <f aca="false">IFERROR(المنيو!$B124,"")</f>
        <v>كريب بطاطس صيامي</v>
      </c>
      <c r="C124" s="13" t="n">
        <f aca="false">IFERROR(IF($B124="","",SUMIFS(الريسبي!$F$2:$F$1800,الريسبي!$A$2:$A$1800,$B124)),"")</f>
        <v>35.8566558333333</v>
      </c>
      <c r="D124" s="44" t="n">
        <f aca="false">IFERROR(IF($B124="","",المنيو!$C124),"")</f>
        <v>80</v>
      </c>
      <c r="E124" s="12" t="n">
        <f aca="false">IFERROR(IF(OR($B124="",$D124=0,$D124=""),"",$N124/$D124),"")</f>
        <v>0.459856947916667</v>
      </c>
      <c r="F124" s="49" t="n">
        <f aca="false">$F$2</f>
        <v>0.375</v>
      </c>
      <c r="G124" s="13" t="n">
        <f aca="false">IFERROR(IF($B124="","",$N124/$F124),"")</f>
        <v>98.1028155555556</v>
      </c>
      <c r="H124" s="13" t="n">
        <f aca="false">IFERROR(IF($B124="","",$D124-$N124),"")</f>
        <v>43.2114441666667</v>
      </c>
      <c r="I124" s="12" t="n">
        <f aca="false">IFERROR(IF(OR($B124="",$D124=0,$D124=""),"",$H124/$D124),"")</f>
        <v>0.540143052083333</v>
      </c>
      <c r="J124" s="49" t="n">
        <f aca="false">$J$2</f>
        <v>0.25</v>
      </c>
      <c r="K124" s="12" t="n">
        <f aca="false">IFERROR(IF($B124="","",$E124+$J124),"")</f>
        <v>0.709856947916667</v>
      </c>
      <c r="L124" s="47" t="n">
        <f aca="false">IFERROR(IF(OR($B124="",$C124=0,$C124=""),"",$I124+ROW()*0.0000001),"")</f>
        <v>0.540155452083333</v>
      </c>
      <c r="M124" s="50" t="n">
        <f aca="false">$M$2</f>
        <v>0.9319</v>
      </c>
      <c r="N124" s="13" t="n">
        <f aca="false">IFERROR(IF($B124="","",$C124+$M124),"")</f>
        <v>36.7885558333333</v>
      </c>
    </row>
    <row r="125" customFormat="false" ht="39" hidden="false" customHeight="true" outlineLevel="0" collapsed="false">
      <c r="A125" s="43" t="str">
        <f aca="false">IFERROR(IF(المنيو!$B125="","",المنيو!$A125),"")</f>
        <v>قسم الكريب الصيامي</v>
      </c>
      <c r="B125" s="43" t="str">
        <f aca="false">IFERROR(المنيو!$B125,"")</f>
        <v>كريب فراخ باربيكيو صيامي</v>
      </c>
      <c r="C125" s="13" t="n">
        <f aca="false">IFERROR(IF($B125="","",SUMIFS(الريسبي!$F$2:$F$1800,الريسبي!$A$2:$A$1800,$B125)),"")</f>
        <v>60.9593558333333</v>
      </c>
      <c r="D125" s="44" t="n">
        <f aca="false">IFERROR(IF($B125="","",المنيو!$C125),"")</f>
        <v>115</v>
      </c>
      <c r="E125" s="12" t="n">
        <f aca="false">IFERROR(IF(OR($B125="",$D125=0,$D125=""),"",$N125/$D125),"")</f>
        <v>0.538184833333333</v>
      </c>
      <c r="F125" s="49" t="n">
        <f aca="false">$F$2</f>
        <v>0.375</v>
      </c>
      <c r="G125" s="13" t="n">
        <f aca="false">IFERROR(IF($B125="","",$N125/$F125),"")</f>
        <v>165.043348888889</v>
      </c>
      <c r="H125" s="13" t="n">
        <f aca="false">IFERROR(IF($B125="","",$D125-$N125),"")</f>
        <v>53.1087441666667</v>
      </c>
      <c r="I125" s="12" t="n">
        <f aca="false">IFERROR(IF(OR($B125="",$D125=0,$D125=""),"",$H125/$D125),"")</f>
        <v>0.461815166666667</v>
      </c>
      <c r="J125" s="49" t="n">
        <f aca="false">$J$2</f>
        <v>0.25</v>
      </c>
      <c r="K125" s="12" t="n">
        <f aca="false">IFERROR(IF($B125="","",$E125+$J125),"")</f>
        <v>0.788184833333333</v>
      </c>
      <c r="L125" s="47" t="n">
        <f aca="false">IFERROR(IF(OR($B125="",$C125=0,$C125=""),"",$I125+ROW()*0.0000001),"")</f>
        <v>0.461827666666667</v>
      </c>
      <c r="M125" s="50" t="n">
        <f aca="false">$M$2</f>
        <v>0.9319</v>
      </c>
      <c r="N125" s="13" t="n">
        <f aca="false">IFERROR(IF($B125="","",$C125+$M125),"")</f>
        <v>61.8912558333333</v>
      </c>
    </row>
    <row r="126" customFormat="false" ht="39" hidden="false" customHeight="true" outlineLevel="0" collapsed="false">
      <c r="A126" s="43" t="str">
        <f aca="false">IFERROR(IF(المنيو!$B126="","",المنيو!$A126),"")</f>
        <v>قسم الكريب الصيامي</v>
      </c>
      <c r="B126" s="43" t="str">
        <f aca="false">IFERROR(المنيو!$B126,"")</f>
        <v>كريب سوسيس / شاورما لحم فراخ صيامي</v>
      </c>
      <c r="C126" s="13" t="n">
        <f aca="false">IFERROR(IF($B126="","",SUMIFS(الريسبي!$F$2:$F$1800,الريسبي!$A$2:$A$1800,$B126)),"")</f>
        <v>58.1291558333333</v>
      </c>
      <c r="D126" s="44" t="n">
        <f aca="false">IFERROR(IF($B126="","",المنيو!$C126),"")</f>
        <v>100</v>
      </c>
      <c r="E126" s="12" t="n">
        <f aca="false">IFERROR(IF(OR($B126="",$D126=0,$D126=""),"",$N126/$D126),"")</f>
        <v>0.590610558333333</v>
      </c>
      <c r="F126" s="49" t="n">
        <f aca="false">$F$2</f>
        <v>0.375</v>
      </c>
      <c r="G126" s="13" t="n">
        <f aca="false">IFERROR(IF($B126="","",$N126/$F126),"")</f>
        <v>157.496148888889</v>
      </c>
      <c r="H126" s="13" t="n">
        <f aca="false">IFERROR(IF($B126="","",$D126-$N126),"")</f>
        <v>40.9389441666667</v>
      </c>
      <c r="I126" s="12" t="n">
        <f aca="false">IFERROR(IF(OR($B126="",$D126=0,$D126=""),"",$H126/$D126),"")</f>
        <v>0.409389441666667</v>
      </c>
      <c r="J126" s="49" t="n">
        <f aca="false">$J$2</f>
        <v>0.25</v>
      </c>
      <c r="K126" s="12" t="n">
        <f aca="false">IFERROR(IF($B126="","",$E126+$J126),"")</f>
        <v>0.840610558333333</v>
      </c>
      <c r="L126" s="47" t="n">
        <f aca="false">IFERROR(IF(OR($B126="",$C126=0,$C126=""),"",$I126+ROW()*0.0000001),"")</f>
        <v>0.409402041666667</v>
      </c>
      <c r="M126" s="50" t="n">
        <f aca="false">$M$2</f>
        <v>0.9319</v>
      </c>
      <c r="N126" s="13" t="n">
        <f aca="false">IFERROR(IF($B126="","",$C126+$M126),"")</f>
        <v>59.0610558333333</v>
      </c>
    </row>
    <row r="127" customFormat="false" ht="39" hidden="false" customHeight="true" outlineLevel="0" collapsed="false">
      <c r="A127" s="43" t="str">
        <f aca="false">IFERROR(IF(المنيو!$B127="","",المنيو!$A127),"")</f>
        <v>قسم الكريب الصيامي</v>
      </c>
      <c r="B127" s="43" t="str">
        <f aca="false">IFERROR(المنيو!$B127,"")</f>
        <v>كريب جمبري صيامي</v>
      </c>
      <c r="C127" s="13" t="n">
        <f aca="false">IFERROR(IF($B127="","",SUMIFS(الريسبي!$F$2:$F$1800,الريسبي!$A$2:$A$1800,$B127)),"")</f>
        <v>74.8816558333333</v>
      </c>
      <c r="D127" s="44" t="n">
        <f aca="false">IFERROR(IF($B127="","",المنيو!$C127),"")</f>
        <v>180</v>
      </c>
      <c r="E127" s="12" t="n">
        <f aca="false">IFERROR(IF(OR($B127="",$D127=0,$D127=""),"",$N127/$D127),"")</f>
        <v>0.421186421296296</v>
      </c>
      <c r="F127" s="49" t="n">
        <f aca="false">$F$2</f>
        <v>0.375</v>
      </c>
      <c r="G127" s="13" t="n">
        <f aca="false">IFERROR(IF($B127="","",$N127/$F127),"")</f>
        <v>202.169482222222</v>
      </c>
      <c r="H127" s="13" t="n">
        <f aca="false">IFERROR(IF($B127="","",$D127-$N127),"")</f>
        <v>104.186444166667</v>
      </c>
      <c r="I127" s="12" t="n">
        <f aca="false">IFERROR(IF(OR($B127="",$D127=0,$D127=""),"",$H127/$D127),"")</f>
        <v>0.578813578703704</v>
      </c>
      <c r="J127" s="49" t="n">
        <f aca="false">$J$2</f>
        <v>0.25</v>
      </c>
      <c r="K127" s="12" t="n">
        <f aca="false">IFERROR(IF($B127="","",$E127+$J127),"")</f>
        <v>0.671186421296296</v>
      </c>
      <c r="L127" s="47" t="n">
        <f aca="false">IFERROR(IF(OR($B127="",$C127=0,$C127=""),"",$I127+ROW()*0.0000001),"")</f>
        <v>0.578826278703704</v>
      </c>
      <c r="M127" s="50" t="n">
        <f aca="false">$M$2</f>
        <v>0.9319</v>
      </c>
      <c r="N127" s="13" t="n">
        <f aca="false">IFERROR(IF($B127="","",$C127+$M127),"")</f>
        <v>75.8135558333333</v>
      </c>
    </row>
    <row r="128" customFormat="false" ht="39" hidden="false" customHeight="true" outlineLevel="0" collapsed="false">
      <c r="A128" s="43" t="str">
        <f aca="false">IFERROR(IF(المنيو!$B128="","",المنيو!$A128),"")</f>
        <v>قسم الإضافات</v>
      </c>
      <c r="B128" s="43" t="str">
        <f aca="false">IFERROR(المنيو!$B128,"")</f>
        <v>اضافة جبنة كيري (فطير M)</v>
      </c>
      <c r="C128" s="13" t="n">
        <f aca="false">IFERROR(IF($B128="","",SUMIFS(الريسبي!$F$2:$F$1800,الريسبي!$A$2:$A$1800,$B128)),"")</f>
        <v>14</v>
      </c>
      <c r="D128" s="44" t="n">
        <f aca="false">IFERROR(IF($B128="","",المنيو!$C128),"")</f>
        <v>30.92</v>
      </c>
      <c r="E128" s="12" t="n">
        <f aca="false">IFERROR(IF(OR($B128="",$D128=0,$D128=""),"",$N128/$D128),"")</f>
        <v>0.482920439844761</v>
      </c>
      <c r="F128" s="49" t="n">
        <f aca="false">$F$2</f>
        <v>0.375</v>
      </c>
      <c r="G128" s="13" t="n">
        <f aca="false">IFERROR(IF($B128="","",$N128/$F128),"")</f>
        <v>39.8184</v>
      </c>
      <c r="H128" s="13" t="n">
        <f aca="false">IFERROR(IF($B128="","",$D128-$N128),"")</f>
        <v>15.9881</v>
      </c>
      <c r="I128" s="12" t="n">
        <f aca="false">IFERROR(IF(OR($B128="",$D128=0,$D128=""),"",$H128/$D128),"")</f>
        <v>0.517079560155239</v>
      </c>
      <c r="J128" s="49" t="n">
        <f aca="false">$J$2</f>
        <v>0.25</v>
      </c>
      <c r="K128" s="12" t="n">
        <f aca="false">IFERROR(IF($B128="","",$E128+$J128),"")</f>
        <v>0.732920439844761</v>
      </c>
      <c r="L128" s="47" t="n">
        <f aca="false">IFERROR(IF(OR($B128="",$C128=0,$C128=""),"",$I128+ROW()*0.0000001),"")</f>
        <v>0.517092360155239</v>
      </c>
      <c r="M128" s="50" t="n">
        <f aca="false">$M$2</f>
        <v>0.9319</v>
      </c>
      <c r="N128" s="13" t="n">
        <f aca="false">IFERROR(IF($B128="","",$C128+$M128),"")</f>
        <v>14.9319</v>
      </c>
    </row>
    <row r="129" customFormat="false" ht="39" hidden="false" customHeight="true" outlineLevel="0" collapsed="false">
      <c r="A129" s="43" t="str">
        <f aca="false">IFERROR(IF(المنيو!$B129="","",المنيو!$A129),"")</f>
        <v>قسم الإضافات</v>
      </c>
      <c r="B129" s="43" t="str">
        <f aca="false">IFERROR(المنيو!$B129,"")</f>
        <v>اضافة جبنة كيري (فطير L)</v>
      </c>
      <c r="C129" s="13" t="n">
        <f aca="false">IFERROR(IF($B129="","",SUMIFS(الريسبي!$F$2:$F$1800,الريسبي!$A$2:$A$1800,$B129)),"")</f>
        <v>21</v>
      </c>
      <c r="D129" s="44" t="n">
        <f aca="false">IFERROR(IF($B129="","",المنيو!$C129),"")</f>
        <v>45.56</v>
      </c>
      <c r="E129" s="12" t="n">
        <f aca="false">IFERROR(IF(OR($B129="",$D129=0,$D129=""),"",$N129/$D129),"")</f>
        <v>0.481384986830553</v>
      </c>
      <c r="F129" s="49" t="n">
        <f aca="false">$F$2</f>
        <v>0.375</v>
      </c>
      <c r="G129" s="13" t="n">
        <f aca="false">IFERROR(IF($B129="","",$N129/$F129),"")</f>
        <v>58.4850666666667</v>
      </c>
      <c r="H129" s="13" t="n">
        <f aca="false">IFERROR(IF($B129="","",$D129-$N129),"")</f>
        <v>23.6281</v>
      </c>
      <c r="I129" s="12" t="n">
        <f aca="false">IFERROR(IF(OR($B129="",$D129=0,$D129=""),"",$H129/$D129),"")</f>
        <v>0.518615013169447</v>
      </c>
      <c r="J129" s="49" t="n">
        <f aca="false">$J$2</f>
        <v>0.25</v>
      </c>
      <c r="K129" s="12" t="n">
        <f aca="false">IFERROR(IF($B129="","",$E129+$J129),"")</f>
        <v>0.731384986830553</v>
      </c>
      <c r="L129" s="47" t="n">
        <f aca="false">IFERROR(IF(OR($B129="",$C129=0,$C129=""),"",$I129+ROW()*0.0000001),"")</f>
        <v>0.518627913169447</v>
      </c>
      <c r="M129" s="50" t="n">
        <f aca="false">$M$2</f>
        <v>0.9319</v>
      </c>
      <c r="N129" s="13" t="n">
        <f aca="false">IFERROR(IF($B129="","",$C129+$M129),"")</f>
        <v>21.9319</v>
      </c>
    </row>
    <row r="130" customFormat="false" ht="39" hidden="false" customHeight="true" outlineLevel="0" collapsed="false">
      <c r="A130" s="43" t="str">
        <f aca="false">IFERROR(IF(المنيو!$B130="","",المنيو!$A130),"")</f>
        <v>قسم الإضافات</v>
      </c>
      <c r="B130" s="43" t="str">
        <f aca="false">IFERROR(المنيو!$B130,"")</f>
        <v>اضافة جبنة كيري (بيتزا وسط)</v>
      </c>
      <c r="C130" s="13" t="n">
        <f aca="false">IFERROR(IF($B130="","",SUMIFS(الريسبي!$F$2:$F$1800,الريسبي!$A$2:$A$1800,$B130)),"")</f>
        <v>14</v>
      </c>
      <c r="D130" s="44" t="n">
        <f aca="false">IFERROR(IF($B130="","",المنيو!$C130),"")</f>
        <v>30.71</v>
      </c>
      <c r="E130" s="12" t="n">
        <f aca="false">IFERROR(IF(OR($B130="",$D130=0,$D130=""),"",$N130/$D130),"")</f>
        <v>0.486222728752849</v>
      </c>
      <c r="F130" s="49" t="n">
        <f aca="false">$F$2</f>
        <v>0.375</v>
      </c>
      <c r="G130" s="13" t="n">
        <f aca="false">IFERROR(IF($B130="","",$N130/$F130),"")</f>
        <v>39.8184</v>
      </c>
      <c r="H130" s="13" t="n">
        <f aca="false">IFERROR(IF($B130="","",$D130-$N130),"")</f>
        <v>15.7781</v>
      </c>
      <c r="I130" s="12" t="n">
        <f aca="false">IFERROR(IF(OR($B130="",$D130=0,$D130=""),"",$H130/$D130),"")</f>
        <v>0.513777271247151</v>
      </c>
      <c r="J130" s="49" t="n">
        <f aca="false">$J$2</f>
        <v>0.25</v>
      </c>
      <c r="K130" s="12" t="n">
        <f aca="false">IFERROR(IF($B130="","",$E130+$J130),"")</f>
        <v>0.736222728752849</v>
      </c>
      <c r="L130" s="47" t="n">
        <f aca="false">IFERROR(IF(OR($B130="",$C130=0,$C130=""),"",$I130+ROW()*0.0000001),"")</f>
        <v>0.513790271247151</v>
      </c>
      <c r="M130" s="50" t="n">
        <f aca="false">$M$2</f>
        <v>0.9319</v>
      </c>
      <c r="N130" s="13" t="n">
        <f aca="false">IFERROR(IF($B130="","",$C130+$M130),"")</f>
        <v>14.9319</v>
      </c>
    </row>
    <row r="131" customFormat="false" ht="39" hidden="false" customHeight="true" outlineLevel="0" collapsed="false">
      <c r="A131" s="43" t="str">
        <f aca="false">IFERROR(IF(المنيو!$B131="","",المنيو!$A131),"")</f>
        <v>قسم الإضافات</v>
      </c>
      <c r="B131" s="43" t="str">
        <f aca="false">IFERROR(المنيو!$B131,"")</f>
        <v>اضافة جبنة موتزريلا (فطير M)</v>
      </c>
      <c r="C131" s="13" t="n">
        <f aca="false">IFERROR(IF($B131="","",SUMIFS(الريسبي!$F$2:$F$1800,الريسبي!$A$2:$A$1800,$B131)),"")</f>
        <v>17.5</v>
      </c>
      <c r="D131" s="44" t="n">
        <f aca="false">IFERROR(IF($B131="","",المنيو!$C131),"")</f>
        <v>30.62</v>
      </c>
      <c r="E131" s="12" t="n">
        <f aca="false">IFERROR(IF(OR($B131="",$D131=0,$D131=""),"",$N131/$D131),"")</f>
        <v>0.601956237753103</v>
      </c>
      <c r="F131" s="49" t="n">
        <f aca="false">$F$2</f>
        <v>0.375</v>
      </c>
      <c r="G131" s="13" t="n">
        <f aca="false">IFERROR(IF($B131="","",$N131/$F131),"")</f>
        <v>49.1517333333333</v>
      </c>
      <c r="H131" s="13" t="n">
        <f aca="false">IFERROR(IF($B131="","",$D131-$N131),"")</f>
        <v>12.1881</v>
      </c>
      <c r="I131" s="12" t="n">
        <f aca="false">IFERROR(IF(OR($B131="",$D131=0,$D131=""),"",$H131/$D131),"")</f>
        <v>0.398043762246898</v>
      </c>
      <c r="J131" s="49" t="n">
        <f aca="false">$J$2</f>
        <v>0.25</v>
      </c>
      <c r="K131" s="12" t="n">
        <f aca="false">IFERROR(IF($B131="","",$E131+$J131),"")</f>
        <v>0.851956237753103</v>
      </c>
      <c r="L131" s="47" t="n">
        <f aca="false">IFERROR(IF(OR($B131="",$C131=0,$C131=""),"",$I131+ROW()*0.0000001),"")</f>
        <v>0.398056862246898</v>
      </c>
      <c r="M131" s="50" t="n">
        <f aca="false">$M$2</f>
        <v>0.9319</v>
      </c>
      <c r="N131" s="13" t="n">
        <f aca="false">IFERROR(IF($B131="","",$C131+$M131),"")</f>
        <v>18.4319</v>
      </c>
    </row>
    <row r="132" customFormat="false" ht="39" hidden="false" customHeight="true" outlineLevel="0" collapsed="false">
      <c r="A132" s="43" t="str">
        <f aca="false">IFERROR(IF(المنيو!$B132="","",المنيو!$A132),"")</f>
        <v>قسم الإضافات</v>
      </c>
      <c r="B132" s="43" t="str">
        <f aca="false">IFERROR(المنيو!$B132,"")</f>
        <v>اضافة جبنة موتزريلا (فطير L)</v>
      </c>
      <c r="C132" s="13" t="n">
        <f aca="false">IFERROR(IF($B132="","",SUMIFS(الريسبي!$F$2:$F$1800,الريسبي!$A$2:$A$1800,$B132)),"")</f>
        <v>25</v>
      </c>
      <c r="D132" s="44" t="n">
        <f aca="false">IFERROR(IF($B132="","",المنيو!$C132),"")</f>
        <v>45</v>
      </c>
      <c r="E132" s="12" t="n">
        <f aca="false">IFERROR(IF(OR($B132="",$D132=0,$D132=""),"",$N132/$D132),"")</f>
        <v>0.576264444444445</v>
      </c>
      <c r="F132" s="49" t="n">
        <f aca="false">$F$2</f>
        <v>0.375</v>
      </c>
      <c r="G132" s="13" t="n">
        <f aca="false">IFERROR(IF($B132="","",$N132/$F132),"")</f>
        <v>69.1517333333333</v>
      </c>
      <c r="H132" s="13" t="n">
        <f aca="false">IFERROR(IF($B132="","",$D132-$N132),"")</f>
        <v>19.0681</v>
      </c>
      <c r="I132" s="12" t="n">
        <f aca="false">IFERROR(IF(OR($B132="",$D132=0,$D132=""),"",$H132/$D132),"")</f>
        <v>0.423735555555556</v>
      </c>
      <c r="J132" s="49" t="n">
        <f aca="false">$J$2</f>
        <v>0.25</v>
      </c>
      <c r="K132" s="12" t="n">
        <f aca="false">IFERROR(IF($B132="","",$E132+$J132),"")</f>
        <v>0.826264444444445</v>
      </c>
      <c r="L132" s="47" t="n">
        <f aca="false">IFERROR(IF(OR($B132="",$C132=0,$C132=""),"",$I132+ROW()*0.0000001),"")</f>
        <v>0.423748755555556</v>
      </c>
      <c r="M132" s="50" t="n">
        <f aca="false">$M$2</f>
        <v>0.9319</v>
      </c>
      <c r="N132" s="13" t="n">
        <f aca="false">IFERROR(IF($B132="","",$C132+$M132),"")</f>
        <v>25.9319</v>
      </c>
    </row>
    <row r="133" customFormat="false" ht="39" hidden="false" customHeight="true" outlineLevel="0" collapsed="false">
      <c r="A133" s="43" t="str">
        <f aca="false">IFERROR(IF(المنيو!$B133="","",المنيو!$A133),"")</f>
        <v>قسم الإضافات</v>
      </c>
      <c r="B133" s="43" t="str">
        <f aca="false">IFERROR(المنيو!$B133,"")</f>
        <v>اضافة جبنة موتزريلا (بيتزا وسط)</v>
      </c>
      <c r="C133" s="13" t="n">
        <f aca="false">IFERROR(IF($B133="","",SUMIFS(الريسبي!$F$2:$F$1800,الريسبي!$A$2:$A$1800,$B133)),"")</f>
        <v>20</v>
      </c>
      <c r="D133" s="44" t="n">
        <f aca="false">IFERROR(IF($B133="","",المنيو!$C133),"")</f>
        <v>31.25</v>
      </c>
      <c r="E133" s="12" t="n">
        <f aca="false">IFERROR(IF(OR($B133="",$D133=0,$D133=""),"",$N133/$D133),"")</f>
        <v>0.6698208</v>
      </c>
      <c r="F133" s="49" t="n">
        <f aca="false">$F$2</f>
        <v>0.375</v>
      </c>
      <c r="G133" s="13" t="n">
        <f aca="false">IFERROR(IF($B133="","",$N133/$F133),"")</f>
        <v>55.8184</v>
      </c>
      <c r="H133" s="13" t="n">
        <f aca="false">IFERROR(IF($B133="","",$D133-$N133),"")</f>
        <v>10.3181</v>
      </c>
      <c r="I133" s="12" t="n">
        <f aca="false">IFERROR(IF(OR($B133="",$D133=0,$D133=""),"",$H133/$D133),"")</f>
        <v>0.3301792</v>
      </c>
      <c r="J133" s="49" t="n">
        <f aca="false">$J$2</f>
        <v>0.25</v>
      </c>
      <c r="K133" s="12" t="n">
        <f aca="false">IFERROR(IF($B133="","",$E133+$J133),"")</f>
        <v>0.9198208</v>
      </c>
      <c r="L133" s="47" t="n">
        <f aca="false">IFERROR(IF(OR($B133="",$C133=0,$C133=""),"",$I133+ROW()*0.0000001),"")</f>
        <v>0.3301925</v>
      </c>
      <c r="M133" s="50" t="n">
        <f aca="false">$M$2</f>
        <v>0.9319</v>
      </c>
      <c r="N133" s="13" t="n">
        <f aca="false">IFERROR(IF($B133="","",$C133+$M133),"")</f>
        <v>20.9319</v>
      </c>
    </row>
    <row r="134" customFormat="false" ht="39" hidden="false" customHeight="true" outlineLevel="0" collapsed="false">
      <c r="A134" s="43" t="str">
        <f aca="false">IFERROR(IF(المنيو!$B134="","",المنيو!$A134),"")</f>
        <v>قسم الإضافات</v>
      </c>
      <c r="B134" s="43" t="str">
        <f aca="false">IFERROR(المنيو!$B134,"")</f>
        <v>اضافة جبنة موتزريلا (بيتزا كبير)</v>
      </c>
      <c r="C134" s="13" t="n">
        <f aca="false">IFERROR(IF($B134="","",SUMIFS(الريسبي!$F$2:$F$1800,الريسبي!$A$2:$A$1800,$B134)),"")</f>
        <v>26.4194</v>
      </c>
      <c r="D134" s="44" t="n">
        <f aca="false">IFERROR(IF($B134="","",المنيو!$C134),"")</f>
        <v>60</v>
      </c>
      <c r="E134" s="12" t="n">
        <f aca="false">IFERROR(IF(OR($B134="",$D134=0,$D134=""),"",$N134/$D134),"")</f>
        <v>0.455855</v>
      </c>
      <c r="F134" s="49" t="n">
        <f aca="false">$F$2</f>
        <v>0.375</v>
      </c>
      <c r="G134" s="13" t="n">
        <f aca="false">IFERROR(IF($B134="","",$N134/$F134),"")</f>
        <v>72.9368</v>
      </c>
      <c r="H134" s="13" t="n">
        <f aca="false">IFERROR(IF($B134="","",$D134-$N134),"")</f>
        <v>32.6487</v>
      </c>
      <c r="I134" s="12" t="n">
        <f aca="false">IFERROR(IF(OR($B134="",$D134=0,$D134=""),"",$H134/$D134),"")</f>
        <v>0.544145</v>
      </c>
      <c r="J134" s="49" t="n">
        <f aca="false">$J$2</f>
        <v>0.25</v>
      </c>
      <c r="K134" s="12" t="n">
        <f aca="false">IFERROR(IF($B134="","",$E134+$J134),"")</f>
        <v>0.705855</v>
      </c>
      <c r="L134" s="47" t="n">
        <f aca="false">IFERROR(IF(OR($B134="",$C134=0,$C134=""),"",$I134+ROW()*0.0000001),"")</f>
        <v>0.5441584</v>
      </c>
      <c r="M134" s="50" t="n">
        <f aca="false">$M$2</f>
        <v>0.9319</v>
      </c>
      <c r="N134" s="13" t="n">
        <f aca="false">IFERROR(IF($B134="","",$C134+$M134),"")</f>
        <v>27.3513</v>
      </c>
    </row>
    <row r="135" customFormat="false" ht="39" hidden="false" customHeight="true" outlineLevel="0" collapsed="false">
      <c r="A135" s="43" t="str">
        <f aca="false">IFERROR(IF(المنيو!$B135="","",المنيو!$A135),"")</f>
        <v>قسم الإضافات</v>
      </c>
      <c r="B135" s="43" t="str">
        <f aca="false">IFERROR(المنيو!$B135,"")</f>
        <v>اضافة جبنة رومي (بيتزا وسط)</v>
      </c>
      <c r="C135" s="13" t="n">
        <f aca="false">IFERROR(IF($B135="","",SUMIFS(الريسبي!$F$2:$F$1800,الريسبي!$A$2:$A$1800,$B135)),"")</f>
        <v>9</v>
      </c>
      <c r="D135" s="44" t="n">
        <f aca="false">IFERROR(IF($B135="","",المنيو!$C135),"")</f>
        <v>30</v>
      </c>
      <c r="E135" s="12" t="n">
        <f aca="false">IFERROR(IF(OR($B135="",$D135=0,$D135=""),"",$N135/$D135),"")</f>
        <v>0.331063333333333</v>
      </c>
      <c r="F135" s="49" t="n">
        <f aca="false">$F$2</f>
        <v>0.375</v>
      </c>
      <c r="G135" s="13" t="n">
        <f aca="false">IFERROR(IF($B135="","",$N135/$F135),"")</f>
        <v>26.4850666666667</v>
      </c>
      <c r="H135" s="13" t="n">
        <f aca="false">IFERROR(IF($B135="","",$D135-$N135),"")</f>
        <v>20.0681</v>
      </c>
      <c r="I135" s="12" t="n">
        <f aca="false">IFERROR(IF(OR($B135="",$D135=0,$D135=""),"",$H135/$D135),"")</f>
        <v>0.668936666666667</v>
      </c>
      <c r="J135" s="49" t="n">
        <f aca="false">$J$2</f>
        <v>0.25</v>
      </c>
      <c r="K135" s="12" t="n">
        <f aca="false">IFERROR(IF($B135="","",$E135+$J135),"")</f>
        <v>0.581063333333333</v>
      </c>
      <c r="L135" s="47" t="n">
        <f aca="false">IFERROR(IF(OR($B135="",$C135=0,$C135=""),"",$I135+ROW()*0.0000001),"")</f>
        <v>0.668950166666667</v>
      </c>
      <c r="M135" s="50" t="n">
        <f aca="false">$M$2</f>
        <v>0.9319</v>
      </c>
      <c r="N135" s="13" t="n">
        <f aca="false">IFERROR(IF($B135="","",$C135+$M135),"")</f>
        <v>9.9319</v>
      </c>
    </row>
    <row r="136" customFormat="false" ht="39" hidden="false" customHeight="true" outlineLevel="0" collapsed="false">
      <c r="A136" s="43" t="str">
        <f aca="false">IFERROR(IF(المنيو!$B136="","",المنيو!$A136),"")</f>
        <v>قسم الإضافات</v>
      </c>
      <c r="B136" s="43" t="str">
        <f aca="false">IFERROR(المنيو!$B136,"")</f>
        <v>اضافة جبنة رومي (فطير وسط)</v>
      </c>
      <c r="C136" s="13" t="n">
        <f aca="false">IFERROR(IF($B136="","",SUMIFS(الريسبي!$F$2:$F$1800,الريسبي!$A$2:$A$1800,$B136)),"")</f>
        <v>9</v>
      </c>
      <c r="D136" s="44" t="n">
        <f aca="false">IFERROR(IF($B136="","",المنيو!$C136),"")</f>
        <v>30</v>
      </c>
      <c r="E136" s="12" t="n">
        <f aca="false">IFERROR(IF(OR($B136="",$D136=0,$D136=""),"",$N136/$D136),"")</f>
        <v>0.331063333333333</v>
      </c>
      <c r="F136" s="49" t="n">
        <f aca="false">$F$2</f>
        <v>0.375</v>
      </c>
      <c r="G136" s="13" t="n">
        <f aca="false">IFERROR(IF($B136="","",$N136/$F136),"")</f>
        <v>26.4850666666667</v>
      </c>
      <c r="H136" s="13" t="n">
        <f aca="false">IFERROR(IF($B136="","",$D136-$N136),"")</f>
        <v>20.0681</v>
      </c>
      <c r="I136" s="12" t="n">
        <f aca="false">IFERROR(IF(OR($B136="",$D136=0,$D136=""),"",$H136/$D136),"")</f>
        <v>0.668936666666667</v>
      </c>
      <c r="J136" s="49" t="n">
        <f aca="false">$J$2</f>
        <v>0.25</v>
      </c>
      <c r="K136" s="12" t="n">
        <f aca="false">IFERROR(IF($B136="","",$E136+$J136),"")</f>
        <v>0.581063333333333</v>
      </c>
      <c r="L136" s="47" t="n">
        <f aca="false">IFERROR(IF(OR($B136="",$C136=0,$C136=""),"",$I136+ROW()*0.0000001),"")</f>
        <v>0.668950266666667</v>
      </c>
      <c r="M136" s="50" t="n">
        <f aca="false">$M$2</f>
        <v>0.9319</v>
      </c>
      <c r="N136" s="13" t="n">
        <f aca="false">IFERROR(IF($B136="","",$C136+$M136),"")</f>
        <v>9.9319</v>
      </c>
    </row>
    <row r="137" customFormat="false" ht="39" hidden="false" customHeight="true" outlineLevel="0" collapsed="false">
      <c r="A137" s="43" t="str">
        <f aca="false">IFERROR(IF(المنيو!$B137="","",المنيو!$A137),"")</f>
        <v>قسم الإضافات</v>
      </c>
      <c r="B137" s="43" t="str">
        <f aca="false">IFERROR(المنيو!$B137,"")</f>
        <v>اضافة جبنة رومي (فطير كبير)</v>
      </c>
      <c r="C137" s="13" t="n">
        <f aca="false">IFERROR(IF($B137="","",SUMIFS(الريسبي!$F$2:$F$1800,الريسبي!$A$2:$A$1800,$B137)),"")</f>
        <v>13.5</v>
      </c>
      <c r="D137" s="44" t="n">
        <f aca="false">IFERROR(IF($B137="","",المنيو!$C137),"")</f>
        <v>45</v>
      </c>
      <c r="E137" s="12" t="n">
        <f aca="false">IFERROR(IF(OR($B137="",$D137=0,$D137=""),"",$N137/$D137),"")</f>
        <v>0.320708888888889</v>
      </c>
      <c r="F137" s="49" t="n">
        <f aca="false">$F$2</f>
        <v>0.375</v>
      </c>
      <c r="G137" s="13" t="n">
        <f aca="false">IFERROR(IF($B137="","",$N137/$F137),"")</f>
        <v>38.4850666666667</v>
      </c>
      <c r="H137" s="13" t="n">
        <f aca="false">IFERROR(IF($B137="","",$D137-$N137),"")</f>
        <v>30.5681</v>
      </c>
      <c r="I137" s="12" t="n">
        <f aca="false">IFERROR(IF(OR($B137="",$D137=0,$D137=""),"",$H137/$D137),"")</f>
        <v>0.679291111111111</v>
      </c>
      <c r="J137" s="49" t="n">
        <f aca="false">$J$2</f>
        <v>0.25</v>
      </c>
      <c r="K137" s="12" t="n">
        <f aca="false">IFERROR(IF($B137="","",$E137+$J137),"")</f>
        <v>0.570708888888889</v>
      </c>
      <c r="L137" s="47" t="n">
        <f aca="false">IFERROR(IF(OR($B137="",$C137=0,$C137=""),"",$I137+ROW()*0.0000001),"")</f>
        <v>0.679304811111111</v>
      </c>
      <c r="M137" s="50" t="n">
        <f aca="false">$M$2</f>
        <v>0.9319</v>
      </c>
      <c r="N137" s="13" t="n">
        <f aca="false">IFERROR(IF($B137="","",$C137+$M137),"")</f>
        <v>14.4319</v>
      </c>
    </row>
    <row r="138" customFormat="false" ht="39" hidden="false" customHeight="true" outlineLevel="0" collapsed="false">
      <c r="A138" s="43" t="str">
        <f aca="false">IFERROR(IF(المنيو!$B138="","",المنيو!$A138),"")</f>
        <v>قسم الإضافات</v>
      </c>
      <c r="B138" s="43" t="str">
        <f aca="false">IFERROR(المنيو!$B138,"")</f>
        <v>اضافة مكسرات (وسط)</v>
      </c>
      <c r="C138" s="13" t="n">
        <f aca="false">IFERROR(IF($B138="","",SUMIFS(الريسبي!$F$2:$F$1800,الريسبي!$A$2:$A$1800,$B138)),"")</f>
        <v>23</v>
      </c>
      <c r="D138" s="44" t="n">
        <f aca="false">IFERROR(IF($B138="","",المنيو!$C138),"")</f>
        <v>40</v>
      </c>
      <c r="E138" s="12" t="n">
        <f aca="false">IFERROR(IF(OR($B138="",$D138=0,$D138=""),"",$N138/$D138),"")</f>
        <v>0.5982975</v>
      </c>
      <c r="F138" s="49" t="n">
        <f aca="false">$F$2</f>
        <v>0.375</v>
      </c>
      <c r="G138" s="13" t="n">
        <f aca="false">IFERROR(IF($B138="","",$N138/$F138),"")</f>
        <v>63.8184</v>
      </c>
      <c r="H138" s="13" t="n">
        <f aca="false">IFERROR(IF($B138="","",$D138-$N138),"")</f>
        <v>16.0681</v>
      </c>
      <c r="I138" s="12" t="n">
        <f aca="false">IFERROR(IF(OR($B138="",$D138=0,$D138=""),"",$H138/$D138),"")</f>
        <v>0.4017025</v>
      </c>
      <c r="J138" s="49" t="n">
        <f aca="false">$J$2</f>
        <v>0.25</v>
      </c>
      <c r="K138" s="12" t="n">
        <f aca="false">IFERROR(IF($B138="","",$E138+$J138),"")</f>
        <v>0.8482975</v>
      </c>
      <c r="L138" s="47" t="n">
        <f aca="false">IFERROR(IF(OR($B138="",$C138=0,$C138=""),"",$I138+ROW()*0.0000001),"")</f>
        <v>0.4017163</v>
      </c>
      <c r="M138" s="50" t="n">
        <f aca="false">$M$2</f>
        <v>0.9319</v>
      </c>
      <c r="N138" s="13" t="n">
        <f aca="false">IFERROR(IF($B138="","",$C138+$M138),"")</f>
        <v>23.9319</v>
      </c>
    </row>
    <row r="139" customFormat="false" ht="39" hidden="false" customHeight="true" outlineLevel="0" collapsed="false">
      <c r="A139" s="43" t="str">
        <f aca="false">IFERROR(IF(المنيو!$B139="","",المنيو!$A139),"")</f>
        <v>قسم الإضافات</v>
      </c>
      <c r="B139" s="43" t="str">
        <f aca="false">IFERROR(المنيو!$B139,"")</f>
        <v>اضافة مكسرات (كبير)</v>
      </c>
      <c r="C139" s="13" t="n">
        <f aca="false">IFERROR(IF($B139="","",SUMIFS(الريسبي!$F$2:$F$1800,الريسبي!$A$2:$A$1800,$B139)),"")</f>
        <v>46</v>
      </c>
      <c r="D139" s="44" t="n">
        <f aca="false">IFERROR(IF($B139="","",المنيو!$C139),"")</f>
        <v>80</v>
      </c>
      <c r="E139" s="12" t="n">
        <f aca="false">IFERROR(IF(OR($B139="",$D139=0,$D139=""),"",$N139/$D139),"")</f>
        <v>0.58664875</v>
      </c>
      <c r="F139" s="49" t="n">
        <f aca="false">$F$2</f>
        <v>0.375</v>
      </c>
      <c r="G139" s="13" t="n">
        <f aca="false">IFERROR(IF($B139="","",$N139/$F139),"")</f>
        <v>125.151733333333</v>
      </c>
      <c r="H139" s="13" t="n">
        <f aca="false">IFERROR(IF($B139="","",$D139-$N139),"")</f>
        <v>33.0681</v>
      </c>
      <c r="I139" s="12" t="n">
        <f aca="false">IFERROR(IF(OR($B139="",$D139=0,$D139=""),"",$H139/$D139),"")</f>
        <v>0.41335125</v>
      </c>
      <c r="J139" s="49" t="n">
        <f aca="false">$J$2</f>
        <v>0.25</v>
      </c>
      <c r="K139" s="12" t="n">
        <f aca="false">IFERROR(IF($B139="","",$E139+$J139),"")</f>
        <v>0.83664875</v>
      </c>
      <c r="L139" s="47" t="n">
        <f aca="false">IFERROR(IF(OR($B139="",$C139=0,$C139=""),"",$I139+ROW()*0.0000001),"")</f>
        <v>0.41336515</v>
      </c>
      <c r="M139" s="50" t="n">
        <f aca="false">$M$2</f>
        <v>0.9319</v>
      </c>
      <c r="N139" s="13" t="n">
        <f aca="false">IFERROR(IF($B139="","",$C139+$M139),"")</f>
        <v>46.9319</v>
      </c>
    </row>
    <row r="140" customFormat="false" ht="39" hidden="false" customHeight="true" outlineLevel="0" collapsed="false">
      <c r="A140" s="43" t="str">
        <f aca="false">IFERROR(IF(المنيو!$B140="","",المنيو!$A140),"")</f>
        <v>قسم الإضافات</v>
      </c>
      <c r="B140" s="43" t="str">
        <f aca="false">IFERROR(المنيو!$B140,"")</f>
        <v>اضافة شيكولاتة (عام)</v>
      </c>
      <c r="C140" s="13" t="n">
        <f aca="false">IFERROR(IF($B140="","",SUMIFS(الريسبي!$F$2:$F$1800,الريسبي!$A$2:$A$1800,$B140)),"")</f>
        <v>13</v>
      </c>
      <c r="D140" s="44" t="n">
        <f aca="false">IFERROR(IF($B140="","",المنيو!$C140),"")</f>
        <v>40</v>
      </c>
      <c r="E140" s="12" t="n">
        <f aca="false">IFERROR(IF(OR($B140="",$D140=0,$D140=""),"",$N140/$D140),"")</f>
        <v>0.3482975</v>
      </c>
      <c r="F140" s="49" t="n">
        <f aca="false">$F$2</f>
        <v>0.375</v>
      </c>
      <c r="G140" s="13" t="n">
        <f aca="false">IFERROR(IF($B140="","",$N140/$F140),"")</f>
        <v>37.1517333333333</v>
      </c>
      <c r="H140" s="13" t="n">
        <f aca="false">IFERROR(IF($B140="","",$D140-$N140),"")</f>
        <v>26.0681</v>
      </c>
      <c r="I140" s="12" t="n">
        <f aca="false">IFERROR(IF(OR($B140="",$D140=0,$D140=""),"",$H140/$D140),"")</f>
        <v>0.6517025</v>
      </c>
      <c r="J140" s="49" t="n">
        <f aca="false">$J$2</f>
        <v>0.25</v>
      </c>
      <c r="K140" s="12" t="n">
        <f aca="false">IFERROR(IF($B140="","",$E140+$J140),"")</f>
        <v>0.5982975</v>
      </c>
      <c r="L140" s="47" t="n">
        <f aca="false">IFERROR(IF(OR($B140="",$C140=0,$C140=""),"",$I140+ROW()*0.0000001),"")</f>
        <v>0.6517165</v>
      </c>
      <c r="M140" s="50" t="n">
        <f aca="false">$M$2</f>
        <v>0.9319</v>
      </c>
      <c r="N140" s="13" t="n">
        <f aca="false">IFERROR(IF($B140="","",$C140+$M140),"")</f>
        <v>13.9319</v>
      </c>
    </row>
    <row r="141" customFormat="false" ht="39" hidden="false" customHeight="true" outlineLevel="0" collapsed="false">
      <c r="A141" s="43" t="str">
        <f aca="false">IFERROR(IF(المنيو!$B141="","",المنيو!$A141),"")</f>
        <v>قسم الإضافات</v>
      </c>
      <c r="B141" s="43" t="str">
        <f aca="false">IFERROR(المنيو!$B141,"")</f>
        <v>اضافة قشطة (عام)</v>
      </c>
      <c r="C141" s="13" t="n">
        <f aca="false">IFERROR(IF($B141="","",SUMIFS(الريسبي!$F$2:$F$1800,الريسبي!$A$2:$A$1800,$B141)),"")</f>
        <v>25</v>
      </c>
      <c r="D141" s="44" t="n">
        <f aca="false">IFERROR(IF($B141="","",المنيو!$C141),"")</f>
        <v>50</v>
      </c>
      <c r="E141" s="12" t="n">
        <f aca="false">IFERROR(IF(OR($B141="",$D141=0,$D141=""),"",$N141/$D141),"")</f>
        <v>0.518638</v>
      </c>
      <c r="F141" s="49" t="n">
        <f aca="false">$F$2</f>
        <v>0.375</v>
      </c>
      <c r="G141" s="13" t="n">
        <f aca="false">IFERROR(IF($B141="","",$N141/$F141),"")</f>
        <v>69.1517333333333</v>
      </c>
      <c r="H141" s="13" t="n">
        <f aca="false">IFERROR(IF($B141="","",$D141-$N141),"")</f>
        <v>24.0681</v>
      </c>
      <c r="I141" s="12" t="n">
        <f aca="false">IFERROR(IF(OR($B141="",$D141=0,$D141=""),"",$H141/$D141),"")</f>
        <v>0.481362</v>
      </c>
      <c r="J141" s="49" t="n">
        <f aca="false">$J$2</f>
        <v>0.25</v>
      </c>
      <c r="K141" s="12" t="n">
        <f aca="false">IFERROR(IF($B141="","",$E141+$J141),"")</f>
        <v>0.768638</v>
      </c>
      <c r="L141" s="47" t="n">
        <f aca="false">IFERROR(IF(OR($B141="",$C141=0,$C141=""),"",$I141+ROW()*0.0000001),"")</f>
        <v>0.4813761</v>
      </c>
      <c r="M141" s="50" t="n">
        <f aca="false">$M$2</f>
        <v>0.9319</v>
      </c>
      <c r="N141" s="13" t="n">
        <f aca="false">IFERROR(IF($B141="","",$C141+$M141),"")</f>
        <v>25.9319</v>
      </c>
    </row>
    <row r="142" customFormat="false" ht="39" hidden="false" customHeight="true" outlineLevel="0" collapsed="false">
      <c r="A142" s="43" t="str">
        <f aca="false">IFERROR(IF(المنيو!$B142="","",المنيو!$A142),"")</f>
        <v>قسم الإضافات</v>
      </c>
      <c r="B142" s="43" t="str">
        <f aca="false">IFERROR(المنيو!$B142,"")</f>
        <v>اضافة مفروم (بيتزا وسط)</v>
      </c>
      <c r="C142" s="13" t="n">
        <f aca="false">IFERROR(IF($B142="","",SUMIFS(الريسبي!$F$2:$F$1800,الريسبي!$A$2:$A$1800,$B142)),"")</f>
        <v>21</v>
      </c>
      <c r="D142" s="44" t="n">
        <f aca="false">IFERROR(IF($B142="","",المنيو!$C142),"")</f>
        <v>50</v>
      </c>
      <c r="E142" s="12" t="n">
        <f aca="false">IFERROR(IF(OR($B142="",$D142=0,$D142=""),"",$N142/$D142),"")</f>
        <v>0.438638</v>
      </c>
      <c r="F142" s="49" t="n">
        <f aca="false">$F$2</f>
        <v>0.375</v>
      </c>
      <c r="G142" s="13" t="n">
        <f aca="false">IFERROR(IF($B142="","",$N142/$F142),"")</f>
        <v>58.4850666666667</v>
      </c>
      <c r="H142" s="13" t="n">
        <f aca="false">IFERROR(IF($B142="","",$D142-$N142),"")</f>
        <v>28.0681</v>
      </c>
      <c r="I142" s="12" t="n">
        <f aca="false">IFERROR(IF(OR($B142="",$D142=0,$D142=""),"",$H142/$D142),"")</f>
        <v>0.561362</v>
      </c>
      <c r="J142" s="49" t="n">
        <f aca="false">$J$2</f>
        <v>0.25</v>
      </c>
      <c r="K142" s="12" t="n">
        <f aca="false">IFERROR(IF($B142="","",$E142+$J142),"")</f>
        <v>0.688638</v>
      </c>
      <c r="L142" s="47" t="n">
        <f aca="false">IFERROR(IF(OR($B142="",$C142=0,$C142=""),"",$I142+ROW()*0.0000001),"")</f>
        <v>0.5613762</v>
      </c>
      <c r="M142" s="50" t="n">
        <f aca="false">$M$2</f>
        <v>0.9319</v>
      </c>
      <c r="N142" s="13" t="n">
        <f aca="false">IFERROR(IF($B142="","",$C142+$M142),"")</f>
        <v>21.9319</v>
      </c>
    </row>
    <row r="143" customFormat="false" ht="39" hidden="false" customHeight="true" outlineLevel="0" collapsed="false">
      <c r="A143" s="43" t="str">
        <f aca="false">IFERROR(IF(المنيو!$B143="","",المنيو!$A143),"")</f>
        <v>قسم الإضافات</v>
      </c>
      <c r="B143" s="43" t="str">
        <f aca="false">IFERROR(المنيو!$B143,"")</f>
        <v>اضافة مفروم (فطير وسط)</v>
      </c>
      <c r="C143" s="13" t="n">
        <f aca="false">IFERROR(IF($B143="","",SUMIFS(الريسبي!$F$2:$F$1800,الريسبي!$A$2:$A$1800,$B143)),"")</f>
        <v>21</v>
      </c>
      <c r="D143" s="44" t="n">
        <f aca="false">IFERROR(IF($B143="","",المنيو!$C143),"")</f>
        <v>50</v>
      </c>
      <c r="E143" s="12" t="n">
        <f aca="false">IFERROR(IF(OR($B143="",$D143=0,$D143=""),"",$N143/$D143),"")</f>
        <v>0.438638</v>
      </c>
      <c r="F143" s="49" t="n">
        <f aca="false">$F$2</f>
        <v>0.375</v>
      </c>
      <c r="G143" s="13" t="n">
        <f aca="false">IFERROR(IF($B143="","",$N143/$F143),"")</f>
        <v>58.4850666666667</v>
      </c>
      <c r="H143" s="13" t="n">
        <f aca="false">IFERROR(IF($B143="","",$D143-$N143),"")</f>
        <v>28.0681</v>
      </c>
      <c r="I143" s="12" t="n">
        <f aca="false">IFERROR(IF(OR($B143="",$D143=0,$D143=""),"",$H143/$D143),"")</f>
        <v>0.561362</v>
      </c>
      <c r="J143" s="49" t="n">
        <f aca="false">$J$2</f>
        <v>0.25</v>
      </c>
      <c r="K143" s="12" t="n">
        <f aca="false">IFERROR(IF($B143="","",$E143+$J143),"")</f>
        <v>0.688638</v>
      </c>
      <c r="L143" s="47" t="n">
        <f aca="false">IFERROR(IF(OR($B143="",$C143=0,$C143=""),"",$I143+ROW()*0.0000001),"")</f>
        <v>0.5613763</v>
      </c>
      <c r="M143" s="50" t="n">
        <f aca="false">$M$2</f>
        <v>0.9319</v>
      </c>
      <c r="N143" s="13" t="n">
        <f aca="false">IFERROR(IF($B143="","",$C143+$M143),"")</f>
        <v>21.9319</v>
      </c>
    </row>
    <row r="144" customFormat="false" ht="39" hidden="false" customHeight="true" outlineLevel="0" collapsed="false">
      <c r="A144" s="43" t="str">
        <f aca="false">IFERROR(IF(المنيو!$B144="","",المنيو!$A144),"")</f>
        <v>قسم الإضافات</v>
      </c>
      <c r="B144" s="43" t="str">
        <f aca="false">IFERROR(المنيو!$B144,"")</f>
        <v>اضافة سدق (بيتزا وسط)</v>
      </c>
      <c r="C144" s="13" t="n">
        <f aca="false">IFERROR(IF($B144="","",SUMIFS(الريسبي!$F$2:$F$1800,الريسبي!$A$2:$A$1800,$B144)),"")</f>
        <v>34</v>
      </c>
      <c r="D144" s="44" t="n">
        <f aca="false">IFERROR(IF($B144="","",المنيو!$C144),"")</f>
        <v>70</v>
      </c>
      <c r="E144" s="12" t="n">
        <f aca="false">IFERROR(IF(OR($B144="",$D144=0,$D144=""),"",$N144/$D144),"")</f>
        <v>0.499027142857143</v>
      </c>
      <c r="F144" s="49" t="n">
        <f aca="false">$F$2</f>
        <v>0.375</v>
      </c>
      <c r="G144" s="13" t="n">
        <f aca="false">IFERROR(IF($B144="","",$N144/$F144),"")</f>
        <v>93.1517333333333</v>
      </c>
      <c r="H144" s="13" t="n">
        <f aca="false">IFERROR(IF($B144="","",$D144-$N144),"")</f>
        <v>35.0681</v>
      </c>
      <c r="I144" s="12" t="n">
        <f aca="false">IFERROR(IF(OR($B144="",$D144=0,$D144=""),"",$H144/$D144),"")</f>
        <v>0.500972857142857</v>
      </c>
      <c r="J144" s="49" t="n">
        <f aca="false">$J$2</f>
        <v>0.25</v>
      </c>
      <c r="K144" s="12" t="n">
        <f aca="false">IFERROR(IF($B144="","",$E144+$J144),"")</f>
        <v>0.749027142857143</v>
      </c>
      <c r="L144" s="47" t="n">
        <f aca="false">IFERROR(IF(OR($B144="",$C144=0,$C144=""),"",$I144+ROW()*0.0000001),"")</f>
        <v>0.500987257142857</v>
      </c>
      <c r="M144" s="50" t="n">
        <f aca="false">$M$2</f>
        <v>0.9319</v>
      </c>
      <c r="N144" s="13" t="n">
        <f aca="false">IFERROR(IF($B144="","",$C144+$M144),"")</f>
        <v>34.9319</v>
      </c>
    </row>
    <row r="145" customFormat="false" ht="39" hidden="false" customHeight="true" outlineLevel="0" collapsed="false">
      <c r="A145" s="43" t="str">
        <f aca="false">IFERROR(IF(المنيو!$B145="","",المنيو!$A145),"")</f>
        <v>قسم الإضافات</v>
      </c>
      <c r="B145" s="43" t="str">
        <f aca="false">IFERROR(المنيو!$B145,"")</f>
        <v>اضافة سدق (فطير وسط)</v>
      </c>
      <c r="C145" s="13" t="n">
        <f aca="false">IFERROR(IF($B145="","",SUMIFS(الريسبي!$F$2:$F$1800,الريسبي!$A$2:$A$1800,$B145)),"")</f>
        <v>34</v>
      </c>
      <c r="D145" s="44" t="n">
        <f aca="false">IFERROR(IF($B145="","",المنيو!$C145),"")</f>
        <v>73.33</v>
      </c>
      <c r="E145" s="12" t="n">
        <f aca="false">IFERROR(IF(OR($B145="",$D145=0,$D145=""),"",$N145/$D145),"")</f>
        <v>0.47636574389745</v>
      </c>
      <c r="F145" s="49" t="n">
        <f aca="false">$F$2</f>
        <v>0.375</v>
      </c>
      <c r="G145" s="13" t="n">
        <f aca="false">IFERROR(IF($B145="","",$N145/$F145),"")</f>
        <v>93.1517333333333</v>
      </c>
      <c r="H145" s="13" t="n">
        <f aca="false">IFERROR(IF($B145="","",$D145-$N145),"")</f>
        <v>38.3981</v>
      </c>
      <c r="I145" s="12" t="n">
        <f aca="false">IFERROR(IF(OR($B145="",$D145=0,$D145=""),"",$H145/$D145),"")</f>
        <v>0.52363425610255</v>
      </c>
      <c r="J145" s="49" t="n">
        <f aca="false">$J$2</f>
        <v>0.25</v>
      </c>
      <c r="K145" s="12" t="n">
        <f aca="false">IFERROR(IF($B145="","",$E145+$J145),"")</f>
        <v>0.72636574389745</v>
      </c>
      <c r="L145" s="47" t="n">
        <f aca="false">IFERROR(IF(OR($B145="",$C145=0,$C145=""),"",$I145+ROW()*0.0000001),"")</f>
        <v>0.52364875610255</v>
      </c>
      <c r="M145" s="50" t="n">
        <f aca="false">$M$2</f>
        <v>0.9319</v>
      </c>
      <c r="N145" s="13" t="n">
        <f aca="false">IFERROR(IF($B145="","",$C145+$M145),"")</f>
        <v>34.9319</v>
      </c>
    </row>
    <row r="146" customFormat="false" ht="39" hidden="false" customHeight="true" outlineLevel="0" collapsed="false">
      <c r="A146" s="43" t="str">
        <f aca="false">IFERROR(IF(المنيو!$B146="","",المنيو!$A146),"")</f>
        <v>قسم الإضافات</v>
      </c>
      <c r="B146" s="43" t="str">
        <f aca="false">IFERROR(المنيو!$B146,"")</f>
        <v>اضافة سدق (فطير كبير)</v>
      </c>
      <c r="C146" s="13" t="n">
        <f aca="false">IFERROR(IF($B146="","",SUMIFS(الريسبي!$F$2:$F$1800,الريسبي!$A$2:$A$1800,$B146)),"")</f>
        <v>45</v>
      </c>
      <c r="D146" s="44" t="n">
        <f aca="false">IFERROR(IF($B146="","",المنيو!$C146),"")</f>
        <v>90</v>
      </c>
      <c r="E146" s="12" t="n">
        <f aca="false">IFERROR(IF(OR($B146="",$D146=0,$D146=""),"",$N146/$D146),"")</f>
        <v>0.510354444444444</v>
      </c>
      <c r="F146" s="49" t="n">
        <f aca="false">$F$2</f>
        <v>0.375</v>
      </c>
      <c r="G146" s="13" t="n">
        <f aca="false">IFERROR(IF($B146="","",$N146/$F146),"")</f>
        <v>122.485066666667</v>
      </c>
      <c r="H146" s="13" t="n">
        <f aca="false">IFERROR(IF($B146="","",$D146-$N146),"")</f>
        <v>44.0681</v>
      </c>
      <c r="I146" s="12" t="n">
        <f aca="false">IFERROR(IF(OR($B146="",$D146=0,$D146=""),"",$H146/$D146),"")</f>
        <v>0.489645555555556</v>
      </c>
      <c r="J146" s="49" t="n">
        <f aca="false">$J$2</f>
        <v>0.25</v>
      </c>
      <c r="K146" s="12" t="n">
        <f aca="false">IFERROR(IF($B146="","",$E146+$J146),"")</f>
        <v>0.760354444444444</v>
      </c>
      <c r="L146" s="47" t="n">
        <f aca="false">IFERROR(IF(OR($B146="",$C146=0,$C146=""),"",$I146+ROW()*0.0000001),"")</f>
        <v>0.489660155555556</v>
      </c>
      <c r="M146" s="50" t="n">
        <f aca="false">$M$2</f>
        <v>0.9319</v>
      </c>
      <c r="N146" s="13" t="n">
        <f aca="false">IFERROR(IF($B146="","",$C146+$M146),"")</f>
        <v>45.9319</v>
      </c>
    </row>
    <row r="147" customFormat="false" ht="39" hidden="false" customHeight="true" outlineLevel="0" collapsed="false">
      <c r="A147" s="43" t="str">
        <f aca="false">IFERROR(IF(المنيو!$B147="","",المنيو!$A147),"")</f>
        <v>قسم الإضافات</v>
      </c>
      <c r="B147" s="43" t="str">
        <f aca="false">IFERROR(المنيو!$B147,"")</f>
        <v>اضافة بسطرمة (بيتزا وسط)</v>
      </c>
      <c r="C147" s="13" t="n">
        <f aca="false">IFERROR(IF($B147="","",SUMIFS(الريسبي!$F$2:$F$1800,الريسبي!$A$2:$A$1800,$B147)),"")</f>
        <v>35</v>
      </c>
      <c r="D147" s="44" t="n">
        <f aca="false">IFERROR(IF($B147="","",المنيو!$C147),"")</f>
        <v>70</v>
      </c>
      <c r="E147" s="12" t="n">
        <f aca="false">IFERROR(IF(OR($B147="",$D147=0,$D147=""),"",$N147/$D147),"")</f>
        <v>0.513312857142857</v>
      </c>
      <c r="F147" s="49" t="n">
        <f aca="false">$F$2</f>
        <v>0.375</v>
      </c>
      <c r="G147" s="13" t="n">
        <f aca="false">IFERROR(IF($B147="","",$N147/$F147),"")</f>
        <v>95.8184</v>
      </c>
      <c r="H147" s="13" t="n">
        <f aca="false">IFERROR(IF($B147="","",$D147-$N147),"")</f>
        <v>34.0681</v>
      </c>
      <c r="I147" s="12" t="n">
        <f aca="false">IFERROR(IF(OR($B147="",$D147=0,$D147=""),"",$H147/$D147),"")</f>
        <v>0.486687142857143</v>
      </c>
      <c r="J147" s="49" t="n">
        <f aca="false">$J$2</f>
        <v>0.25</v>
      </c>
      <c r="K147" s="12" t="n">
        <f aca="false">IFERROR(IF($B147="","",$E147+$J147),"")</f>
        <v>0.763312857142857</v>
      </c>
      <c r="L147" s="47" t="n">
        <f aca="false">IFERROR(IF(OR($B147="",$C147=0,$C147=""),"",$I147+ROW()*0.0000001),"")</f>
        <v>0.486701842857143</v>
      </c>
      <c r="M147" s="50" t="n">
        <f aca="false">$M$2</f>
        <v>0.9319</v>
      </c>
      <c r="N147" s="13" t="n">
        <f aca="false">IFERROR(IF($B147="","",$C147+$M147),"")</f>
        <v>35.9319</v>
      </c>
    </row>
    <row r="148" customFormat="false" ht="39" hidden="false" customHeight="true" outlineLevel="0" collapsed="false">
      <c r="A148" s="43" t="str">
        <f aca="false">IFERROR(IF(المنيو!$B148="","",المنيو!$A148),"")</f>
        <v>قسم الإضافات</v>
      </c>
      <c r="B148" s="43" t="str">
        <f aca="false">IFERROR(المنيو!$B148,"")</f>
        <v>اضافة بسطرمة (فطير وسط)</v>
      </c>
      <c r="C148" s="13" t="n">
        <f aca="false">IFERROR(IF($B148="","",SUMIFS(الريسبي!$F$2:$F$1800,الريسبي!$A$2:$A$1800,$B148)),"")</f>
        <v>35</v>
      </c>
      <c r="D148" s="44" t="n">
        <f aca="false">IFERROR(IF($B148="","",المنيو!$C148),"")</f>
        <v>70</v>
      </c>
      <c r="E148" s="12" t="n">
        <f aca="false">IFERROR(IF(OR($B148="",$D148=0,$D148=""),"",$N148/$D148),"")</f>
        <v>0.513312857142857</v>
      </c>
      <c r="F148" s="49" t="n">
        <f aca="false">$F$2</f>
        <v>0.375</v>
      </c>
      <c r="G148" s="13" t="n">
        <f aca="false">IFERROR(IF($B148="","",$N148/$F148),"")</f>
        <v>95.8184</v>
      </c>
      <c r="H148" s="13" t="n">
        <f aca="false">IFERROR(IF($B148="","",$D148-$N148),"")</f>
        <v>34.0681</v>
      </c>
      <c r="I148" s="12" t="n">
        <f aca="false">IFERROR(IF(OR($B148="",$D148=0,$D148=""),"",$H148/$D148),"")</f>
        <v>0.486687142857143</v>
      </c>
      <c r="J148" s="49" t="n">
        <f aca="false">$J$2</f>
        <v>0.25</v>
      </c>
      <c r="K148" s="12" t="n">
        <f aca="false">IFERROR(IF($B148="","",$E148+$J148),"")</f>
        <v>0.763312857142857</v>
      </c>
      <c r="L148" s="47" t="n">
        <f aca="false">IFERROR(IF(OR($B148="",$C148=0,$C148=""),"",$I148+ROW()*0.0000001),"")</f>
        <v>0.486701942857143</v>
      </c>
      <c r="M148" s="50" t="n">
        <f aca="false">$M$2</f>
        <v>0.9319</v>
      </c>
      <c r="N148" s="13" t="n">
        <f aca="false">IFERROR(IF($B148="","",$C148+$M148),"")</f>
        <v>35.9319</v>
      </c>
    </row>
    <row r="149" customFormat="false" ht="39" hidden="false" customHeight="true" outlineLevel="0" collapsed="false">
      <c r="A149" s="43" t="str">
        <f aca="false">IFERROR(IF(المنيو!$B149="","",المنيو!$A149),"")</f>
        <v>قسم الإضافات</v>
      </c>
      <c r="B149" s="43" t="str">
        <f aca="false">IFERROR(المنيو!$B149,"")</f>
        <v>اضافة بسطرمة (فطير كبير)</v>
      </c>
      <c r="C149" s="13" t="n">
        <f aca="false">IFERROR(IF($B149="","",SUMIFS(الريسبي!$F$2:$F$1800,الريسبي!$A$2:$A$1800,$B149)),"")</f>
        <v>46.8889</v>
      </c>
      <c r="D149" s="44" t="n">
        <f aca="false">IFERROR(IF($B149="","",المنيو!$C149),"")</f>
        <v>90</v>
      </c>
      <c r="E149" s="12" t="n">
        <f aca="false">IFERROR(IF(OR($B149="",$D149=0,$D149=""),"",$N149/$D149),"")</f>
        <v>0.531342222222222</v>
      </c>
      <c r="F149" s="49" t="n">
        <f aca="false">$F$2</f>
        <v>0.375</v>
      </c>
      <c r="G149" s="13" t="n">
        <f aca="false">IFERROR(IF($B149="","",$N149/$F149),"")</f>
        <v>127.522133333333</v>
      </c>
      <c r="H149" s="13" t="n">
        <f aca="false">IFERROR(IF($B149="","",$D149-$N149),"")</f>
        <v>42.1792</v>
      </c>
      <c r="I149" s="12" t="n">
        <f aca="false">IFERROR(IF(OR($B149="",$D149=0,$D149=""),"",$H149/$D149),"")</f>
        <v>0.468657777777778</v>
      </c>
      <c r="J149" s="49" t="n">
        <f aca="false">$J$2</f>
        <v>0.25</v>
      </c>
      <c r="K149" s="12" t="n">
        <f aca="false">IFERROR(IF($B149="","",$E149+$J149),"")</f>
        <v>0.781342222222222</v>
      </c>
      <c r="L149" s="47" t="n">
        <f aca="false">IFERROR(IF(OR($B149="",$C149=0,$C149=""),"",$I149+ROW()*0.0000001),"")</f>
        <v>0.468672677777778</v>
      </c>
      <c r="M149" s="50" t="n">
        <f aca="false">$M$2</f>
        <v>0.9319</v>
      </c>
      <c r="N149" s="13" t="n">
        <f aca="false">IFERROR(IF($B149="","",$C149+$M149),"")</f>
        <v>47.8208</v>
      </c>
    </row>
    <row r="150" customFormat="false" ht="39" hidden="false" customHeight="true" outlineLevel="0" collapsed="false">
      <c r="A150" s="43" t="str">
        <f aca="false">IFERROR(IF(المنيو!$B150="","",المنيو!$A150),"")</f>
        <v>قسم الإضافات</v>
      </c>
      <c r="B150" s="43" t="str">
        <f aca="false">IFERROR(المنيو!$B150,"")</f>
        <v>اضافة سلامي (بيتزا وسط)</v>
      </c>
      <c r="C150" s="13" t="n">
        <f aca="false">IFERROR(IF($B150="","",SUMIFS(الريسبي!$F$2:$F$1800,الريسبي!$A$2:$A$1800,$B150)),"")</f>
        <v>27.1442</v>
      </c>
      <c r="D150" s="44" t="n">
        <f aca="false">IFERROR(IF($B150="","",المنيو!$C150),"")</f>
        <v>50</v>
      </c>
      <c r="E150" s="12" t="n">
        <f aca="false">IFERROR(IF(OR($B150="",$D150=0,$D150=""),"",$N150/$D150),"")</f>
        <v>0.561522</v>
      </c>
      <c r="F150" s="49" t="n">
        <f aca="false">$F$2</f>
        <v>0.375</v>
      </c>
      <c r="G150" s="13" t="n">
        <f aca="false">IFERROR(IF($B150="","",$N150/$F150),"")</f>
        <v>74.8696</v>
      </c>
      <c r="H150" s="13" t="n">
        <f aca="false">IFERROR(IF($B150="","",$D150-$N150),"")</f>
        <v>21.9239</v>
      </c>
      <c r="I150" s="12" t="n">
        <f aca="false">IFERROR(IF(OR($B150="",$D150=0,$D150=""),"",$H150/$D150),"")</f>
        <v>0.438478</v>
      </c>
      <c r="J150" s="49" t="n">
        <f aca="false">$J$2</f>
        <v>0.25</v>
      </c>
      <c r="K150" s="12" t="n">
        <f aca="false">IFERROR(IF($B150="","",$E150+$J150),"")</f>
        <v>0.811522</v>
      </c>
      <c r="L150" s="47" t="n">
        <f aca="false">IFERROR(IF(OR($B150="",$C150=0,$C150=""),"",$I150+ROW()*0.0000001),"")</f>
        <v>0.438493</v>
      </c>
      <c r="M150" s="50" t="n">
        <f aca="false">$M$2</f>
        <v>0.9319</v>
      </c>
      <c r="N150" s="13" t="n">
        <f aca="false">IFERROR(IF($B150="","",$C150+$M150),"")</f>
        <v>28.0761</v>
      </c>
    </row>
    <row r="151" customFormat="false" ht="39" hidden="false" customHeight="true" outlineLevel="0" collapsed="false">
      <c r="A151" s="43" t="str">
        <f aca="false">IFERROR(IF(المنيو!$B151="","",المنيو!$A151),"")</f>
        <v>قسم الإضافات</v>
      </c>
      <c r="B151" s="43" t="str">
        <f aca="false">IFERROR(المنيو!$B151,"")</f>
        <v>اضافة تونة (بيتزا وسط)</v>
      </c>
      <c r="C151" s="13" t="n">
        <f aca="false">IFERROR(IF($B151="","",SUMIFS(الريسبي!$F$2:$F$1800,الريسبي!$A$2:$A$1800,$B151)),"")</f>
        <v>42.03</v>
      </c>
      <c r="D151" s="44" t="n">
        <f aca="false">IFERROR(IF($B151="","",المنيو!$C151),"")</f>
        <v>70</v>
      </c>
      <c r="E151" s="12" t="n">
        <f aca="false">IFERROR(IF(OR($B151="",$D151=0,$D151=""),"",$N151/$D151),"")</f>
        <v>0.613741428571429</v>
      </c>
      <c r="F151" s="49" t="n">
        <f aca="false">$F$2</f>
        <v>0.375</v>
      </c>
      <c r="G151" s="13" t="n">
        <f aca="false">IFERROR(IF($B151="","",$N151/$F151),"")</f>
        <v>114.565066666667</v>
      </c>
      <c r="H151" s="13" t="n">
        <f aca="false">IFERROR(IF($B151="","",$D151-$N151),"")</f>
        <v>27.0381</v>
      </c>
      <c r="I151" s="12" t="n">
        <f aca="false">IFERROR(IF(OR($B151="",$D151=0,$D151=""),"",$H151/$D151),"")</f>
        <v>0.386258571428571</v>
      </c>
      <c r="J151" s="49" t="n">
        <f aca="false">$J$2</f>
        <v>0.25</v>
      </c>
      <c r="K151" s="12" t="n">
        <f aca="false">IFERROR(IF($B151="","",$E151+$J151),"")</f>
        <v>0.863741428571429</v>
      </c>
      <c r="L151" s="47" t="n">
        <f aca="false">IFERROR(IF(OR($B151="",$C151=0,$C151=""),"",$I151+ROW()*0.0000001),"")</f>
        <v>0.386273671428571</v>
      </c>
      <c r="M151" s="50" t="n">
        <f aca="false">$M$2</f>
        <v>0.9319</v>
      </c>
      <c r="N151" s="13" t="n">
        <f aca="false">IFERROR(IF($B151="","",$C151+$M151),"")</f>
        <v>42.9619</v>
      </c>
    </row>
    <row r="152" customFormat="false" ht="39" hidden="false" customHeight="true" outlineLevel="0" collapsed="false">
      <c r="A152" s="43" t="str">
        <f aca="false">IFERROR(IF(المنيو!$B152="","",المنيو!$A152),"")</f>
        <v>قسم الإضافات</v>
      </c>
      <c r="B152" s="43" t="str">
        <f aca="false">IFERROR(المنيو!$B152,"")</f>
        <v>اضافة جمبري (بيتزا وسط)</v>
      </c>
      <c r="C152" s="13" t="n">
        <f aca="false">IFERROR(IF($B152="","",SUMIFS(الريسبي!$F$2:$F$1800,الريسبي!$A$2:$A$1800,$B152)),"")</f>
        <v>95</v>
      </c>
      <c r="D152" s="44" t="n">
        <f aca="false">IFERROR(IF($B152="","",المنيو!$C152),"")</f>
        <v>130</v>
      </c>
      <c r="E152" s="12" t="n">
        <f aca="false">IFERROR(IF(OR($B152="",$D152=0,$D152=""),"",$N152/$D152),"")</f>
        <v>0.737937692307692</v>
      </c>
      <c r="F152" s="49" t="n">
        <f aca="false">$F$2</f>
        <v>0.375</v>
      </c>
      <c r="G152" s="13" t="n">
        <f aca="false">IFERROR(IF($B152="","",$N152/$F152),"")</f>
        <v>255.8184</v>
      </c>
      <c r="H152" s="13" t="n">
        <f aca="false">IFERROR(IF($B152="","",$D152-$N152),"")</f>
        <v>34.0681</v>
      </c>
      <c r="I152" s="12" t="n">
        <f aca="false">IFERROR(IF(OR($B152="",$D152=0,$D152=""),"",$H152/$D152),"")</f>
        <v>0.262062307692308</v>
      </c>
      <c r="J152" s="49" t="n">
        <f aca="false">$J$2</f>
        <v>0.25</v>
      </c>
      <c r="K152" s="12" t="n">
        <f aca="false">IFERROR(IF($B152="","",$E152+$J152),"")</f>
        <v>0.987937692307692</v>
      </c>
      <c r="L152" s="47" t="n">
        <f aca="false">IFERROR(IF(OR($B152="",$C152=0,$C152=""),"",$I152+ROW()*0.0000001),"")</f>
        <v>0.262077507692308</v>
      </c>
      <c r="M152" s="50" t="n">
        <f aca="false">$M$2</f>
        <v>0.9319</v>
      </c>
      <c r="N152" s="13" t="n">
        <f aca="false">IFERROR(IF($B152="","",$C152+$M152),"")</f>
        <v>95.9319</v>
      </c>
    </row>
    <row r="153" customFormat="false" ht="39" hidden="false" customHeight="true" outlineLevel="0" collapsed="false">
      <c r="A153" s="43" t="str">
        <f aca="false">IFERROR(IF(المنيو!$B153="","",المنيو!$A153),"")</f>
        <v>قسم الإضافات</v>
      </c>
      <c r="B153" s="43" t="str">
        <f aca="false">IFERROR(المنيو!$B153,"")</f>
        <v>اضافة فراخ جريل (بيتزا وسط)</v>
      </c>
      <c r="C153" s="13" t="n">
        <f aca="false">IFERROR(IF($B153="","",SUMIFS(الريسبي!$F$2:$F$1800,الريسبي!$A$2:$A$1800,$B153)),"")</f>
        <v>33.7609</v>
      </c>
      <c r="D153" s="44" t="n">
        <f aca="false">IFERROR(IF($B153="","",المنيو!$C153),"")</f>
        <v>70</v>
      </c>
      <c r="E153" s="12" t="n">
        <f aca="false">IFERROR(IF(OR($B153="",$D153=0,$D153=""),"",$N153/$D153),"")</f>
        <v>0.495611428571429</v>
      </c>
      <c r="F153" s="49" t="n">
        <f aca="false">$F$2</f>
        <v>0.375</v>
      </c>
      <c r="G153" s="13" t="n">
        <f aca="false">IFERROR(IF($B153="","",$N153/$F153),"")</f>
        <v>92.5141333333333</v>
      </c>
      <c r="H153" s="13" t="n">
        <f aca="false">IFERROR(IF($B153="","",$D153-$N153),"")</f>
        <v>35.3072</v>
      </c>
      <c r="I153" s="12" t="n">
        <f aca="false">IFERROR(IF(OR($B153="",$D153=0,$D153=""),"",$H153/$D153),"")</f>
        <v>0.504388571428571</v>
      </c>
      <c r="J153" s="49" t="n">
        <f aca="false">$J$2</f>
        <v>0.25</v>
      </c>
      <c r="K153" s="12" t="n">
        <f aca="false">IFERROR(IF($B153="","",$E153+$J153),"")</f>
        <v>0.745611428571429</v>
      </c>
      <c r="L153" s="47" t="n">
        <f aca="false">IFERROR(IF(OR($B153="",$C153=0,$C153=""),"",$I153+ROW()*0.0000001),"")</f>
        <v>0.504403871428572</v>
      </c>
      <c r="M153" s="50" t="n">
        <f aca="false">$M$2</f>
        <v>0.9319</v>
      </c>
      <c r="N153" s="13" t="n">
        <f aca="false">IFERROR(IF($B153="","",$C153+$M153),"")</f>
        <v>34.6928</v>
      </c>
    </row>
    <row r="154" customFormat="false" ht="39" hidden="false" customHeight="true" outlineLevel="0" collapsed="false">
      <c r="A154" s="43" t="str">
        <f aca="false">IFERROR(IF(المنيو!$B154="","",المنيو!$A154),"")</f>
        <v>قسم الإضافات</v>
      </c>
      <c r="B154" s="43" t="str">
        <f aca="false">IFERROR(المنيو!$B154,"")</f>
        <v>اضافة فراخ جريل (بيتزا كبير)</v>
      </c>
      <c r="C154" s="13" t="n">
        <f aca="false">IFERROR(IF($B154="","",SUMIFS(الريسبي!$F$2:$F$1800,الريسبي!$A$2:$A$1800,$B154)),"")</f>
        <v>48.2857</v>
      </c>
      <c r="D154" s="44" t="n">
        <f aca="false">IFERROR(IF($B154="","",المنيو!$C154),"")</f>
        <v>120</v>
      </c>
      <c r="E154" s="12" t="n">
        <f aca="false">IFERROR(IF(OR($B154="",$D154=0,$D154=""),"",$N154/$D154),"")</f>
        <v>0.410146666666667</v>
      </c>
      <c r="F154" s="49" t="n">
        <f aca="false">$F$2</f>
        <v>0.375</v>
      </c>
      <c r="G154" s="13" t="n">
        <f aca="false">IFERROR(IF($B154="","",$N154/$F154),"")</f>
        <v>131.246933333333</v>
      </c>
      <c r="H154" s="13" t="n">
        <f aca="false">IFERROR(IF($B154="","",$D154-$N154),"")</f>
        <v>70.7824</v>
      </c>
      <c r="I154" s="12" t="n">
        <f aca="false">IFERROR(IF(OR($B154="",$D154=0,$D154=""),"",$H154/$D154),"")</f>
        <v>0.589853333333333</v>
      </c>
      <c r="J154" s="49" t="n">
        <f aca="false">$J$2</f>
        <v>0.25</v>
      </c>
      <c r="K154" s="12" t="n">
        <f aca="false">IFERROR(IF($B154="","",$E154+$J154),"")</f>
        <v>0.660146666666667</v>
      </c>
      <c r="L154" s="47" t="n">
        <f aca="false">IFERROR(IF(OR($B154="",$C154=0,$C154=""),"",$I154+ROW()*0.0000001),"")</f>
        <v>0.589868733333333</v>
      </c>
      <c r="M154" s="50" t="n">
        <f aca="false">$M$2</f>
        <v>0.9319</v>
      </c>
      <c r="N154" s="13" t="n">
        <f aca="false">IFERROR(IF($B154="","",$C154+$M154),"")</f>
        <v>49.2176</v>
      </c>
    </row>
    <row r="155" customFormat="false" ht="39" hidden="false" customHeight="true" outlineLevel="0" collapsed="false">
      <c r="A155" s="43" t="str">
        <f aca="false">IFERROR(IF(المنيو!$B155="","",المنيو!$A155),"")</f>
        <v>قسم الإضافات</v>
      </c>
      <c r="B155" s="43" t="str">
        <f aca="false">IFERROR(المنيو!$B155,"")</f>
        <v>اضافة فراخ جريل (فطير كبير)</v>
      </c>
      <c r="C155" s="13" t="n">
        <f aca="false">IFERROR(IF($B155="","",SUMIFS(الريسبي!$F$2:$F$1800,الريسبي!$A$2:$A$1800,$B155)),"")</f>
        <v>48.2857</v>
      </c>
      <c r="D155" s="44" t="n">
        <f aca="false">IFERROR(IF($B155="","",المنيو!$C155),"")</f>
        <v>120</v>
      </c>
      <c r="E155" s="12" t="n">
        <f aca="false">IFERROR(IF(OR($B155="",$D155=0,$D155=""),"",$N155/$D155),"")</f>
        <v>0.410146666666667</v>
      </c>
      <c r="F155" s="49" t="n">
        <f aca="false">$F$2</f>
        <v>0.375</v>
      </c>
      <c r="G155" s="13" t="n">
        <f aca="false">IFERROR(IF($B155="","",$N155/$F155),"")</f>
        <v>131.246933333333</v>
      </c>
      <c r="H155" s="13" t="n">
        <f aca="false">IFERROR(IF($B155="","",$D155-$N155),"")</f>
        <v>70.7824</v>
      </c>
      <c r="I155" s="12" t="n">
        <f aca="false">IFERROR(IF(OR($B155="",$D155=0,$D155=""),"",$H155/$D155),"")</f>
        <v>0.589853333333333</v>
      </c>
      <c r="J155" s="49" t="n">
        <f aca="false">$J$2</f>
        <v>0.25</v>
      </c>
      <c r="K155" s="12" t="n">
        <f aca="false">IFERROR(IF($B155="","",$E155+$J155),"")</f>
        <v>0.660146666666667</v>
      </c>
      <c r="L155" s="47" t="n">
        <f aca="false">IFERROR(IF(OR($B155="",$C155=0,$C155=""),"",$I155+ROW()*0.0000001),"")</f>
        <v>0.589868833333333</v>
      </c>
      <c r="M155" s="50" t="n">
        <f aca="false">$M$2</f>
        <v>0.9319</v>
      </c>
      <c r="N155" s="13" t="n">
        <f aca="false">IFERROR(IF($B155="","",$C155+$M155),"")</f>
        <v>49.2176</v>
      </c>
    </row>
    <row r="156" customFormat="false" ht="39" hidden="false" customHeight="true" outlineLevel="0" collapsed="false">
      <c r="A156" s="43" t="str">
        <f aca="false">IFERROR(IF(المنيو!$B156="","",المنيو!$A156),"")</f>
        <v>قسم الإضافات</v>
      </c>
      <c r="B156" s="43" t="str">
        <f aca="false">IFERROR(المنيو!$B156,"")</f>
        <v>اضافة فراخ كريسبي (بيتزا وسط)</v>
      </c>
      <c r="C156" s="13" t="n">
        <f aca="false">IFERROR(IF($B156="","",SUMIFS(الريسبي!$F$2:$F$1800,الريسبي!$A$2:$A$1800,$B156)),"")</f>
        <v>30</v>
      </c>
      <c r="D156" s="44" t="n">
        <f aca="false">IFERROR(IF($B156="","",المنيو!$C156),"")</f>
        <v>90</v>
      </c>
      <c r="E156" s="12" t="n">
        <f aca="false">IFERROR(IF(OR($B156="",$D156=0,$D156=""),"",$N156/$D156),"")</f>
        <v>0.343687777777778</v>
      </c>
      <c r="F156" s="49" t="n">
        <f aca="false">$F$2</f>
        <v>0.375</v>
      </c>
      <c r="G156" s="13" t="n">
        <f aca="false">IFERROR(IF($B156="","",$N156/$F156),"")</f>
        <v>82.4850666666667</v>
      </c>
      <c r="H156" s="13" t="n">
        <f aca="false">IFERROR(IF($B156="","",$D156-$N156),"")</f>
        <v>59.0681</v>
      </c>
      <c r="I156" s="12" t="n">
        <f aca="false">IFERROR(IF(OR($B156="",$D156=0,$D156=""),"",$H156/$D156),"")</f>
        <v>0.656312222222222</v>
      </c>
      <c r="J156" s="49" t="n">
        <f aca="false">$J$2</f>
        <v>0.25</v>
      </c>
      <c r="K156" s="12" t="n">
        <f aca="false">IFERROR(IF($B156="","",$E156+$J156),"")</f>
        <v>0.593687777777778</v>
      </c>
      <c r="L156" s="47" t="n">
        <f aca="false">IFERROR(IF(OR($B156="",$C156=0,$C156=""),"",$I156+ROW()*0.0000001),"")</f>
        <v>0.656327822222222</v>
      </c>
      <c r="M156" s="50" t="n">
        <f aca="false">$M$2</f>
        <v>0.9319</v>
      </c>
      <c r="N156" s="13" t="n">
        <f aca="false">IFERROR(IF($B156="","",$C156+$M156),"")</f>
        <v>30.9319</v>
      </c>
    </row>
    <row r="157" customFormat="false" ht="39" hidden="false" customHeight="true" outlineLevel="0" collapsed="false">
      <c r="A157" s="43" t="str">
        <f aca="false">IFERROR(IF(المنيو!$B157="","",المنيو!$A157),"")</f>
        <v>قسم الإضافات</v>
      </c>
      <c r="B157" s="43" t="str">
        <f aca="false">IFERROR(المنيو!$B157,"")</f>
        <v>اضافة فراخ كريسبي (فطير وسط)</v>
      </c>
      <c r="C157" s="13" t="n">
        <f aca="false">IFERROR(IF($B157="","",SUMIFS(الريسبي!$F$2:$F$1800,الريسبي!$A$2:$A$1800,$B157)),"")</f>
        <v>30</v>
      </c>
      <c r="D157" s="44" t="n">
        <f aca="false">IFERROR(IF($B157="","",المنيو!$C157),"")</f>
        <v>70</v>
      </c>
      <c r="E157" s="12" t="n">
        <f aca="false">IFERROR(IF(OR($B157="",$D157=0,$D157=""),"",$N157/$D157),"")</f>
        <v>0.441884285714286</v>
      </c>
      <c r="F157" s="49" t="n">
        <f aca="false">$F$2</f>
        <v>0.375</v>
      </c>
      <c r="G157" s="13" t="n">
        <f aca="false">IFERROR(IF($B157="","",$N157/$F157),"")</f>
        <v>82.4850666666667</v>
      </c>
      <c r="H157" s="13" t="n">
        <f aca="false">IFERROR(IF($B157="","",$D157-$N157),"")</f>
        <v>39.0681</v>
      </c>
      <c r="I157" s="12" t="n">
        <f aca="false">IFERROR(IF(OR($B157="",$D157=0,$D157=""),"",$H157/$D157),"")</f>
        <v>0.558115714285714</v>
      </c>
      <c r="J157" s="49" t="n">
        <f aca="false">$J$2</f>
        <v>0.25</v>
      </c>
      <c r="K157" s="12" t="n">
        <f aca="false">IFERROR(IF($B157="","",$E157+$J157),"")</f>
        <v>0.691884285714286</v>
      </c>
      <c r="L157" s="47" t="n">
        <f aca="false">IFERROR(IF(OR($B157="",$C157=0,$C157=""),"",$I157+ROW()*0.0000001),"")</f>
        <v>0.558131414285714</v>
      </c>
      <c r="M157" s="50" t="n">
        <f aca="false">$M$2</f>
        <v>0.9319</v>
      </c>
      <c r="N157" s="13" t="n">
        <f aca="false">IFERROR(IF($B157="","",$C157+$M157),"")</f>
        <v>30.9319</v>
      </c>
    </row>
    <row r="158" customFormat="false" ht="39" hidden="false" customHeight="true" outlineLevel="0" collapsed="false">
      <c r="A158" s="43" t="str">
        <f aca="false">IFERROR(IF(المنيو!$B158="","",المنيو!$A158),"")</f>
        <v>قسم الإضافات</v>
      </c>
      <c r="B158" s="43" t="str">
        <f aca="false">IFERROR(المنيو!$B158,"")</f>
        <v>اضافة فراخ كريسبي (فطير كبير)</v>
      </c>
      <c r="C158" s="13" t="n">
        <f aca="false">IFERROR(IF($B158="","",SUMIFS(الريسبي!$F$2:$F$1800,الريسبي!$A$2:$A$1800,$B158)),"")</f>
        <v>29</v>
      </c>
      <c r="D158" s="44" t="n">
        <f aca="false">IFERROR(IF($B158="","",المنيو!$C158),"")</f>
        <v>120</v>
      </c>
      <c r="E158" s="12" t="n">
        <f aca="false">IFERROR(IF(OR($B158="",$D158=0,$D158=""),"",$N158/$D158),"")</f>
        <v>0.2494325</v>
      </c>
      <c r="F158" s="49" t="n">
        <f aca="false">$F$2</f>
        <v>0.375</v>
      </c>
      <c r="G158" s="13" t="n">
        <f aca="false">IFERROR(IF($B158="","",$N158/$F158),"")</f>
        <v>79.8184</v>
      </c>
      <c r="H158" s="13" t="n">
        <f aca="false">IFERROR(IF($B158="","",$D158-$N158),"")</f>
        <v>90.0681</v>
      </c>
      <c r="I158" s="12" t="n">
        <f aca="false">IFERROR(IF(OR($B158="",$D158=0,$D158=""),"",$H158/$D158),"")</f>
        <v>0.7505675</v>
      </c>
      <c r="J158" s="49" t="n">
        <f aca="false">$J$2</f>
        <v>0.25</v>
      </c>
      <c r="K158" s="12" t="n">
        <f aca="false">IFERROR(IF($B158="","",$E158+$J158),"")</f>
        <v>0.4994325</v>
      </c>
      <c r="L158" s="47" t="n">
        <f aca="false">IFERROR(IF(OR($B158="",$C158=0,$C158=""),"",$I158+ROW()*0.0000001),"")</f>
        <v>0.7505833</v>
      </c>
      <c r="M158" s="50" t="n">
        <f aca="false">$M$2</f>
        <v>0.9319</v>
      </c>
      <c r="N158" s="13" t="n">
        <f aca="false">IFERROR(IF($B158="","",$C158+$M158),"")</f>
        <v>29.9319</v>
      </c>
    </row>
    <row r="159" customFormat="false" ht="39" hidden="false" customHeight="true" outlineLevel="0" collapsed="false">
      <c r="A159" s="43" t="str">
        <f aca="false">IFERROR(IF(المنيو!$B159="","",المنيو!$A159),"")</f>
        <v>قسم الإضافات</v>
      </c>
      <c r="B159" s="43" t="str">
        <f aca="false">IFERROR(المنيو!$B159,"")</f>
        <v>اضافة مشروم (بيتزا وسط)</v>
      </c>
      <c r="C159" s="13" t="n">
        <f aca="false">IFERROR(IF($B159="","",SUMIFS(الريسبي!$F$2:$F$1800,الريسبي!$A$2:$A$1800,$B159)),"")</f>
        <v>9.072162</v>
      </c>
      <c r="D159" s="44" t="n">
        <f aca="false">IFERROR(IF($B159="","",المنيو!$C159),"")</f>
        <v>30</v>
      </c>
      <c r="E159" s="12" t="n">
        <f aca="false">IFERROR(IF(OR($B159="",$D159=0,$D159=""),"",$N159/$D159),"")</f>
        <v>0.333468733333333</v>
      </c>
      <c r="F159" s="49" t="n">
        <f aca="false">$F$2</f>
        <v>0.375</v>
      </c>
      <c r="G159" s="13" t="n">
        <f aca="false">IFERROR(IF($B159="","",$N159/$F159),"")</f>
        <v>26.6774986666667</v>
      </c>
      <c r="H159" s="13" t="n">
        <f aca="false">IFERROR(IF($B159="","",$D159-$N159),"")</f>
        <v>19.995938</v>
      </c>
      <c r="I159" s="12" t="n">
        <f aca="false">IFERROR(IF(OR($B159="",$D159=0,$D159=""),"",$H159/$D159),"")</f>
        <v>0.666531266666667</v>
      </c>
      <c r="J159" s="49" t="n">
        <f aca="false">$J$2</f>
        <v>0.25</v>
      </c>
      <c r="K159" s="12" t="n">
        <f aca="false">IFERROR(IF($B159="","",$E159+$J159),"")</f>
        <v>0.583468733333333</v>
      </c>
      <c r="L159" s="47" t="n">
        <f aca="false">IFERROR(IF(OR($B159="",$C159=0,$C159=""),"",$I159+ROW()*0.0000001),"")</f>
        <v>0.666547166666667</v>
      </c>
      <c r="M159" s="50" t="n">
        <f aca="false">$M$2</f>
        <v>0.9319</v>
      </c>
      <c r="N159" s="13" t="n">
        <f aca="false">IFERROR(IF($B159="","",$C159+$M159),"")</f>
        <v>10.004062</v>
      </c>
    </row>
    <row r="160" customFormat="false" ht="39" hidden="false" customHeight="true" outlineLevel="0" collapsed="false">
      <c r="A160" s="43" t="str">
        <f aca="false">IFERROR(IF(المنيو!$B160="","",المنيو!$A160),"")</f>
        <v>قسم الإضافات</v>
      </c>
      <c r="B160" s="43" t="str">
        <f aca="false">IFERROR(المنيو!$B160,"")</f>
        <v>اضافة مشروم (بيتزا كبير)</v>
      </c>
      <c r="C160" s="13" t="n">
        <f aca="false">IFERROR(IF($B160="","",SUMIFS(الريسبي!$F$2:$F$1800,الريسبي!$A$2:$A$1800,$B160)),"")</f>
        <v>13.608243</v>
      </c>
      <c r="D160" s="44" t="n">
        <f aca="false">IFERROR(IF($B160="","",المنيو!$C160),"")</f>
        <v>45</v>
      </c>
      <c r="E160" s="12" t="n">
        <f aca="false">IFERROR(IF(OR($B160="",$D160=0,$D160=""),"",$N160/$D160),"")</f>
        <v>0.323114288888889</v>
      </c>
      <c r="F160" s="49" t="n">
        <f aca="false">$F$2</f>
        <v>0.375</v>
      </c>
      <c r="G160" s="13" t="n">
        <f aca="false">IFERROR(IF($B160="","",$N160/$F160),"")</f>
        <v>38.7737146666667</v>
      </c>
      <c r="H160" s="13" t="n">
        <f aca="false">IFERROR(IF($B160="","",$D160-$N160),"")</f>
        <v>30.459857</v>
      </c>
      <c r="I160" s="12" t="n">
        <f aca="false">IFERROR(IF(OR($B160="",$D160=0,$D160=""),"",$H160/$D160),"")</f>
        <v>0.676885711111111</v>
      </c>
      <c r="J160" s="49" t="n">
        <f aca="false">$J$2</f>
        <v>0.25</v>
      </c>
      <c r="K160" s="12" t="n">
        <f aca="false">IFERROR(IF($B160="","",$E160+$J160),"")</f>
        <v>0.573114288888889</v>
      </c>
      <c r="L160" s="47" t="n">
        <f aca="false">IFERROR(IF(OR($B160="",$C160=0,$C160=""),"",$I160+ROW()*0.0000001),"")</f>
        <v>0.676901711111111</v>
      </c>
      <c r="M160" s="50" t="n">
        <f aca="false">$M$2</f>
        <v>0.9319</v>
      </c>
      <c r="N160" s="13" t="n">
        <f aca="false">IFERROR(IF($B160="","",$C160+$M160),"")</f>
        <v>14.540143</v>
      </c>
    </row>
    <row r="161" customFormat="false" ht="39" hidden="false" customHeight="true" outlineLevel="0" collapsed="false">
      <c r="A161" s="43" t="str">
        <f aca="false">IFERROR(IF(المنيو!$B161="","",المنيو!$A161),"")</f>
        <v>قسم الإضافات</v>
      </c>
      <c r="B161" s="43" t="str">
        <f aca="false">IFERROR(المنيو!$B161,"")</f>
        <v>اضافة مشروم (فطير وسط)</v>
      </c>
      <c r="C161" s="13" t="n">
        <f aca="false">IFERROR(IF($B161="","",SUMIFS(الريسبي!$F$2:$F$1800,الريسبي!$A$2:$A$1800,$B161)),"")</f>
        <v>9.072162</v>
      </c>
      <c r="D161" s="44" t="n">
        <f aca="false">IFERROR(IF($B161="","",المنيو!$C161),"")</f>
        <v>30</v>
      </c>
      <c r="E161" s="12" t="n">
        <f aca="false">IFERROR(IF(OR($B161="",$D161=0,$D161=""),"",$N161/$D161),"")</f>
        <v>0.333468733333333</v>
      </c>
      <c r="F161" s="49" t="n">
        <f aca="false">$F$2</f>
        <v>0.375</v>
      </c>
      <c r="G161" s="13" t="n">
        <f aca="false">IFERROR(IF($B161="","",$N161/$F161),"")</f>
        <v>26.6774986666667</v>
      </c>
      <c r="H161" s="13" t="n">
        <f aca="false">IFERROR(IF($B161="","",$D161-$N161),"")</f>
        <v>19.995938</v>
      </c>
      <c r="I161" s="12" t="n">
        <f aca="false">IFERROR(IF(OR($B161="",$D161=0,$D161=""),"",$H161/$D161),"")</f>
        <v>0.666531266666667</v>
      </c>
      <c r="J161" s="49" t="n">
        <f aca="false">$J$2</f>
        <v>0.25</v>
      </c>
      <c r="K161" s="12" t="n">
        <f aca="false">IFERROR(IF($B161="","",$E161+$J161),"")</f>
        <v>0.583468733333333</v>
      </c>
      <c r="L161" s="47" t="n">
        <f aca="false">IFERROR(IF(OR($B161="",$C161=0,$C161=""),"",$I161+ROW()*0.0000001),"")</f>
        <v>0.666547366666667</v>
      </c>
      <c r="M161" s="50" t="n">
        <f aca="false">$M$2</f>
        <v>0.9319</v>
      </c>
      <c r="N161" s="13" t="n">
        <f aca="false">IFERROR(IF($B161="","",$C161+$M161),"")</f>
        <v>10.004062</v>
      </c>
    </row>
    <row r="162" customFormat="false" ht="39" hidden="false" customHeight="true" outlineLevel="0" collapsed="false">
      <c r="A162" s="43" t="str">
        <f aca="false">IFERROR(IF(المنيو!$B162="","",المنيو!$A162),"")</f>
        <v>قسم الإضافات</v>
      </c>
      <c r="B162" s="43" t="str">
        <f aca="false">IFERROR(المنيو!$B162,"")</f>
        <v>اضافة مشروم (فطير كبير)</v>
      </c>
      <c r="C162" s="13" t="n">
        <f aca="false">IFERROR(IF($B162="","",SUMIFS(الريسبي!$F$2:$F$1800,الريسبي!$A$2:$A$1800,$B162)),"")</f>
        <v>13.608243</v>
      </c>
      <c r="D162" s="44" t="n">
        <f aca="false">IFERROR(IF($B162="","",المنيو!$C162),"")</f>
        <v>45</v>
      </c>
      <c r="E162" s="12" t="n">
        <f aca="false">IFERROR(IF(OR($B162="",$D162=0,$D162=""),"",$N162/$D162),"")</f>
        <v>0.323114288888889</v>
      </c>
      <c r="F162" s="49" t="n">
        <f aca="false">$F$2</f>
        <v>0.375</v>
      </c>
      <c r="G162" s="13" t="n">
        <f aca="false">IFERROR(IF($B162="","",$N162/$F162),"")</f>
        <v>38.7737146666667</v>
      </c>
      <c r="H162" s="13" t="n">
        <f aca="false">IFERROR(IF($B162="","",$D162-$N162),"")</f>
        <v>30.459857</v>
      </c>
      <c r="I162" s="12" t="n">
        <f aca="false">IFERROR(IF(OR($B162="",$D162=0,$D162=""),"",$H162/$D162),"")</f>
        <v>0.676885711111111</v>
      </c>
      <c r="J162" s="49" t="n">
        <f aca="false">$J$2</f>
        <v>0.25</v>
      </c>
      <c r="K162" s="12" t="n">
        <f aca="false">IFERROR(IF($B162="","",$E162+$J162),"")</f>
        <v>0.573114288888889</v>
      </c>
      <c r="L162" s="47" t="n">
        <f aca="false">IFERROR(IF(OR($B162="",$C162=0,$C162=""),"",$I162+ROW()*0.0000001),"")</f>
        <v>0.676901911111111</v>
      </c>
      <c r="M162" s="50" t="n">
        <f aca="false">$M$2</f>
        <v>0.9319</v>
      </c>
      <c r="N162" s="13" t="n">
        <f aca="false">IFERROR(IF($B162="","",$C162+$M162),"")</f>
        <v>14.540143</v>
      </c>
    </row>
    <row r="163" customFormat="false" ht="39" hidden="false" customHeight="true" outlineLevel="0" collapsed="false">
      <c r="A163" s="43" t="str">
        <f aca="false">IFERROR(IF(المنيو!$B163="","",المنيو!$A163),"")</f>
        <v>قسم الإضافات</v>
      </c>
      <c r="B163" s="43" t="str">
        <f aca="false">IFERROR(المنيو!$B163,"")</f>
        <v>إضافة وش بيتزا (مخصوص) (وسط)</v>
      </c>
      <c r="C163" s="13" t="n">
        <f aca="false">IFERROR(IF($B163="","",SUMIFS(الريسبي!$F$2:$F$1800,الريسبي!$A$2:$A$1800,$B163)),"")</f>
        <v>20</v>
      </c>
      <c r="D163" s="44" t="n">
        <f aca="false">IFERROR(IF($B163="","",المنيو!$C163),"")</f>
        <v>30.83</v>
      </c>
      <c r="E163" s="12" t="n">
        <f aca="false">IFERROR(IF(OR($B163="",$D163=0,$D163=""),"",$N163/$D163),"")</f>
        <v>0.678945831981836</v>
      </c>
      <c r="F163" s="49" t="n">
        <f aca="false">$F$2</f>
        <v>0.375</v>
      </c>
      <c r="G163" s="13" t="n">
        <f aca="false">IFERROR(IF($B163="","",$N163/$F163),"")</f>
        <v>55.8184</v>
      </c>
      <c r="H163" s="13" t="n">
        <f aca="false">IFERROR(IF($B163="","",$D163-$N163),"")</f>
        <v>9.8981</v>
      </c>
      <c r="I163" s="12" t="n">
        <f aca="false">IFERROR(IF(OR($B163="",$D163=0,$D163=""),"",$H163/$D163),"")</f>
        <v>0.321054168018164</v>
      </c>
      <c r="J163" s="49" t="n">
        <f aca="false">$J$2</f>
        <v>0.25</v>
      </c>
      <c r="K163" s="12" t="n">
        <f aca="false">IFERROR(IF($B163="","",$E163+$J163),"")</f>
        <v>0.928945831981836</v>
      </c>
      <c r="L163" s="47" t="n">
        <f aca="false">IFERROR(IF(OR($B163="",$C163=0,$C163=""),"",$I163+ROW()*0.0000001),"")</f>
        <v>0.321070468018164</v>
      </c>
      <c r="M163" s="50" t="n">
        <f aca="false">$M$2</f>
        <v>0.9319</v>
      </c>
      <c r="N163" s="13" t="n">
        <f aca="false">IFERROR(IF($B163="","",$C163+$M163),"")</f>
        <v>20.9319</v>
      </c>
    </row>
    <row r="164" customFormat="false" ht="39" hidden="false" customHeight="true" outlineLevel="0" collapsed="false">
      <c r="A164" s="43" t="str">
        <f aca="false">IFERROR(IF(المنيو!$B164="","",المنيو!$A164),"")</f>
        <v>قسم الإضافات</v>
      </c>
      <c r="B164" s="43" t="str">
        <f aca="false">IFERROR(المنيو!$B164,"")</f>
        <v>إضافة وش بيتزا (مخصوص) (كبير)</v>
      </c>
      <c r="C164" s="13" t="n">
        <f aca="false">IFERROR(IF($B164="","",SUMIFS(الريسبي!$F$2:$F$1800,الريسبي!$A$2:$A$1800,$B164)),"")</f>
        <v>26.4194</v>
      </c>
      <c r="D164" s="44" t="n">
        <f aca="false">IFERROR(IF($B164="","",المنيو!$C164),"")</f>
        <v>45</v>
      </c>
      <c r="E164" s="12" t="n">
        <f aca="false">IFERROR(IF(OR($B164="",$D164=0,$D164=""),"",$N164/$D164),"")</f>
        <v>0.607806666666667</v>
      </c>
      <c r="F164" s="49" t="n">
        <f aca="false">$F$2</f>
        <v>0.375</v>
      </c>
      <c r="G164" s="13" t="n">
        <f aca="false">IFERROR(IF($B164="","",$N164/$F164),"")</f>
        <v>72.9368</v>
      </c>
      <c r="H164" s="13" t="n">
        <f aca="false">IFERROR(IF($B164="","",$D164-$N164),"")</f>
        <v>17.6487</v>
      </c>
      <c r="I164" s="12" t="n">
        <f aca="false">IFERROR(IF(OR($B164="",$D164=0,$D164=""),"",$H164/$D164),"")</f>
        <v>0.392193333333333</v>
      </c>
      <c r="J164" s="49" t="n">
        <f aca="false">$J$2</f>
        <v>0.25</v>
      </c>
      <c r="K164" s="12" t="n">
        <f aca="false">IFERROR(IF($B164="","",$E164+$J164),"")</f>
        <v>0.857806666666667</v>
      </c>
      <c r="L164" s="47" t="n">
        <f aca="false">IFERROR(IF(OR($B164="",$C164=0,$C164=""),"",$I164+ROW()*0.0000001),"")</f>
        <v>0.392209733333333</v>
      </c>
      <c r="M164" s="50" t="n">
        <f aca="false">$M$2</f>
        <v>0.9319</v>
      </c>
      <c r="N164" s="13" t="n">
        <f aca="false">IFERROR(IF($B164="","",$C164+$M164),"")</f>
        <v>27.3513</v>
      </c>
    </row>
    <row r="165" customFormat="false" ht="39" hidden="false" customHeight="true" outlineLevel="0" collapsed="false">
      <c r="A165" s="43" t="str">
        <f aca="false">IFERROR(IF(المنيو!$B165="","",المنيو!$A165),"")</f>
        <v>قسم الإضافات</v>
      </c>
      <c r="B165" s="43" t="str">
        <f aca="false">IFERROR(المنيو!$B165,"")</f>
        <v>اضافة حشو للاطراف (Small)</v>
      </c>
      <c r="C165" s="13" t="n">
        <f aca="false">IFERROR(IF($B165="","",SUMIFS(الريسبي!$F$2:$F$1800,الريسبي!$A$2:$A$1800,$B165)),"")</f>
        <v>10</v>
      </c>
      <c r="D165" s="44" t="n">
        <f aca="false">IFERROR(IF($B165="","",المنيو!$C165),"")</f>
        <v>40</v>
      </c>
      <c r="E165" s="12" t="n">
        <f aca="false">IFERROR(IF(OR($B165="",$D165=0,$D165=""),"",$N165/$D165),"")</f>
        <v>0.2732975</v>
      </c>
      <c r="F165" s="49" t="n">
        <f aca="false">$F$2</f>
        <v>0.375</v>
      </c>
      <c r="G165" s="13" t="n">
        <f aca="false">IFERROR(IF($B165="","",$N165/$F165),"")</f>
        <v>29.1517333333333</v>
      </c>
      <c r="H165" s="13" t="n">
        <f aca="false">IFERROR(IF($B165="","",$D165-$N165),"")</f>
        <v>29.0681</v>
      </c>
      <c r="I165" s="12" t="n">
        <f aca="false">IFERROR(IF(OR($B165="",$D165=0,$D165=""),"",$H165/$D165),"")</f>
        <v>0.7267025</v>
      </c>
      <c r="J165" s="49" t="n">
        <f aca="false">$J$2</f>
        <v>0.25</v>
      </c>
      <c r="K165" s="12" t="n">
        <f aca="false">IFERROR(IF($B165="","",$E165+$J165),"")</f>
        <v>0.5232975</v>
      </c>
      <c r="L165" s="47" t="n">
        <f aca="false">IFERROR(IF(OR($B165="",$C165=0,$C165=""),"",$I165+ROW()*0.0000001),"")</f>
        <v>0.726719</v>
      </c>
      <c r="M165" s="50" t="n">
        <f aca="false">$M$2</f>
        <v>0.9319</v>
      </c>
      <c r="N165" s="13" t="n">
        <f aca="false">IFERROR(IF($B165="","",$C165+$M165),"")</f>
        <v>10.9319</v>
      </c>
    </row>
    <row r="166" customFormat="false" ht="39" hidden="false" customHeight="true" outlineLevel="0" collapsed="false">
      <c r="A166" s="43" t="str">
        <f aca="false">IFERROR(IF(المنيو!$B166="","",المنيو!$A166),"")</f>
        <v>قسم الإضافات</v>
      </c>
      <c r="B166" s="43" t="str">
        <f aca="false">IFERROR(المنيو!$B166,"")</f>
        <v>اضافة حشو للاطراف (Medium)</v>
      </c>
      <c r="C166" s="13" t="n">
        <f aca="false">IFERROR(IF($B166="","",SUMIFS(الريسبي!$F$2:$F$1800,الريسبي!$A$2:$A$1800,$B166)),"")</f>
        <v>19.81455</v>
      </c>
      <c r="D166" s="44" t="n">
        <f aca="false">IFERROR(IF($B166="","",المنيو!$C166),"")</f>
        <v>56.25</v>
      </c>
      <c r="E166" s="12" t="n">
        <f aca="false">IFERROR(IF(OR($B166="",$D166=0,$D166=""),"",$N166/$D166),"")</f>
        <v>0.368825777777778</v>
      </c>
      <c r="F166" s="49" t="n">
        <f aca="false">$F$2</f>
        <v>0.375</v>
      </c>
      <c r="G166" s="13" t="n">
        <f aca="false">IFERROR(IF($B166="","",$N166/$F166),"")</f>
        <v>55.3238666666667</v>
      </c>
      <c r="H166" s="13" t="n">
        <f aca="false">IFERROR(IF($B166="","",$D166-$N166),"")</f>
        <v>35.50355</v>
      </c>
      <c r="I166" s="12" t="n">
        <f aca="false">IFERROR(IF(OR($B166="",$D166=0,$D166=""),"",$H166/$D166),"")</f>
        <v>0.631174222222222</v>
      </c>
      <c r="J166" s="49" t="n">
        <f aca="false">$J$2</f>
        <v>0.25</v>
      </c>
      <c r="K166" s="12" t="n">
        <f aca="false">IFERROR(IF($B166="","",$E166+$J166),"")</f>
        <v>0.618825777777778</v>
      </c>
      <c r="L166" s="47" t="n">
        <f aca="false">IFERROR(IF(OR($B166="",$C166=0,$C166=""),"",$I166+ROW()*0.0000001),"")</f>
        <v>0.631190822222222</v>
      </c>
      <c r="M166" s="50" t="n">
        <f aca="false">$M$2</f>
        <v>0.9319</v>
      </c>
      <c r="N166" s="13" t="n">
        <f aca="false">IFERROR(IF($B166="","",$C166+$M166),"")</f>
        <v>20.74645</v>
      </c>
    </row>
    <row r="167" customFormat="false" ht="39" hidden="false" customHeight="true" outlineLevel="0" collapsed="false">
      <c r="A167" s="43" t="str">
        <f aca="false">IFERROR(IF(المنيو!$B167="","",المنيو!$A167),"")</f>
        <v>قسم الإضافات</v>
      </c>
      <c r="B167" s="43" t="str">
        <f aca="false">IFERROR(المنيو!$B167,"")</f>
        <v>صوص رانش إضافي (M)</v>
      </c>
      <c r="C167" s="13" t="n">
        <f aca="false">IFERROR(IF($B167="","",SUMIFS(الريسبي!$F$2:$F$1800,الريسبي!$A$2:$A$1800,$B167)),"")</f>
        <v>10.5</v>
      </c>
      <c r="D167" s="44" t="n">
        <f aca="false">IFERROR(IF($B167="","",المنيو!$C167),"")</f>
        <v>21.47</v>
      </c>
      <c r="E167" s="12" t="n">
        <f aca="false">IFERROR(IF(OR($B167="",$D167=0,$D167=""),"",$N167/$D167),"")</f>
        <v>0.53245924545878</v>
      </c>
      <c r="F167" s="49" t="n">
        <f aca="false">$F$2</f>
        <v>0.375</v>
      </c>
      <c r="G167" s="13" t="n">
        <f aca="false">IFERROR(IF($B167="","",$N167/$F167),"")</f>
        <v>30.4850666666667</v>
      </c>
      <c r="H167" s="13" t="n">
        <f aca="false">IFERROR(IF($B167="","",$D167-$N167),"")</f>
        <v>10.0381</v>
      </c>
      <c r="I167" s="12" t="n">
        <f aca="false">IFERROR(IF(OR($B167="",$D167=0,$D167=""),"",$H167/$D167),"")</f>
        <v>0.46754075454122</v>
      </c>
      <c r="J167" s="49" t="n">
        <f aca="false">$J$2</f>
        <v>0.25</v>
      </c>
      <c r="K167" s="12" t="n">
        <f aca="false">IFERROR(IF($B167="","",$E167+$J167),"")</f>
        <v>0.78245924545878</v>
      </c>
      <c r="L167" s="47" t="n">
        <f aca="false">IFERROR(IF(OR($B167="",$C167=0,$C167=""),"",$I167+ROW()*0.0000001),"")</f>
        <v>0.46755745454122</v>
      </c>
      <c r="M167" s="50" t="n">
        <f aca="false">$M$2</f>
        <v>0.9319</v>
      </c>
      <c r="N167" s="13" t="n">
        <f aca="false">IFERROR(IF($B167="","",$C167+$M167),"")</f>
        <v>11.4319</v>
      </c>
    </row>
    <row r="168" customFormat="false" ht="39" hidden="false" customHeight="true" outlineLevel="0" collapsed="false">
      <c r="A168" s="43" t="str">
        <f aca="false">IFERROR(IF(المنيو!$B168="","",المنيو!$A168),"")</f>
        <v>قسم الإضافات</v>
      </c>
      <c r="B168" s="43" t="str">
        <f aca="false">IFERROR(المنيو!$B168,"")</f>
        <v>صوص رانش إضافي (L)</v>
      </c>
      <c r="C168" s="13" t="n">
        <f aca="false">IFERROR(IF($B168="","",SUMIFS(الريسبي!$F$2:$F$1800,الريسبي!$A$2:$A$1800,$B168)),"")</f>
        <v>15.75</v>
      </c>
      <c r="D168" s="44" t="n">
        <f aca="false">IFERROR(IF($B168="","",المنيو!$C168),"")</f>
        <v>31.25</v>
      </c>
      <c r="E168" s="12" t="n">
        <f aca="false">IFERROR(IF(OR($B168="",$D168=0,$D168=""),"",$N168/$D168),"")</f>
        <v>0.5338208</v>
      </c>
      <c r="F168" s="49" t="n">
        <f aca="false">$F$2</f>
        <v>0.375</v>
      </c>
      <c r="G168" s="13" t="n">
        <f aca="false">IFERROR(IF($B168="","",$N168/$F168),"")</f>
        <v>44.4850666666667</v>
      </c>
      <c r="H168" s="13" t="n">
        <f aca="false">IFERROR(IF($B168="","",$D168-$N168),"")</f>
        <v>14.5681</v>
      </c>
      <c r="I168" s="12" t="n">
        <f aca="false">IFERROR(IF(OR($B168="",$D168=0,$D168=""),"",$H168/$D168),"")</f>
        <v>0.4661792</v>
      </c>
      <c r="J168" s="49" t="n">
        <f aca="false">$J$2</f>
        <v>0.25</v>
      </c>
      <c r="K168" s="12" t="n">
        <f aca="false">IFERROR(IF($B168="","",$E168+$J168),"")</f>
        <v>0.7838208</v>
      </c>
      <c r="L168" s="47" t="n">
        <f aca="false">IFERROR(IF(OR($B168="",$C168=0,$C168=""),"",$I168+ROW()*0.0000001),"")</f>
        <v>0.466196</v>
      </c>
      <c r="M168" s="50" t="n">
        <f aca="false">$M$2</f>
        <v>0.9319</v>
      </c>
      <c r="N168" s="13" t="n">
        <f aca="false">IFERROR(IF($B168="","",$C168+$M168),"")</f>
        <v>16.6819</v>
      </c>
    </row>
    <row r="169" customFormat="false" ht="39" hidden="false" customHeight="true" outlineLevel="0" collapsed="false">
      <c r="A169" s="43" t="str">
        <f aca="false">IFERROR(IF(المنيو!$B169="","",المنيو!$A169),"")</f>
        <v>قسم الإضافات</v>
      </c>
      <c r="B169" s="43" t="str">
        <f aca="false">IFERROR(المنيو!$B169,"")</f>
        <v>صوص شيدر إضافي (M)</v>
      </c>
      <c r="C169" s="13" t="n">
        <f aca="false">IFERROR(IF($B169="","",SUMIFS(الريسبي!$F$2:$F$1800,الريسبي!$A$2:$A$1800,$B169)),"")</f>
        <v>14</v>
      </c>
      <c r="D169" s="44" t="n">
        <f aca="false">IFERROR(IF($B169="","",المنيو!$C169),"")</f>
        <v>23.93</v>
      </c>
      <c r="E169" s="12" t="n">
        <f aca="false">IFERROR(IF(OR($B169="",$D169=0,$D169=""),"",$N169/$D169),"")</f>
        <v>0.623982448809026</v>
      </c>
      <c r="F169" s="49" t="n">
        <f aca="false">$F$2</f>
        <v>0.375</v>
      </c>
      <c r="G169" s="13" t="n">
        <f aca="false">IFERROR(IF($B169="","",$N169/$F169),"")</f>
        <v>39.8184</v>
      </c>
      <c r="H169" s="13" t="n">
        <f aca="false">IFERROR(IF($B169="","",$D169-$N169),"")</f>
        <v>8.9981</v>
      </c>
      <c r="I169" s="12" t="n">
        <f aca="false">IFERROR(IF(OR($B169="",$D169=0,$D169=""),"",$H169/$D169),"")</f>
        <v>0.376017551190974</v>
      </c>
      <c r="J169" s="49" t="n">
        <f aca="false">$J$2</f>
        <v>0.25</v>
      </c>
      <c r="K169" s="12" t="n">
        <f aca="false">IFERROR(IF($B169="","",$E169+$J169),"")</f>
        <v>0.873982448809026</v>
      </c>
      <c r="L169" s="47" t="n">
        <f aca="false">IFERROR(IF(OR($B169="",$C169=0,$C169=""),"",$I169+ROW()*0.0000001),"")</f>
        <v>0.376034451190974</v>
      </c>
      <c r="M169" s="50" t="n">
        <f aca="false">$M$2</f>
        <v>0.9319</v>
      </c>
      <c r="N169" s="13" t="n">
        <f aca="false">IFERROR(IF($B169="","",$C169+$M169),"")</f>
        <v>14.9319</v>
      </c>
    </row>
    <row r="170" customFormat="false" ht="39" hidden="false" customHeight="true" outlineLevel="0" collapsed="false">
      <c r="A170" s="43" t="str">
        <f aca="false">IFERROR(IF(المنيو!$B170="","",المنيو!$A170),"")</f>
        <v>قسم الإضافات</v>
      </c>
      <c r="B170" s="43" t="str">
        <f aca="false">IFERROR(المنيو!$B170,"")</f>
        <v>صوص شيدر إضافي (L)</v>
      </c>
      <c r="C170" s="13" t="n">
        <f aca="false">IFERROR(IF($B170="","",SUMIFS(الريسبي!$F$2:$F$1800,الريسبي!$A$2:$A$1800,$B170)),"")</f>
        <v>21</v>
      </c>
      <c r="D170" s="44" t="n">
        <f aca="false">IFERROR(IF($B170="","",المنيو!$C170),"")</f>
        <v>38.57</v>
      </c>
      <c r="E170" s="12" t="n">
        <f aca="false">IFERROR(IF(OR($B170="",$D170=0,$D170=""),"",$N170/$D170),"")</f>
        <v>0.568625875032409</v>
      </c>
      <c r="F170" s="49" t="n">
        <f aca="false">$F$2</f>
        <v>0.375</v>
      </c>
      <c r="G170" s="13" t="n">
        <f aca="false">IFERROR(IF($B170="","",$N170/$F170),"")</f>
        <v>58.4850666666667</v>
      </c>
      <c r="H170" s="13" t="n">
        <f aca="false">IFERROR(IF($B170="","",$D170-$N170),"")</f>
        <v>16.6381</v>
      </c>
      <c r="I170" s="12" t="n">
        <f aca="false">IFERROR(IF(OR($B170="",$D170=0,$D170=""),"",$H170/$D170),"")</f>
        <v>0.431374124967591</v>
      </c>
      <c r="J170" s="49" t="n">
        <f aca="false">$J$2</f>
        <v>0.25</v>
      </c>
      <c r="K170" s="12" t="n">
        <f aca="false">IFERROR(IF($B170="","",$E170+$J170),"")</f>
        <v>0.818625875032409</v>
      </c>
      <c r="L170" s="47" t="n">
        <f aca="false">IFERROR(IF(OR($B170="",$C170=0,$C170=""),"",$I170+ROW()*0.0000001),"")</f>
        <v>0.431391124967591</v>
      </c>
      <c r="M170" s="50" t="n">
        <f aca="false">$M$2</f>
        <v>0.9319</v>
      </c>
      <c r="N170" s="13" t="n">
        <f aca="false">IFERROR(IF($B170="","",$C170+$M170),"")</f>
        <v>21.9319</v>
      </c>
    </row>
    <row r="171" customFormat="false" ht="39" hidden="false" customHeight="true" outlineLevel="0" collapsed="false">
      <c r="A171" s="43" t="str">
        <f aca="false">IFERROR(IF(المنيو!$B171="","",المنيو!$A171),"")</f>
        <v>قسم الإضافات</v>
      </c>
      <c r="B171" s="43" t="str">
        <f aca="false">IFERROR(المنيو!$B171,"")</f>
        <v>صوص باربيكيو إضافي (M)</v>
      </c>
      <c r="C171" s="13" t="n">
        <f aca="false">IFERROR(IF($B171="","",SUMIFS(الريسبي!$F$2:$F$1800,الريسبي!$A$2:$A$1800,$B171)),"")</f>
        <v>7</v>
      </c>
      <c r="D171" s="44" t="n">
        <f aca="false">IFERROR(IF($B171="","",المنيو!$C171),"")</f>
        <v>24.5</v>
      </c>
      <c r="E171" s="12" t="n">
        <f aca="false">IFERROR(IF(OR($B171="",$D171=0,$D171=""),"",$N171/$D171),"")</f>
        <v>0.323751020408163</v>
      </c>
      <c r="F171" s="49" t="n">
        <f aca="false">$F$2</f>
        <v>0.375</v>
      </c>
      <c r="G171" s="13" t="n">
        <f aca="false">IFERROR(IF($B171="","",$N171/$F171),"")</f>
        <v>21.1517333333333</v>
      </c>
      <c r="H171" s="13" t="n">
        <f aca="false">IFERROR(IF($B171="","",$D171-$N171),"")</f>
        <v>16.5681</v>
      </c>
      <c r="I171" s="12" t="n">
        <f aca="false">IFERROR(IF(OR($B171="",$D171=0,$D171=""),"",$H171/$D171),"")</f>
        <v>0.676248979591837</v>
      </c>
      <c r="J171" s="49" t="n">
        <f aca="false">$J$2</f>
        <v>0.25</v>
      </c>
      <c r="K171" s="12" t="n">
        <f aca="false">IFERROR(IF($B171="","",$E171+$J171),"")</f>
        <v>0.573751020408163</v>
      </c>
      <c r="L171" s="47" t="n">
        <f aca="false">IFERROR(IF(OR($B171="",$C171=0,$C171=""),"",$I171+ROW()*0.0000001),"")</f>
        <v>0.676266079591837</v>
      </c>
      <c r="M171" s="50" t="n">
        <f aca="false">$M$2</f>
        <v>0.9319</v>
      </c>
      <c r="N171" s="13" t="n">
        <f aca="false">IFERROR(IF($B171="","",$C171+$M171),"")</f>
        <v>7.9319</v>
      </c>
    </row>
    <row r="172" customFormat="false" ht="39" hidden="false" customHeight="true" outlineLevel="0" collapsed="false">
      <c r="A172" s="43" t="str">
        <f aca="false">IFERROR(IF(المنيو!$B172="","",المنيو!$A172),"")</f>
        <v>قسم الإضافات</v>
      </c>
      <c r="B172" s="43" t="str">
        <f aca="false">IFERROR(المنيو!$B172,"")</f>
        <v>صوص باربيكيو إضافي (L)</v>
      </c>
      <c r="C172" s="13" t="n">
        <f aca="false">IFERROR(IF($B172="","",SUMIFS(الريسبي!$F$2:$F$1800,الريسبي!$A$2:$A$1800,$B172)),"")</f>
        <v>10.5</v>
      </c>
      <c r="D172" s="44" t="n">
        <f aca="false">IFERROR(IF($B172="","",المنيو!$C172),"")</f>
        <v>30</v>
      </c>
      <c r="E172" s="12" t="n">
        <f aca="false">IFERROR(IF(OR($B172="",$D172=0,$D172=""),"",$N172/$D172),"")</f>
        <v>0.381063333333333</v>
      </c>
      <c r="F172" s="49" t="n">
        <f aca="false">$F$2</f>
        <v>0.375</v>
      </c>
      <c r="G172" s="13" t="n">
        <f aca="false">IFERROR(IF($B172="","",$N172/$F172),"")</f>
        <v>30.4850666666667</v>
      </c>
      <c r="H172" s="13" t="n">
        <f aca="false">IFERROR(IF($B172="","",$D172-$N172),"")</f>
        <v>18.5681</v>
      </c>
      <c r="I172" s="12" t="n">
        <f aca="false">IFERROR(IF(OR($B172="",$D172=0,$D172=""),"",$H172/$D172),"")</f>
        <v>0.618936666666667</v>
      </c>
      <c r="J172" s="49" t="n">
        <f aca="false">$J$2</f>
        <v>0.25</v>
      </c>
      <c r="K172" s="12" t="n">
        <f aca="false">IFERROR(IF($B172="","",$E172+$J172),"")</f>
        <v>0.631063333333333</v>
      </c>
      <c r="L172" s="47" t="n">
        <f aca="false">IFERROR(IF(OR($B172="",$C172=0,$C172=""),"",$I172+ROW()*0.0000001),"")</f>
        <v>0.618953866666667</v>
      </c>
      <c r="M172" s="50" t="n">
        <f aca="false">$M$2</f>
        <v>0.9319</v>
      </c>
      <c r="N172" s="13" t="n">
        <f aca="false">IFERROR(IF($B172="","",$C172+$M172),"")</f>
        <v>11.4319</v>
      </c>
    </row>
    <row r="173" customFormat="false" ht="15" hidden="false" customHeight="true" outlineLevel="0" collapsed="false">
      <c r="A173" s="43" t="str">
        <f aca="false">IFERROR(IF(المنيو!$B173="","",المنيو!$A173),"")</f>
        <v/>
      </c>
      <c r="B173" s="43" t="n">
        <f aca="false">IFERROR(المنيو!$B173,"")</f>
        <v>0</v>
      </c>
      <c r="C173" s="13" t="str">
        <f aca="false">IFERROR(IF($B173="","",SUMIFS(الريسبي!$F$2:$F$1800,الريسبي!$A$2:$A$1800,$B173)),"")</f>
        <v/>
      </c>
      <c r="D173" s="44" t="str">
        <f aca="false">IFERROR(IF($B173="","",المنيو!$C173),"")</f>
        <v/>
      </c>
      <c r="E173" s="12" t="str">
        <f aca="false">IFERROR(IF(OR($B173="",$D173=0,$D173=""),"",$N173/$D173),"")</f>
        <v/>
      </c>
      <c r="F173" s="49" t="n">
        <f aca="false">$F$2</f>
        <v>0.375</v>
      </c>
      <c r="G173" s="13" t="str">
        <f aca="false">IFERROR(IF($B173="","",$N173/$F173),"")</f>
        <v/>
      </c>
      <c r="H173" s="13" t="str">
        <f aca="false">IFERROR(IF($B173="","",$D173-$N173),"")</f>
        <v/>
      </c>
      <c r="I173" s="12" t="str">
        <f aca="false">IFERROR(IF(OR($B173="",$D173=0,$D173=""),"",$H173/$D173),"")</f>
        <v/>
      </c>
      <c r="J173" s="49" t="n">
        <f aca="false">$J$2</f>
        <v>0.25</v>
      </c>
      <c r="K173" s="12" t="str">
        <f aca="false">IFERROR(IF($B173="","",$E173+$J173),"")</f>
        <v/>
      </c>
      <c r="L173" s="11" t="str">
        <f aca="false">IFERROR(IF(OR($B173="",$C173=0,$C173=""),"",$I173+ROW()*0.0000001),"")</f>
        <v/>
      </c>
      <c r="M173" s="50" t="n">
        <f aca="false">$M$2</f>
        <v>0.9319</v>
      </c>
      <c r="N173" s="13" t="str">
        <f aca="false">IFERROR(IF($B173="","",$C173+$M173),"")</f>
        <v/>
      </c>
    </row>
    <row r="174" customFormat="false" ht="15" hidden="false" customHeight="true" outlineLevel="0" collapsed="false">
      <c r="A174" s="43" t="str">
        <f aca="false">IFERROR(IF(المنيو!$B174="","",المنيو!$A174),"")</f>
        <v/>
      </c>
      <c r="B174" s="43" t="n">
        <f aca="false">IFERROR(المنيو!$B174,"")</f>
        <v>0</v>
      </c>
      <c r="C174" s="13" t="str">
        <f aca="false">IFERROR(IF($B174="","",SUMIFS(الريسبي!$F$2:$F$1800,الريسبي!$A$2:$A$1800,$B174)),"")</f>
        <v/>
      </c>
      <c r="D174" s="44" t="str">
        <f aca="false">IFERROR(IF($B174="","",المنيو!$C174),"")</f>
        <v/>
      </c>
      <c r="E174" s="12" t="str">
        <f aca="false">IFERROR(IF(OR($B174="",$D174=0,$D174=""),"",$N174/$D174),"")</f>
        <v/>
      </c>
      <c r="F174" s="49" t="n">
        <f aca="false">$F$2</f>
        <v>0.375</v>
      </c>
      <c r="G174" s="13" t="str">
        <f aca="false">IFERROR(IF($B174="","",$N174/$F174),"")</f>
        <v/>
      </c>
      <c r="H174" s="13" t="str">
        <f aca="false">IFERROR(IF($B174="","",$D174-$N174),"")</f>
        <v/>
      </c>
      <c r="I174" s="12" t="str">
        <f aca="false">IFERROR(IF(OR($B174="",$D174=0,$D174=""),"",$H174/$D174),"")</f>
        <v/>
      </c>
      <c r="J174" s="49" t="n">
        <f aca="false">$J$2</f>
        <v>0.25</v>
      </c>
      <c r="K174" s="12" t="str">
        <f aca="false">IFERROR(IF($B174="","",$E174+$J174),"")</f>
        <v/>
      </c>
      <c r="L174" s="11" t="str">
        <f aca="false">IFERROR(IF(OR($B174="",$C174=0,$C174=""),"",$I174+ROW()*0.0000001),"")</f>
        <v/>
      </c>
      <c r="M174" s="50" t="n">
        <f aca="false">$M$2</f>
        <v>0.9319</v>
      </c>
      <c r="N174" s="13" t="str">
        <f aca="false">IFERROR(IF($B174="","",$C174+$M174),"")</f>
        <v/>
      </c>
    </row>
    <row r="175" customFormat="false" ht="15" hidden="false" customHeight="true" outlineLevel="0" collapsed="false">
      <c r="A175" s="43" t="str">
        <f aca="false">IFERROR(IF(المنيو!$B175="","",المنيو!$A175),"")</f>
        <v/>
      </c>
      <c r="B175" s="43" t="n">
        <f aca="false">IFERROR(المنيو!$B175,"")</f>
        <v>0</v>
      </c>
      <c r="C175" s="13" t="str">
        <f aca="false">IFERROR(IF($B175="","",SUMIFS(الريسبي!$F$2:$F$1800,الريسبي!$A$2:$A$1800,$B175)),"")</f>
        <v/>
      </c>
      <c r="D175" s="44" t="str">
        <f aca="false">IFERROR(IF($B175="","",المنيو!$C175),"")</f>
        <v/>
      </c>
      <c r="E175" s="12" t="str">
        <f aca="false">IFERROR(IF(OR($B175="",$D175=0,$D175=""),"",$N175/$D175),"")</f>
        <v/>
      </c>
      <c r="F175" s="49" t="n">
        <f aca="false">$F$2</f>
        <v>0.375</v>
      </c>
      <c r="G175" s="13" t="str">
        <f aca="false">IFERROR(IF($B175="","",$N175/$F175),"")</f>
        <v/>
      </c>
      <c r="H175" s="13" t="str">
        <f aca="false">IFERROR(IF($B175="","",$D175-$N175),"")</f>
        <v/>
      </c>
      <c r="I175" s="12" t="str">
        <f aca="false">IFERROR(IF(OR($B175="",$D175=0,$D175=""),"",$H175/$D175),"")</f>
        <v/>
      </c>
      <c r="J175" s="49" t="n">
        <f aca="false">$J$2</f>
        <v>0.25</v>
      </c>
      <c r="K175" s="12" t="str">
        <f aca="false">IFERROR(IF($B175="","",$E175+$J175),"")</f>
        <v/>
      </c>
      <c r="L175" s="11" t="str">
        <f aca="false">IFERROR(IF(OR($B175="",$C175=0,$C175=""),"",$I175+ROW()*0.0000001),"")</f>
        <v/>
      </c>
      <c r="M175" s="50" t="n">
        <f aca="false">$M$2</f>
        <v>0.9319</v>
      </c>
      <c r="N175" s="13" t="str">
        <f aca="false">IFERROR(IF($B175="","",$C175+$M175),"")</f>
        <v/>
      </c>
    </row>
    <row r="176" customFormat="false" ht="15" hidden="false" customHeight="true" outlineLevel="0" collapsed="false">
      <c r="A176" s="43" t="str">
        <f aca="false">IFERROR(IF(المنيو!$B176="","",المنيو!$A176),"")</f>
        <v/>
      </c>
      <c r="B176" s="43" t="n">
        <f aca="false">IFERROR(المنيو!$B176,"")</f>
        <v>0</v>
      </c>
      <c r="C176" s="13" t="str">
        <f aca="false">IFERROR(IF($B176="","",SUMIFS(الريسبي!$F$2:$F$1800,الريسبي!$A$2:$A$1800,$B176)),"")</f>
        <v/>
      </c>
      <c r="D176" s="44" t="str">
        <f aca="false">IFERROR(IF($B176="","",المنيو!$C176),"")</f>
        <v/>
      </c>
      <c r="E176" s="12" t="str">
        <f aca="false">IFERROR(IF(OR($B176="",$D176=0,$D176=""),"",$N176/$D176),"")</f>
        <v/>
      </c>
      <c r="F176" s="49" t="n">
        <f aca="false">$F$2</f>
        <v>0.375</v>
      </c>
      <c r="G176" s="13" t="str">
        <f aca="false">IFERROR(IF($B176="","",$N176/$F176),"")</f>
        <v/>
      </c>
      <c r="H176" s="13" t="str">
        <f aca="false">IFERROR(IF($B176="","",$D176-$N176),"")</f>
        <v/>
      </c>
      <c r="I176" s="12" t="str">
        <f aca="false">IFERROR(IF(OR($B176="",$D176=0,$D176=""),"",$H176/$D176),"")</f>
        <v/>
      </c>
      <c r="J176" s="49" t="n">
        <f aca="false">$J$2</f>
        <v>0.25</v>
      </c>
      <c r="K176" s="12" t="str">
        <f aca="false">IFERROR(IF($B176="","",$E176+$J176),"")</f>
        <v/>
      </c>
      <c r="L176" s="11" t="str">
        <f aca="false">IFERROR(IF(OR($B176="",$C176=0,$C176=""),"",$I176+ROW()*0.0000001),"")</f>
        <v/>
      </c>
      <c r="M176" s="50" t="n">
        <f aca="false">$M$2</f>
        <v>0.9319</v>
      </c>
      <c r="N176" s="13" t="str">
        <f aca="false">IFERROR(IF($B176="","",$C176+$M176),"")</f>
        <v/>
      </c>
    </row>
    <row r="177" customFormat="false" ht="15" hidden="false" customHeight="true" outlineLevel="0" collapsed="false">
      <c r="A177" s="43" t="str">
        <f aca="false">IFERROR(IF(المنيو!$B177="","",المنيو!$A177),"")</f>
        <v/>
      </c>
      <c r="B177" s="43" t="n">
        <f aca="false">IFERROR(المنيو!$B177,"")</f>
        <v>0</v>
      </c>
      <c r="C177" s="13" t="str">
        <f aca="false">IFERROR(IF($B177="","",SUMIFS(الريسبي!$F$2:$F$1800,الريسبي!$A$2:$A$1800,$B177)),"")</f>
        <v/>
      </c>
      <c r="D177" s="44" t="str">
        <f aca="false">IFERROR(IF($B177="","",المنيو!$C177),"")</f>
        <v/>
      </c>
      <c r="E177" s="12" t="str">
        <f aca="false">IFERROR(IF(OR($B177="",$D177=0,$D177=""),"",$N177/$D177),"")</f>
        <v/>
      </c>
      <c r="F177" s="49" t="n">
        <f aca="false">$F$2</f>
        <v>0.375</v>
      </c>
      <c r="G177" s="13" t="str">
        <f aca="false">IFERROR(IF($B177="","",$N177/$F177),"")</f>
        <v/>
      </c>
      <c r="H177" s="13" t="str">
        <f aca="false">IFERROR(IF($B177="","",$D177-$N177),"")</f>
        <v/>
      </c>
      <c r="I177" s="12" t="str">
        <f aca="false">IFERROR(IF(OR($B177="",$D177=0,$D177=""),"",$H177/$D177),"")</f>
        <v/>
      </c>
      <c r="J177" s="49" t="n">
        <f aca="false">$J$2</f>
        <v>0.25</v>
      </c>
      <c r="K177" s="12" t="str">
        <f aca="false">IFERROR(IF($B177="","",$E177+$J177),"")</f>
        <v/>
      </c>
      <c r="L177" s="11" t="str">
        <f aca="false">IFERROR(IF(OR($B177="",$C177=0,$C177=""),"",$I177+ROW()*0.0000001),"")</f>
        <v/>
      </c>
      <c r="M177" s="50" t="n">
        <f aca="false">$M$2</f>
        <v>0.9319</v>
      </c>
      <c r="N177" s="13" t="str">
        <f aca="false">IFERROR(IF($B177="","",$C177+$M177),"")</f>
        <v/>
      </c>
    </row>
    <row r="178" customFormat="false" ht="15" hidden="false" customHeight="true" outlineLevel="0" collapsed="false">
      <c r="A178" s="43" t="str">
        <f aca="false">IFERROR(IF(المنيو!$B178="","",المنيو!$A178),"")</f>
        <v/>
      </c>
      <c r="B178" s="43" t="n">
        <f aca="false">IFERROR(المنيو!$B178,"")</f>
        <v>0</v>
      </c>
      <c r="C178" s="13" t="str">
        <f aca="false">IFERROR(IF($B178="","",SUMIFS(الريسبي!$F$2:$F$1800,الريسبي!$A$2:$A$1800,$B178)),"")</f>
        <v/>
      </c>
      <c r="D178" s="44" t="str">
        <f aca="false">IFERROR(IF($B178="","",المنيو!$C178),"")</f>
        <v/>
      </c>
      <c r="E178" s="12" t="str">
        <f aca="false">IFERROR(IF(OR($B178="",$D178=0,$D178=""),"",$N178/$D178),"")</f>
        <v/>
      </c>
      <c r="F178" s="49" t="n">
        <f aca="false">$F$2</f>
        <v>0.375</v>
      </c>
      <c r="G178" s="13" t="str">
        <f aca="false">IFERROR(IF($B178="","",$N178/$F178),"")</f>
        <v/>
      </c>
      <c r="H178" s="13" t="str">
        <f aca="false">IFERROR(IF($B178="","",$D178-$N178),"")</f>
        <v/>
      </c>
      <c r="I178" s="12" t="str">
        <f aca="false">IFERROR(IF(OR($B178="",$D178=0,$D178=""),"",$H178/$D178),"")</f>
        <v/>
      </c>
      <c r="J178" s="49" t="n">
        <f aca="false">$J$2</f>
        <v>0.25</v>
      </c>
      <c r="K178" s="12" t="str">
        <f aca="false">IFERROR(IF($B178="","",$E178+$J178),"")</f>
        <v/>
      </c>
      <c r="L178" s="11" t="str">
        <f aca="false">IFERROR(IF(OR($B178="",$C178=0,$C178=""),"",$I178+ROW()*0.0000001),"")</f>
        <v/>
      </c>
      <c r="M178" s="50" t="n">
        <f aca="false">$M$2</f>
        <v>0.9319</v>
      </c>
      <c r="N178" s="13" t="str">
        <f aca="false">IFERROR(IF($B178="","",$C178+$M178),"")</f>
        <v/>
      </c>
    </row>
    <row r="179" customFormat="false" ht="15" hidden="false" customHeight="true" outlineLevel="0" collapsed="false">
      <c r="A179" s="43" t="str">
        <f aca="false">IFERROR(IF(المنيو!$B179="","",المنيو!$A179),"")</f>
        <v/>
      </c>
      <c r="B179" s="43" t="n">
        <f aca="false">IFERROR(المنيو!$B179,"")</f>
        <v>0</v>
      </c>
      <c r="C179" s="13" t="str">
        <f aca="false">IFERROR(IF($B179="","",SUMIFS(الريسبي!$F$2:$F$1800,الريسبي!$A$2:$A$1800,$B179)),"")</f>
        <v/>
      </c>
      <c r="D179" s="44" t="str">
        <f aca="false">IFERROR(IF($B179="","",المنيو!$C179),"")</f>
        <v/>
      </c>
      <c r="E179" s="12" t="str">
        <f aca="false">IFERROR(IF(OR($B179="",$D179=0,$D179=""),"",$N179/$D179),"")</f>
        <v/>
      </c>
      <c r="F179" s="49" t="n">
        <f aca="false">$F$2</f>
        <v>0.375</v>
      </c>
      <c r="G179" s="13" t="str">
        <f aca="false">IFERROR(IF($B179="","",$N179/$F179),"")</f>
        <v/>
      </c>
      <c r="H179" s="13" t="str">
        <f aca="false">IFERROR(IF($B179="","",$D179-$N179),"")</f>
        <v/>
      </c>
      <c r="I179" s="12" t="str">
        <f aca="false">IFERROR(IF(OR($B179="",$D179=0,$D179=""),"",$H179/$D179),"")</f>
        <v/>
      </c>
      <c r="J179" s="49" t="n">
        <f aca="false">$J$2</f>
        <v>0.25</v>
      </c>
      <c r="K179" s="12" t="str">
        <f aca="false">IFERROR(IF($B179="","",$E179+$J179),"")</f>
        <v/>
      </c>
      <c r="L179" s="11" t="str">
        <f aca="false">IFERROR(IF(OR($B179="",$C179=0,$C179=""),"",$I179+ROW()*0.0000001),"")</f>
        <v/>
      </c>
      <c r="M179" s="50" t="n">
        <f aca="false">$M$2</f>
        <v>0.9319</v>
      </c>
      <c r="N179" s="13" t="str">
        <f aca="false">IFERROR(IF($B179="","",$C179+$M179),"")</f>
        <v/>
      </c>
    </row>
    <row r="180" customFormat="false" ht="15" hidden="false" customHeight="true" outlineLevel="0" collapsed="false">
      <c r="A180" s="43" t="str">
        <f aca="false">IFERROR(IF(المنيو!$B180="","",المنيو!$A180),"")</f>
        <v/>
      </c>
      <c r="B180" s="43" t="n">
        <f aca="false">IFERROR(المنيو!$B180,"")</f>
        <v>0</v>
      </c>
      <c r="C180" s="13" t="str">
        <f aca="false">IFERROR(IF($B180="","",SUMIFS(الريسبي!$F$2:$F$1800,الريسبي!$A$2:$A$1800,$B180)),"")</f>
        <v/>
      </c>
      <c r="D180" s="44" t="str">
        <f aca="false">IFERROR(IF($B180="","",المنيو!$C180),"")</f>
        <v/>
      </c>
      <c r="E180" s="12" t="str">
        <f aca="false">IFERROR(IF(OR($B180="",$D180=0,$D180=""),"",$N180/$D180),"")</f>
        <v/>
      </c>
      <c r="F180" s="49" t="n">
        <f aca="false">$F$2</f>
        <v>0.375</v>
      </c>
      <c r="G180" s="13" t="str">
        <f aca="false">IFERROR(IF($B180="","",$N180/$F180),"")</f>
        <v/>
      </c>
      <c r="H180" s="13" t="str">
        <f aca="false">IFERROR(IF($B180="","",$D180-$N180),"")</f>
        <v/>
      </c>
      <c r="I180" s="12" t="str">
        <f aca="false">IFERROR(IF(OR($B180="",$D180=0,$D180=""),"",$H180/$D180),"")</f>
        <v/>
      </c>
      <c r="J180" s="49" t="n">
        <f aca="false">$J$2</f>
        <v>0.25</v>
      </c>
      <c r="K180" s="12" t="str">
        <f aca="false">IFERROR(IF($B180="","",$E180+$J180),"")</f>
        <v/>
      </c>
      <c r="L180" s="11" t="str">
        <f aca="false">IFERROR(IF(OR($B180="",$C180=0,$C180=""),"",$I180+ROW()*0.0000001),"")</f>
        <v/>
      </c>
      <c r="M180" s="50" t="n">
        <f aca="false">$M$2</f>
        <v>0.9319</v>
      </c>
      <c r="N180" s="13" t="str">
        <f aca="false">IFERROR(IF($B180="","",$C180+$M180),"")</f>
        <v/>
      </c>
    </row>
    <row r="181" customFormat="false" ht="15" hidden="false" customHeight="true" outlineLevel="0" collapsed="false">
      <c r="A181" s="43" t="str">
        <f aca="false">IFERROR(IF(المنيو!$B181="","",المنيو!$A181),"")</f>
        <v/>
      </c>
      <c r="B181" s="43" t="n">
        <f aca="false">IFERROR(المنيو!$B181,"")</f>
        <v>0</v>
      </c>
      <c r="C181" s="13" t="str">
        <f aca="false">IFERROR(IF($B181="","",SUMIFS(الريسبي!$F$2:$F$1800,الريسبي!$A$2:$A$1800,$B181)),"")</f>
        <v/>
      </c>
      <c r="D181" s="44" t="str">
        <f aca="false">IFERROR(IF($B181="","",المنيو!$C181),"")</f>
        <v/>
      </c>
      <c r="E181" s="12" t="str">
        <f aca="false">IFERROR(IF(OR($B181="",$D181=0,$D181=""),"",$N181/$D181),"")</f>
        <v/>
      </c>
      <c r="F181" s="49" t="n">
        <f aca="false">$F$2</f>
        <v>0.375</v>
      </c>
      <c r="G181" s="13" t="str">
        <f aca="false">IFERROR(IF($B181="","",$N181/$F181),"")</f>
        <v/>
      </c>
      <c r="H181" s="13" t="str">
        <f aca="false">IFERROR(IF($B181="","",$D181-$N181),"")</f>
        <v/>
      </c>
      <c r="I181" s="12" t="str">
        <f aca="false">IFERROR(IF(OR($B181="",$D181=0,$D181=""),"",$H181/$D181),"")</f>
        <v/>
      </c>
      <c r="J181" s="49" t="n">
        <f aca="false">$J$2</f>
        <v>0.25</v>
      </c>
      <c r="K181" s="12" t="str">
        <f aca="false">IFERROR(IF($B181="","",$E181+$J181),"")</f>
        <v/>
      </c>
      <c r="L181" s="11" t="str">
        <f aca="false">IFERROR(IF(OR($B181="",$C181=0,$C181=""),"",$I181+ROW()*0.0000001),"")</f>
        <v/>
      </c>
      <c r="M181" s="50" t="n">
        <f aca="false">$M$2</f>
        <v>0.9319</v>
      </c>
      <c r="N181" s="13" t="str">
        <f aca="false">IFERROR(IF($B181="","",$C181+$M181),"")</f>
        <v/>
      </c>
    </row>
    <row r="182" customFormat="false" ht="15" hidden="false" customHeight="true" outlineLevel="0" collapsed="false">
      <c r="A182" s="43" t="str">
        <f aca="false">IFERROR(IF(المنيو!$B182="","",المنيو!$A182),"")</f>
        <v/>
      </c>
      <c r="B182" s="43" t="n">
        <f aca="false">IFERROR(المنيو!$B182,"")</f>
        <v>0</v>
      </c>
      <c r="C182" s="13" t="str">
        <f aca="false">IFERROR(IF($B182="","",SUMIFS(الريسبي!$F$2:$F$1800,الريسبي!$A$2:$A$1800,$B182)),"")</f>
        <v/>
      </c>
      <c r="D182" s="44" t="str">
        <f aca="false">IFERROR(IF($B182="","",المنيو!$C182),"")</f>
        <v/>
      </c>
      <c r="E182" s="12" t="str">
        <f aca="false">IFERROR(IF(OR($B182="",$D182=0,$D182=""),"",$N182/$D182),"")</f>
        <v/>
      </c>
      <c r="F182" s="49" t="n">
        <f aca="false">$F$2</f>
        <v>0.375</v>
      </c>
      <c r="G182" s="13" t="str">
        <f aca="false">IFERROR(IF($B182="","",$N182/$F182),"")</f>
        <v/>
      </c>
      <c r="H182" s="13" t="str">
        <f aca="false">IFERROR(IF($B182="","",$D182-$N182),"")</f>
        <v/>
      </c>
      <c r="I182" s="12" t="str">
        <f aca="false">IFERROR(IF(OR($B182="",$D182=0,$D182=""),"",$H182/$D182),"")</f>
        <v/>
      </c>
      <c r="J182" s="49" t="n">
        <f aca="false">$J$2</f>
        <v>0.25</v>
      </c>
      <c r="K182" s="12" t="str">
        <f aca="false">IFERROR(IF($B182="","",$E182+$J182),"")</f>
        <v/>
      </c>
      <c r="L182" s="11" t="str">
        <f aca="false">IFERROR(IF(OR($B182="",$C182=0,$C182=""),"",$I182+ROW()*0.0000001),"")</f>
        <v/>
      </c>
      <c r="M182" s="50" t="n">
        <f aca="false">$M$2</f>
        <v>0.9319</v>
      </c>
      <c r="N182" s="13" t="str">
        <f aca="false">IFERROR(IF($B182="","",$C182+$M182),"")</f>
        <v/>
      </c>
    </row>
    <row r="183" customFormat="false" ht="15" hidden="false" customHeight="true" outlineLevel="0" collapsed="false">
      <c r="A183" s="43" t="str">
        <f aca="false">IFERROR(IF(المنيو!$B183="","",المنيو!$A183),"")</f>
        <v/>
      </c>
      <c r="B183" s="43" t="n">
        <f aca="false">IFERROR(المنيو!$B183,"")</f>
        <v>0</v>
      </c>
      <c r="C183" s="13" t="str">
        <f aca="false">IFERROR(IF($B183="","",SUMIFS(الريسبي!$F$2:$F$1800,الريسبي!$A$2:$A$1800,$B183)),"")</f>
        <v/>
      </c>
      <c r="D183" s="44" t="str">
        <f aca="false">IFERROR(IF($B183="","",المنيو!$C183),"")</f>
        <v/>
      </c>
      <c r="E183" s="12" t="str">
        <f aca="false">IFERROR(IF(OR($B183="",$D183=0,$D183=""),"",$N183/$D183),"")</f>
        <v/>
      </c>
      <c r="F183" s="49" t="n">
        <f aca="false">$F$2</f>
        <v>0.375</v>
      </c>
      <c r="G183" s="13" t="str">
        <f aca="false">IFERROR(IF($B183="","",$N183/$F183),"")</f>
        <v/>
      </c>
      <c r="H183" s="13" t="str">
        <f aca="false">IFERROR(IF($B183="","",$D183-$N183),"")</f>
        <v/>
      </c>
      <c r="I183" s="12" t="str">
        <f aca="false">IFERROR(IF(OR($B183="",$D183=0,$D183=""),"",$H183/$D183),"")</f>
        <v/>
      </c>
      <c r="J183" s="49" t="n">
        <f aca="false">$J$2</f>
        <v>0.25</v>
      </c>
      <c r="K183" s="12" t="str">
        <f aca="false">IFERROR(IF($B183="","",$E183+$J183),"")</f>
        <v/>
      </c>
      <c r="L183" s="11" t="str">
        <f aca="false">IFERROR(IF(OR($B183="",$C183=0,$C183=""),"",$I183+ROW()*0.0000001),"")</f>
        <v/>
      </c>
      <c r="M183" s="50" t="n">
        <f aca="false">$M$2</f>
        <v>0.9319</v>
      </c>
      <c r="N183" s="13" t="str">
        <f aca="false">IFERROR(IF($B183="","",$C183+$M183),"")</f>
        <v/>
      </c>
    </row>
    <row r="184" customFormat="false" ht="15" hidden="false" customHeight="true" outlineLevel="0" collapsed="false">
      <c r="A184" s="43" t="str">
        <f aca="false">IFERROR(IF(المنيو!$B184="","",المنيو!$A184),"")</f>
        <v/>
      </c>
      <c r="B184" s="43" t="n">
        <f aca="false">IFERROR(المنيو!$B184,"")</f>
        <v>0</v>
      </c>
      <c r="C184" s="13" t="str">
        <f aca="false">IFERROR(IF($B184="","",SUMIFS(الريسبي!$F$2:$F$1800,الريسبي!$A$2:$A$1800,$B184)),"")</f>
        <v/>
      </c>
      <c r="D184" s="44" t="str">
        <f aca="false">IFERROR(IF($B184="","",المنيو!$C184),"")</f>
        <v/>
      </c>
      <c r="E184" s="12" t="str">
        <f aca="false">IFERROR(IF(OR($B184="",$D184=0,$D184=""),"",$N184/$D184),"")</f>
        <v/>
      </c>
      <c r="F184" s="49" t="n">
        <f aca="false">$F$2</f>
        <v>0.375</v>
      </c>
      <c r="G184" s="13" t="str">
        <f aca="false">IFERROR(IF($B184="","",$N184/$F184),"")</f>
        <v/>
      </c>
      <c r="H184" s="13" t="str">
        <f aca="false">IFERROR(IF($B184="","",$D184-$N184),"")</f>
        <v/>
      </c>
      <c r="I184" s="12" t="str">
        <f aca="false">IFERROR(IF(OR($B184="",$D184=0,$D184=""),"",$H184/$D184),"")</f>
        <v/>
      </c>
      <c r="J184" s="49" t="n">
        <f aca="false">$J$2</f>
        <v>0.25</v>
      </c>
      <c r="K184" s="12" t="str">
        <f aca="false">IFERROR(IF($B184="","",$E184+$J184),"")</f>
        <v/>
      </c>
      <c r="L184" s="11" t="str">
        <f aca="false">IFERROR(IF(OR($B184="",$C184=0,$C184=""),"",$I184+ROW()*0.0000001),"")</f>
        <v/>
      </c>
      <c r="M184" s="50" t="n">
        <f aca="false">$M$2</f>
        <v>0.9319</v>
      </c>
      <c r="N184" s="13" t="str">
        <f aca="false">IFERROR(IF($B184="","",$C184+$M184),"")</f>
        <v/>
      </c>
    </row>
    <row r="185" customFormat="false" ht="15" hidden="false" customHeight="true" outlineLevel="0" collapsed="false">
      <c r="A185" s="43" t="str">
        <f aca="false">IFERROR(IF(المنيو!$B185="","",المنيو!$A185),"")</f>
        <v/>
      </c>
      <c r="B185" s="43" t="n">
        <f aca="false">IFERROR(المنيو!$B185,"")</f>
        <v>0</v>
      </c>
      <c r="C185" s="13" t="str">
        <f aca="false">IFERROR(IF($B185="","",SUMIFS(الريسبي!$F$2:$F$1800,الريسبي!$A$2:$A$1800,$B185)),"")</f>
        <v/>
      </c>
      <c r="D185" s="44" t="str">
        <f aca="false">IFERROR(IF($B185="","",المنيو!$C185),"")</f>
        <v/>
      </c>
      <c r="E185" s="12" t="str">
        <f aca="false">IFERROR(IF(OR($B185="",$D185=0,$D185=""),"",$N185/$D185),"")</f>
        <v/>
      </c>
      <c r="F185" s="49" t="n">
        <f aca="false">$F$2</f>
        <v>0.375</v>
      </c>
      <c r="G185" s="13" t="str">
        <f aca="false">IFERROR(IF($B185="","",$N185/$F185),"")</f>
        <v/>
      </c>
      <c r="H185" s="13" t="str">
        <f aca="false">IFERROR(IF($B185="","",$D185-$N185),"")</f>
        <v/>
      </c>
      <c r="I185" s="12" t="str">
        <f aca="false">IFERROR(IF(OR($B185="",$D185=0,$D185=""),"",$H185/$D185),"")</f>
        <v/>
      </c>
      <c r="J185" s="49" t="n">
        <f aca="false">$J$2</f>
        <v>0.25</v>
      </c>
      <c r="K185" s="12" t="str">
        <f aca="false">IFERROR(IF($B185="","",$E185+$J185),"")</f>
        <v/>
      </c>
      <c r="L185" s="11" t="str">
        <f aca="false">IFERROR(IF(OR($B185="",$C185=0,$C185=""),"",$I185+ROW()*0.0000001),"")</f>
        <v/>
      </c>
      <c r="M185" s="50" t="n">
        <f aca="false">$M$2</f>
        <v>0.9319</v>
      </c>
      <c r="N185" s="13" t="str">
        <f aca="false">IFERROR(IF($B185="","",$C185+$M185),"")</f>
        <v/>
      </c>
    </row>
    <row r="186" customFormat="false" ht="15" hidden="false" customHeight="true" outlineLevel="0" collapsed="false">
      <c r="A186" s="43" t="str">
        <f aca="false">IFERROR(IF(المنيو!$B186="","",المنيو!$A186),"")</f>
        <v/>
      </c>
      <c r="B186" s="43" t="n">
        <f aca="false">IFERROR(المنيو!$B186,"")</f>
        <v>0</v>
      </c>
      <c r="C186" s="13" t="str">
        <f aca="false">IFERROR(IF($B186="","",SUMIFS(الريسبي!$F$2:$F$1800,الريسبي!$A$2:$A$1800,$B186)),"")</f>
        <v/>
      </c>
      <c r="D186" s="44" t="str">
        <f aca="false">IFERROR(IF($B186="","",المنيو!$C186),"")</f>
        <v/>
      </c>
      <c r="E186" s="12" t="str">
        <f aca="false">IFERROR(IF(OR($B186="",$D186=0,$D186=""),"",$N186/$D186),"")</f>
        <v/>
      </c>
      <c r="F186" s="49" t="n">
        <f aca="false">$F$2</f>
        <v>0.375</v>
      </c>
      <c r="G186" s="13" t="str">
        <f aca="false">IFERROR(IF($B186="","",$N186/$F186),"")</f>
        <v/>
      </c>
      <c r="H186" s="13" t="str">
        <f aca="false">IFERROR(IF($B186="","",$D186-$N186),"")</f>
        <v/>
      </c>
      <c r="I186" s="12" t="str">
        <f aca="false">IFERROR(IF(OR($B186="",$D186=0,$D186=""),"",$H186/$D186),"")</f>
        <v/>
      </c>
      <c r="J186" s="49" t="n">
        <f aca="false">$J$2</f>
        <v>0.25</v>
      </c>
      <c r="K186" s="12" t="str">
        <f aca="false">IFERROR(IF($B186="","",$E186+$J186),"")</f>
        <v/>
      </c>
      <c r="L186" s="11" t="str">
        <f aca="false">IFERROR(IF(OR($B186="",$C186=0,$C186=""),"",$I186+ROW()*0.0000001),"")</f>
        <v/>
      </c>
      <c r="M186" s="50" t="n">
        <f aca="false">$M$2</f>
        <v>0.9319</v>
      </c>
      <c r="N186" s="13" t="str">
        <f aca="false">IFERROR(IF($B186="","",$C186+$M186),"")</f>
        <v/>
      </c>
    </row>
    <row r="187" customFormat="false" ht="15" hidden="false" customHeight="true" outlineLevel="0" collapsed="false">
      <c r="A187" s="43" t="str">
        <f aca="false">IFERROR(IF(المنيو!$B187="","",المنيو!$A187),"")</f>
        <v/>
      </c>
      <c r="B187" s="43" t="n">
        <f aca="false">IFERROR(المنيو!$B187,"")</f>
        <v>0</v>
      </c>
      <c r="C187" s="13" t="str">
        <f aca="false">IFERROR(IF($B187="","",SUMIFS(الريسبي!$F$2:$F$1800,الريسبي!$A$2:$A$1800,$B187)),"")</f>
        <v/>
      </c>
      <c r="D187" s="44" t="str">
        <f aca="false">IFERROR(IF($B187="","",المنيو!$C187),"")</f>
        <v/>
      </c>
      <c r="E187" s="12" t="str">
        <f aca="false">IFERROR(IF(OR($B187="",$D187=0,$D187=""),"",$N187/$D187),"")</f>
        <v/>
      </c>
      <c r="F187" s="49" t="n">
        <f aca="false">$F$2</f>
        <v>0.375</v>
      </c>
      <c r="G187" s="13" t="str">
        <f aca="false">IFERROR(IF($B187="","",$N187/$F187),"")</f>
        <v/>
      </c>
      <c r="H187" s="13" t="str">
        <f aca="false">IFERROR(IF($B187="","",$D187-$N187),"")</f>
        <v/>
      </c>
      <c r="I187" s="12" t="str">
        <f aca="false">IFERROR(IF(OR($B187="",$D187=0,$D187=""),"",$H187/$D187),"")</f>
        <v/>
      </c>
      <c r="J187" s="49" t="n">
        <f aca="false">$J$2</f>
        <v>0.25</v>
      </c>
      <c r="K187" s="12" t="str">
        <f aca="false">IFERROR(IF($B187="","",$E187+$J187),"")</f>
        <v/>
      </c>
      <c r="L187" s="11" t="str">
        <f aca="false">IFERROR(IF(OR($B187="",$C187=0,$C187=""),"",$I187+ROW()*0.0000001),"")</f>
        <v/>
      </c>
      <c r="M187" s="50" t="n">
        <f aca="false">$M$2</f>
        <v>0.9319</v>
      </c>
      <c r="N187" s="13" t="str">
        <f aca="false">IFERROR(IF($B187="","",$C187+$M187),"")</f>
        <v/>
      </c>
    </row>
    <row r="188" customFormat="false" ht="15" hidden="false" customHeight="true" outlineLevel="0" collapsed="false">
      <c r="A188" s="43" t="str">
        <f aca="false">IFERROR(IF(المنيو!$B188="","",المنيو!$A188),"")</f>
        <v/>
      </c>
      <c r="B188" s="43" t="n">
        <f aca="false">IFERROR(المنيو!$B188,"")</f>
        <v>0</v>
      </c>
      <c r="C188" s="13" t="str">
        <f aca="false">IFERROR(IF($B188="","",SUMIFS(الريسبي!$F$2:$F$1800,الريسبي!$A$2:$A$1800,$B188)),"")</f>
        <v/>
      </c>
      <c r="D188" s="44" t="str">
        <f aca="false">IFERROR(IF($B188="","",المنيو!$C188),"")</f>
        <v/>
      </c>
      <c r="E188" s="12" t="str">
        <f aca="false">IFERROR(IF(OR($B188="",$D188=0,$D188=""),"",$N188/$D188),"")</f>
        <v/>
      </c>
      <c r="F188" s="49" t="n">
        <f aca="false">$F$2</f>
        <v>0.375</v>
      </c>
      <c r="G188" s="13" t="str">
        <f aca="false">IFERROR(IF($B188="","",$N188/$F188),"")</f>
        <v/>
      </c>
      <c r="H188" s="13" t="str">
        <f aca="false">IFERROR(IF($B188="","",$D188-$N188),"")</f>
        <v/>
      </c>
      <c r="I188" s="12" t="str">
        <f aca="false">IFERROR(IF(OR($B188="",$D188=0,$D188=""),"",$H188/$D188),"")</f>
        <v/>
      </c>
      <c r="J188" s="49" t="n">
        <f aca="false">$J$2</f>
        <v>0.25</v>
      </c>
      <c r="K188" s="12" t="str">
        <f aca="false">IFERROR(IF($B188="","",$E188+$J188),"")</f>
        <v/>
      </c>
      <c r="L188" s="11" t="str">
        <f aca="false">IFERROR(IF(OR($B188="",$C188=0,$C188=""),"",$I188+ROW()*0.0000001),"")</f>
        <v/>
      </c>
      <c r="M188" s="50" t="n">
        <f aca="false">$M$2</f>
        <v>0.9319</v>
      </c>
      <c r="N188" s="13" t="str">
        <f aca="false">IFERROR(IF($B188="","",$C188+$M188),"")</f>
        <v/>
      </c>
    </row>
    <row r="189" customFormat="false" ht="15" hidden="false" customHeight="true" outlineLevel="0" collapsed="false">
      <c r="A189" s="43" t="str">
        <f aca="false">IFERROR(IF(المنيو!$B189="","",المنيو!$A189),"")</f>
        <v/>
      </c>
      <c r="B189" s="43" t="n">
        <f aca="false">IFERROR(المنيو!$B189,"")</f>
        <v>0</v>
      </c>
      <c r="C189" s="13" t="str">
        <f aca="false">IFERROR(IF($B189="","",SUMIFS(الريسبي!$F$2:$F$1800,الريسبي!$A$2:$A$1800,$B189)),"")</f>
        <v/>
      </c>
      <c r="D189" s="44" t="str">
        <f aca="false">IFERROR(IF($B189="","",المنيو!$C189),"")</f>
        <v/>
      </c>
      <c r="E189" s="12" t="str">
        <f aca="false">IFERROR(IF(OR($B189="",$D189=0,$D189=""),"",$N189/$D189),"")</f>
        <v/>
      </c>
      <c r="F189" s="49" t="n">
        <f aca="false">$F$2</f>
        <v>0.375</v>
      </c>
      <c r="G189" s="13" t="str">
        <f aca="false">IFERROR(IF($B189="","",$N189/$F189),"")</f>
        <v/>
      </c>
      <c r="H189" s="13" t="str">
        <f aca="false">IFERROR(IF($B189="","",$D189-$N189),"")</f>
        <v/>
      </c>
      <c r="I189" s="12" t="str">
        <f aca="false">IFERROR(IF(OR($B189="",$D189=0,$D189=""),"",$H189/$D189),"")</f>
        <v/>
      </c>
      <c r="J189" s="49" t="n">
        <f aca="false">$J$2</f>
        <v>0.25</v>
      </c>
      <c r="K189" s="12" t="str">
        <f aca="false">IFERROR(IF($B189="","",$E189+$J189),"")</f>
        <v/>
      </c>
      <c r="L189" s="11" t="str">
        <f aca="false">IFERROR(IF(OR($B189="",$C189=0,$C189=""),"",$I189+ROW()*0.0000001),"")</f>
        <v/>
      </c>
      <c r="M189" s="50" t="n">
        <f aca="false">$M$2</f>
        <v>0.9319</v>
      </c>
      <c r="N189" s="13" t="str">
        <f aca="false">IFERROR(IF($B189="","",$C189+$M189),"")</f>
        <v/>
      </c>
    </row>
    <row r="190" customFormat="false" ht="15" hidden="false" customHeight="true" outlineLevel="0" collapsed="false">
      <c r="A190" s="43" t="str">
        <f aca="false">IFERROR(IF(المنيو!$B190="","",المنيو!$A190),"")</f>
        <v/>
      </c>
      <c r="B190" s="43" t="n">
        <f aca="false">IFERROR(المنيو!$B190,"")</f>
        <v>0</v>
      </c>
      <c r="C190" s="13" t="str">
        <f aca="false">IFERROR(IF($B190="","",SUMIFS(الريسبي!$F$2:$F$1800,الريسبي!$A$2:$A$1800,$B190)),"")</f>
        <v/>
      </c>
      <c r="D190" s="44" t="str">
        <f aca="false">IFERROR(IF($B190="","",المنيو!$C190),"")</f>
        <v/>
      </c>
      <c r="E190" s="12" t="str">
        <f aca="false">IFERROR(IF(OR($B190="",$D190=0,$D190=""),"",$N190/$D190),"")</f>
        <v/>
      </c>
      <c r="F190" s="49" t="n">
        <f aca="false">$F$2</f>
        <v>0.375</v>
      </c>
      <c r="G190" s="13" t="str">
        <f aca="false">IFERROR(IF($B190="","",$N190/$F190),"")</f>
        <v/>
      </c>
      <c r="H190" s="13" t="str">
        <f aca="false">IFERROR(IF($B190="","",$D190-$N190),"")</f>
        <v/>
      </c>
      <c r="I190" s="12" t="str">
        <f aca="false">IFERROR(IF(OR($B190="",$D190=0,$D190=""),"",$H190/$D190),"")</f>
        <v/>
      </c>
      <c r="J190" s="49" t="n">
        <f aca="false">$J$2</f>
        <v>0.25</v>
      </c>
      <c r="K190" s="12" t="str">
        <f aca="false">IFERROR(IF($B190="","",$E190+$J190),"")</f>
        <v/>
      </c>
      <c r="L190" s="11" t="str">
        <f aca="false">IFERROR(IF(OR($B190="",$C190=0,$C190=""),"",$I190+ROW()*0.0000001),"")</f>
        <v/>
      </c>
      <c r="M190" s="50" t="n">
        <f aca="false">$M$2</f>
        <v>0.9319</v>
      </c>
      <c r="N190" s="13" t="str">
        <f aca="false">IFERROR(IF($B190="","",$C190+$M190),"")</f>
        <v/>
      </c>
    </row>
    <row r="191" customFormat="false" ht="15" hidden="false" customHeight="true" outlineLevel="0" collapsed="false">
      <c r="A191" s="43" t="str">
        <f aca="false">IFERROR(IF(المنيو!$B191="","",المنيو!$A191),"")</f>
        <v/>
      </c>
      <c r="B191" s="43" t="n">
        <f aca="false">IFERROR(المنيو!$B191,"")</f>
        <v>0</v>
      </c>
      <c r="C191" s="13" t="str">
        <f aca="false">IFERROR(IF($B191="","",SUMIFS(الريسبي!$F$2:$F$1800,الريسبي!$A$2:$A$1800,$B191)),"")</f>
        <v/>
      </c>
      <c r="D191" s="44" t="str">
        <f aca="false">IFERROR(IF($B191="","",المنيو!$C191),"")</f>
        <v/>
      </c>
      <c r="E191" s="12" t="str">
        <f aca="false">IFERROR(IF(OR($B191="",$D191=0,$D191=""),"",$N191/$D191),"")</f>
        <v/>
      </c>
      <c r="F191" s="49" t="n">
        <f aca="false">$F$2</f>
        <v>0.375</v>
      </c>
      <c r="G191" s="13" t="str">
        <f aca="false">IFERROR(IF($B191="","",$N191/$F191),"")</f>
        <v/>
      </c>
      <c r="H191" s="13" t="str">
        <f aca="false">IFERROR(IF($B191="","",$D191-$N191),"")</f>
        <v/>
      </c>
      <c r="I191" s="12" t="str">
        <f aca="false">IFERROR(IF(OR($B191="",$D191=0,$D191=""),"",$H191/$D191),"")</f>
        <v/>
      </c>
      <c r="J191" s="49" t="n">
        <f aca="false">$J$2</f>
        <v>0.25</v>
      </c>
      <c r="K191" s="12" t="str">
        <f aca="false">IFERROR(IF($B191="","",$E191+$J191),"")</f>
        <v/>
      </c>
      <c r="L191" s="11" t="str">
        <f aca="false">IFERROR(IF(OR($B191="",$C191=0,$C191=""),"",$I191+ROW()*0.0000001),"")</f>
        <v/>
      </c>
      <c r="M191" s="50" t="n">
        <f aca="false">$M$2</f>
        <v>0.9319</v>
      </c>
      <c r="N191" s="13" t="str">
        <f aca="false">IFERROR(IF($B191="","",$C191+$M191),"")</f>
        <v/>
      </c>
    </row>
    <row r="192" customFormat="false" ht="15" hidden="false" customHeight="true" outlineLevel="0" collapsed="false">
      <c r="A192" s="43" t="str">
        <f aca="false">IFERROR(IF(المنيو!$B192="","",المنيو!$A192),"")</f>
        <v/>
      </c>
      <c r="B192" s="43" t="n">
        <f aca="false">IFERROR(المنيو!$B192,"")</f>
        <v>0</v>
      </c>
      <c r="C192" s="13" t="str">
        <f aca="false">IFERROR(IF($B192="","",SUMIFS(الريسبي!$F$2:$F$1800,الريسبي!$A$2:$A$1800,$B192)),"")</f>
        <v/>
      </c>
      <c r="D192" s="44" t="str">
        <f aca="false">IFERROR(IF($B192="","",المنيو!$C192),"")</f>
        <v/>
      </c>
      <c r="E192" s="12" t="str">
        <f aca="false">IFERROR(IF(OR($B192="",$D192=0,$D192=""),"",$N192/$D192),"")</f>
        <v/>
      </c>
      <c r="F192" s="49" t="n">
        <f aca="false">$F$2</f>
        <v>0.375</v>
      </c>
      <c r="G192" s="13" t="str">
        <f aca="false">IFERROR(IF($B192="","",$N192/$F192),"")</f>
        <v/>
      </c>
      <c r="H192" s="13" t="str">
        <f aca="false">IFERROR(IF($B192="","",$D192-$N192),"")</f>
        <v/>
      </c>
      <c r="I192" s="12" t="str">
        <f aca="false">IFERROR(IF(OR($B192="",$D192=0,$D192=""),"",$H192/$D192),"")</f>
        <v/>
      </c>
      <c r="J192" s="49" t="n">
        <f aca="false">$J$2</f>
        <v>0.25</v>
      </c>
      <c r="K192" s="12" t="str">
        <f aca="false">IFERROR(IF($B192="","",$E192+$J192),"")</f>
        <v/>
      </c>
      <c r="L192" s="11" t="str">
        <f aca="false">IFERROR(IF(OR($B192="",$C192=0,$C192=""),"",$I192+ROW()*0.0000001),"")</f>
        <v/>
      </c>
      <c r="M192" s="50" t="n">
        <f aca="false">$M$2</f>
        <v>0.9319</v>
      </c>
      <c r="N192" s="13" t="str">
        <f aca="false">IFERROR(IF($B192="","",$C192+$M192),"")</f>
        <v/>
      </c>
    </row>
    <row r="193" customFormat="false" ht="15" hidden="false" customHeight="true" outlineLevel="0" collapsed="false">
      <c r="A193" s="43" t="str">
        <f aca="false">IFERROR(IF(المنيو!$B193="","",المنيو!$A193),"")</f>
        <v/>
      </c>
      <c r="B193" s="43" t="n">
        <f aca="false">IFERROR(المنيو!$B193,"")</f>
        <v>0</v>
      </c>
      <c r="C193" s="13" t="str">
        <f aca="false">IFERROR(IF($B193="","",SUMIFS(الريسبي!$F$2:$F$1800,الريسبي!$A$2:$A$1800,$B193)),"")</f>
        <v/>
      </c>
      <c r="D193" s="44" t="str">
        <f aca="false">IFERROR(IF($B193="","",المنيو!$C193),"")</f>
        <v/>
      </c>
      <c r="E193" s="12" t="str">
        <f aca="false">IFERROR(IF(OR($B193="",$D193=0,$D193=""),"",$N193/$D193),"")</f>
        <v/>
      </c>
      <c r="F193" s="49" t="n">
        <f aca="false">$F$2</f>
        <v>0.375</v>
      </c>
      <c r="G193" s="13" t="str">
        <f aca="false">IFERROR(IF($B193="","",$N193/$F193),"")</f>
        <v/>
      </c>
      <c r="H193" s="13" t="str">
        <f aca="false">IFERROR(IF($B193="","",$D193-$N193),"")</f>
        <v/>
      </c>
      <c r="I193" s="12" t="str">
        <f aca="false">IFERROR(IF(OR($B193="",$D193=0,$D193=""),"",$H193/$D193),"")</f>
        <v/>
      </c>
      <c r="J193" s="49" t="n">
        <f aca="false">$J$2</f>
        <v>0.25</v>
      </c>
      <c r="K193" s="12" t="str">
        <f aca="false">IFERROR(IF($B193="","",$E193+$J193),"")</f>
        <v/>
      </c>
      <c r="L193" s="11" t="str">
        <f aca="false">IFERROR(IF(OR($B193="",$C193=0,$C193=""),"",$I193+ROW()*0.0000001),"")</f>
        <v/>
      </c>
      <c r="M193" s="50" t="n">
        <f aca="false">$M$2</f>
        <v>0.9319</v>
      </c>
      <c r="N193" s="13" t="str">
        <f aca="false">IFERROR(IF($B193="","",$C193+$M193),"")</f>
        <v/>
      </c>
    </row>
    <row r="194" customFormat="false" ht="15" hidden="false" customHeight="true" outlineLevel="0" collapsed="false">
      <c r="A194" s="43" t="str">
        <f aca="false">IFERROR(IF(المنيو!$B194="","",المنيو!$A194),"")</f>
        <v/>
      </c>
      <c r="B194" s="43" t="n">
        <f aca="false">IFERROR(المنيو!$B194,"")</f>
        <v>0</v>
      </c>
      <c r="C194" s="13" t="str">
        <f aca="false">IFERROR(IF($B194="","",SUMIFS(الريسبي!$F$2:$F$1800,الريسبي!$A$2:$A$1800,$B194)),"")</f>
        <v/>
      </c>
      <c r="D194" s="44" t="str">
        <f aca="false">IFERROR(IF($B194="","",المنيو!$C194),"")</f>
        <v/>
      </c>
      <c r="E194" s="12" t="str">
        <f aca="false">IFERROR(IF(OR($B194="",$D194=0,$D194=""),"",$N194/$D194),"")</f>
        <v/>
      </c>
      <c r="F194" s="49" t="n">
        <f aca="false">$F$2</f>
        <v>0.375</v>
      </c>
      <c r="G194" s="13" t="str">
        <f aca="false">IFERROR(IF($B194="","",$N194/$F194),"")</f>
        <v/>
      </c>
      <c r="H194" s="13" t="str">
        <f aca="false">IFERROR(IF($B194="","",$D194-$N194),"")</f>
        <v/>
      </c>
      <c r="I194" s="12" t="str">
        <f aca="false">IFERROR(IF(OR($B194="",$D194=0,$D194=""),"",$H194/$D194),"")</f>
        <v/>
      </c>
      <c r="J194" s="49" t="n">
        <f aca="false">$J$2</f>
        <v>0.25</v>
      </c>
      <c r="K194" s="12" t="str">
        <f aca="false">IFERROR(IF($B194="","",$E194+$J194),"")</f>
        <v/>
      </c>
      <c r="L194" s="11" t="str">
        <f aca="false">IFERROR(IF(OR($B194="",$C194=0,$C194=""),"",$I194+ROW()*0.0000001),"")</f>
        <v/>
      </c>
      <c r="M194" s="50" t="n">
        <f aca="false">$M$2</f>
        <v>0.9319</v>
      </c>
      <c r="N194" s="13" t="str">
        <f aca="false">IFERROR(IF($B194="","",$C194+$M194),"")</f>
        <v/>
      </c>
    </row>
    <row r="195" customFormat="false" ht="15" hidden="false" customHeight="true" outlineLevel="0" collapsed="false">
      <c r="A195" s="43" t="str">
        <f aca="false">IFERROR(IF(المنيو!$B195="","",المنيو!$A195),"")</f>
        <v/>
      </c>
      <c r="B195" s="43" t="n">
        <f aca="false">IFERROR(المنيو!$B195,"")</f>
        <v>0</v>
      </c>
      <c r="C195" s="13" t="str">
        <f aca="false">IFERROR(IF($B195="","",SUMIFS(الريسبي!$F$2:$F$1800,الريسبي!$A$2:$A$1800,$B195)),"")</f>
        <v/>
      </c>
      <c r="D195" s="44" t="str">
        <f aca="false">IFERROR(IF($B195="","",المنيو!$C195),"")</f>
        <v/>
      </c>
      <c r="E195" s="12" t="str">
        <f aca="false">IFERROR(IF(OR($B195="",$D195=0,$D195=""),"",$N195/$D195),"")</f>
        <v/>
      </c>
      <c r="F195" s="49" t="n">
        <f aca="false">$F$2</f>
        <v>0.375</v>
      </c>
      <c r="G195" s="13" t="str">
        <f aca="false">IFERROR(IF($B195="","",$N195/$F195),"")</f>
        <v/>
      </c>
      <c r="H195" s="13" t="str">
        <f aca="false">IFERROR(IF($B195="","",$D195-$N195),"")</f>
        <v/>
      </c>
      <c r="I195" s="12" t="str">
        <f aca="false">IFERROR(IF(OR($B195="",$D195=0,$D195=""),"",$H195/$D195),"")</f>
        <v/>
      </c>
      <c r="J195" s="49" t="n">
        <f aca="false">$J$2</f>
        <v>0.25</v>
      </c>
      <c r="K195" s="12" t="str">
        <f aca="false">IFERROR(IF($B195="","",$E195+$J195),"")</f>
        <v/>
      </c>
      <c r="L195" s="11" t="str">
        <f aca="false">IFERROR(IF(OR($B195="",$C195=0,$C195=""),"",$I195+ROW()*0.0000001),"")</f>
        <v/>
      </c>
      <c r="M195" s="50" t="n">
        <f aca="false">$M$2</f>
        <v>0.9319</v>
      </c>
      <c r="N195" s="13" t="str">
        <f aca="false">IFERROR(IF($B195="","",$C195+$M195),"")</f>
        <v/>
      </c>
    </row>
    <row r="196" customFormat="false" ht="15" hidden="false" customHeight="true" outlineLevel="0" collapsed="false">
      <c r="A196" s="43" t="str">
        <f aca="false">IFERROR(IF(المنيو!$B196="","",المنيو!$A196),"")</f>
        <v/>
      </c>
      <c r="B196" s="43" t="n">
        <f aca="false">IFERROR(المنيو!$B196,"")</f>
        <v>0</v>
      </c>
      <c r="C196" s="13" t="str">
        <f aca="false">IFERROR(IF($B196="","",SUMIFS(الريسبي!$F$2:$F$1800,الريسبي!$A$2:$A$1800,$B196)),"")</f>
        <v/>
      </c>
      <c r="D196" s="44" t="str">
        <f aca="false">IFERROR(IF($B196="","",المنيو!$C196),"")</f>
        <v/>
      </c>
      <c r="E196" s="12" t="str">
        <f aca="false">IFERROR(IF(OR($B196="",$D196=0,$D196=""),"",$N196/$D196),"")</f>
        <v/>
      </c>
      <c r="F196" s="49" t="n">
        <f aca="false">$F$2</f>
        <v>0.375</v>
      </c>
      <c r="G196" s="13" t="str">
        <f aca="false">IFERROR(IF($B196="","",$N196/$F196),"")</f>
        <v/>
      </c>
      <c r="H196" s="13" t="str">
        <f aca="false">IFERROR(IF($B196="","",$D196-$N196),"")</f>
        <v/>
      </c>
      <c r="I196" s="12" t="str">
        <f aca="false">IFERROR(IF(OR($B196="",$D196=0,$D196=""),"",$H196/$D196),"")</f>
        <v/>
      </c>
      <c r="J196" s="49" t="n">
        <f aca="false">$J$2</f>
        <v>0.25</v>
      </c>
      <c r="K196" s="12" t="str">
        <f aca="false">IFERROR(IF($B196="","",$E196+$J196),"")</f>
        <v/>
      </c>
      <c r="L196" s="11" t="str">
        <f aca="false">IFERROR(IF(OR($B196="",$C196=0,$C196=""),"",$I196+ROW()*0.0000001),"")</f>
        <v/>
      </c>
      <c r="M196" s="50" t="n">
        <f aca="false">$M$2</f>
        <v>0.9319</v>
      </c>
      <c r="N196" s="13" t="str">
        <f aca="false">IFERROR(IF($B196="","",$C196+$M196),"")</f>
        <v/>
      </c>
    </row>
    <row r="197" customFormat="false" ht="15" hidden="false" customHeight="true" outlineLevel="0" collapsed="false">
      <c r="A197" s="43" t="str">
        <f aca="false">IFERROR(IF(المنيو!$B197="","",المنيو!$A197),"")</f>
        <v/>
      </c>
      <c r="B197" s="43" t="n">
        <f aca="false">IFERROR(المنيو!$B197,"")</f>
        <v>0</v>
      </c>
      <c r="C197" s="13" t="str">
        <f aca="false">IFERROR(IF($B197="","",SUMIFS(الريسبي!$F$2:$F$1800,الريسبي!$A$2:$A$1800,$B197)),"")</f>
        <v/>
      </c>
      <c r="D197" s="44" t="str">
        <f aca="false">IFERROR(IF($B197="","",المنيو!$C197),"")</f>
        <v/>
      </c>
      <c r="E197" s="12" t="str">
        <f aca="false">IFERROR(IF(OR($B197="",$D197=0,$D197=""),"",$N197/$D197),"")</f>
        <v/>
      </c>
      <c r="F197" s="49" t="n">
        <f aca="false">$F$2</f>
        <v>0.375</v>
      </c>
      <c r="G197" s="13" t="str">
        <f aca="false">IFERROR(IF($B197="","",$N197/$F197),"")</f>
        <v/>
      </c>
      <c r="H197" s="13" t="str">
        <f aca="false">IFERROR(IF($B197="","",$D197-$N197),"")</f>
        <v/>
      </c>
      <c r="I197" s="12" t="str">
        <f aca="false">IFERROR(IF(OR($B197="",$D197=0,$D197=""),"",$H197/$D197),"")</f>
        <v/>
      </c>
      <c r="J197" s="49" t="n">
        <f aca="false">$J$2</f>
        <v>0.25</v>
      </c>
      <c r="K197" s="12" t="str">
        <f aca="false">IFERROR(IF($B197="","",$E197+$J197),"")</f>
        <v/>
      </c>
      <c r="L197" s="11" t="str">
        <f aca="false">IFERROR(IF(OR($B197="",$C197=0,$C197=""),"",$I197+ROW()*0.0000001),"")</f>
        <v/>
      </c>
      <c r="M197" s="50" t="n">
        <f aca="false">$M$2</f>
        <v>0.9319</v>
      </c>
      <c r="N197" s="13" t="str">
        <f aca="false">IFERROR(IF($B197="","",$C197+$M197),"")</f>
        <v/>
      </c>
    </row>
    <row r="198" customFormat="false" ht="15" hidden="false" customHeight="true" outlineLevel="0" collapsed="false">
      <c r="A198" s="43" t="str">
        <f aca="false">IFERROR(IF(المنيو!$B198="","",المنيو!$A198),"")</f>
        <v/>
      </c>
      <c r="B198" s="43" t="n">
        <f aca="false">IFERROR(المنيو!$B198,"")</f>
        <v>0</v>
      </c>
      <c r="C198" s="13" t="str">
        <f aca="false">IFERROR(IF($B198="","",SUMIFS(الريسبي!$F$2:$F$1800,الريسبي!$A$2:$A$1800,$B198)),"")</f>
        <v/>
      </c>
      <c r="D198" s="44" t="str">
        <f aca="false">IFERROR(IF($B198="","",المنيو!$C198),"")</f>
        <v/>
      </c>
      <c r="E198" s="12" t="str">
        <f aca="false">IFERROR(IF(OR($B198="",$D198=0,$D198=""),"",$N198/$D198),"")</f>
        <v/>
      </c>
      <c r="F198" s="49" t="n">
        <f aca="false">$F$2</f>
        <v>0.375</v>
      </c>
      <c r="G198" s="13" t="str">
        <f aca="false">IFERROR(IF($B198="","",$N198/$F198),"")</f>
        <v/>
      </c>
      <c r="H198" s="13" t="str">
        <f aca="false">IFERROR(IF($B198="","",$D198-$N198),"")</f>
        <v/>
      </c>
      <c r="I198" s="12" t="str">
        <f aca="false">IFERROR(IF(OR($B198="",$D198=0,$D198=""),"",$H198/$D198),"")</f>
        <v/>
      </c>
      <c r="J198" s="49" t="n">
        <f aca="false">$J$2</f>
        <v>0.25</v>
      </c>
      <c r="K198" s="12" t="str">
        <f aca="false">IFERROR(IF($B198="","",$E198+$J198),"")</f>
        <v/>
      </c>
      <c r="L198" s="11" t="str">
        <f aca="false">IFERROR(IF(OR($B198="",$C198=0,$C198=""),"",$I198+ROW()*0.0000001),"")</f>
        <v/>
      </c>
      <c r="M198" s="50" t="n">
        <f aca="false">$M$2</f>
        <v>0.9319</v>
      </c>
      <c r="N198" s="13" t="str">
        <f aca="false">IFERROR(IF($B198="","",$C198+$M198),"")</f>
        <v/>
      </c>
    </row>
    <row r="199" customFormat="false" ht="15" hidden="false" customHeight="true" outlineLevel="0" collapsed="false">
      <c r="A199" s="43" t="str">
        <f aca="false">IFERROR(IF(المنيو!$B199="","",المنيو!$A199),"")</f>
        <v/>
      </c>
      <c r="B199" s="43" t="n">
        <f aca="false">IFERROR(المنيو!$B199,"")</f>
        <v>0</v>
      </c>
      <c r="C199" s="13" t="str">
        <f aca="false">IFERROR(IF($B199="","",SUMIFS(الريسبي!$F$2:$F$1800,الريسبي!$A$2:$A$1800,$B199)),"")</f>
        <v/>
      </c>
      <c r="D199" s="44" t="str">
        <f aca="false">IFERROR(IF($B199="","",المنيو!$C199),"")</f>
        <v/>
      </c>
      <c r="E199" s="12" t="str">
        <f aca="false">IFERROR(IF(OR($B199="",$D199=0,$D199=""),"",$N199/$D199),"")</f>
        <v/>
      </c>
      <c r="F199" s="49" t="n">
        <f aca="false">$F$2</f>
        <v>0.375</v>
      </c>
      <c r="G199" s="13" t="str">
        <f aca="false">IFERROR(IF($B199="","",$N199/$F199),"")</f>
        <v/>
      </c>
      <c r="H199" s="13" t="str">
        <f aca="false">IFERROR(IF($B199="","",$D199-$N199),"")</f>
        <v/>
      </c>
      <c r="I199" s="12" t="str">
        <f aca="false">IFERROR(IF(OR($B199="",$D199=0,$D199=""),"",$H199/$D199),"")</f>
        <v/>
      </c>
      <c r="J199" s="49" t="n">
        <f aca="false">$J$2</f>
        <v>0.25</v>
      </c>
      <c r="K199" s="12" t="str">
        <f aca="false">IFERROR(IF($B199="","",$E199+$J199),"")</f>
        <v/>
      </c>
      <c r="L199" s="11" t="str">
        <f aca="false">IFERROR(IF(OR($B199="",$C199=0,$C199=""),"",$I199+ROW()*0.0000001),"")</f>
        <v/>
      </c>
      <c r="M199" s="50" t="n">
        <f aca="false">$M$2</f>
        <v>0.9319</v>
      </c>
      <c r="N199" s="13" t="str">
        <f aca="false">IFERROR(IF($B199="","",$C199+$M199),"")</f>
        <v/>
      </c>
    </row>
    <row r="200" customFormat="false" ht="15" hidden="false" customHeight="true" outlineLevel="0" collapsed="false">
      <c r="A200" s="43" t="str">
        <f aca="false">IFERROR(IF(المنيو!$B200="","",المنيو!$A200),"")</f>
        <v/>
      </c>
      <c r="B200" s="43" t="n">
        <f aca="false">IFERROR(المنيو!$B200,"")</f>
        <v>0</v>
      </c>
      <c r="C200" s="13" t="str">
        <f aca="false">IFERROR(IF($B200="","",SUMIFS(الريسبي!$F$2:$F$1800,الريسبي!$A$2:$A$1800,$B200)),"")</f>
        <v/>
      </c>
      <c r="D200" s="44" t="str">
        <f aca="false">IFERROR(IF($B200="","",المنيو!$C200),"")</f>
        <v/>
      </c>
      <c r="E200" s="12" t="str">
        <f aca="false">IFERROR(IF(OR($B200="",$D200=0,$D200=""),"",$N200/$D200),"")</f>
        <v/>
      </c>
      <c r="F200" s="49" t="n">
        <f aca="false">$F$2</f>
        <v>0.375</v>
      </c>
      <c r="G200" s="13" t="str">
        <f aca="false">IFERROR(IF($B200="","",$N200/$F200),"")</f>
        <v/>
      </c>
      <c r="H200" s="13" t="str">
        <f aca="false">IFERROR(IF($B200="","",$D200-$N200),"")</f>
        <v/>
      </c>
      <c r="I200" s="12" t="str">
        <f aca="false">IFERROR(IF(OR($B200="",$D200=0,$D200=""),"",$H200/$D200),"")</f>
        <v/>
      </c>
      <c r="J200" s="49" t="n">
        <f aca="false">$J$2</f>
        <v>0.25</v>
      </c>
      <c r="K200" s="12" t="str">
        <f aca="false">IFERROR(IF($B200="","",$E200+$J200),"")</f>
        <v/>
      </c>
      <c r="L200" s="11" t="str">
        <f aca="false">IFERROR(IF(OR($B200="",$C200=0,$C200=""),"",$I200+ROW()*0.0000001),"")</f>
        <v/>
      </c>
      <c r="M200" s="50" t="n">
        <f aca="false">$M$2</f>
        <v>0.9319</v>
      </c>
      <c r="N200" s="13" t="str">
        <f aca="false">IFERROR(IF($B200="","",$C200+$M200),"")</f>
        <v/>
      </c>
    </row>
    <row r="201" customFormat="false" ht="15" hidden="false" customHeight="true" outlineLevel="0" collapsed="false">
      <c r="A201" s="43" t="str">
        <f aca="false">IFERROR(IF(المنيو!$B201="","",المنيو!$A201),"")</f>
        <v/>
      </c>
      <c r="B201" s="43" t="n">
        <f aca="false">IFERROR(المنيو!$B201,"")</f>
        <v>0</v>
      </c>
      <c r="C201" s="13" t="str">
        <f aca="false">IFERROR(IF($B201="","",SUMIFS(الريسبي!$F$2:$F$1800,الريسبي!$A$2:$A$1800,$B201)),"")</f>
        <v/>
      </c>
      <c r="D201" s="44" t="str">
        <f aca="false">IFERROR(IF($B201="","",المنيو!$C201),"")</f>
        <v/>
      </c>
      <c r="E201" s="12" t="str">
        <f aca="false">IFERROR(IF(OR($B201="",$D201=0,$D201=""),"",$N201/$D201),"")</f>
        <v/>
      </c>
      <c r="F201" s="49" t="n">
        <f aca="false">$F$2</f>
        <v>0.375</v>
      </c>
      <c r="G201" s="13" t="str">
        <f aca="false">IFERROR(IF($B201="","",$N201/$F201),"")</f>
        <v/>
      </c>
      <c r="H201" s="13" t="str">
        <f aca="false">IFERROR(IF($B201="","",$D201-$N201),"")</f>
        <v/>
      </c>
      <c r="I201" s="12" t="str">
        <f aca="false">IFERROR(IF(OR($B201="",$D201=0,$D201=""),"",$H201/$D201),"")</f>
        <v/>
      </c>
      <c r="J201" s="49" t="n">
        <f aca="false">$J$2</f>
        <v>0.25</v>
      </c>
      <c r="K201" s="12" t="str">
        <f aca="false">IFERROR(IF($B201="","",$E201+$J201),"")</f>
        <v/>
      </c>
      <c r="L201" s="11" t="str">
        <f aca="false">IFERROR(IF(OR($B201="",$C201=0,$C201=""),"",$I201+ROW()*0.0000001),"")</f>
        <v/>
      </c>
      <c r="M201" s="50" t="n">
        <f aca="false">$M$2</f>
        <v>0.9319</v>
      </c>
      <c r="N201" s="13" t="str">
        <f aca="false">IFERROR(IF($B201="","",$C201+$M201),"")</f>
        <v/>
      </c>
    </row>
    <row r="202" customFormat="false" ht="15" hidden="false" customHeight="true" outlineLevel="0" collapsed="false">
      <c r="A202" s="43" t="str">
        <f aca="false">IFERROR(IF(المنيو!$B202="","",المنيو!$A202),"")</f>
        <v/>
      </c>
      <c r="B202" s="43" t="n">
        <f aca="false">IFERROR(المنيو!$B202,"")</f>
        <v>0</v>
      </c>
      <c r="C202" s="13" t="str">
        <f aca="false">IFERROR(IF($B202="","",SUMIFS(الريسبي!$F$2:$F$1800,الريسبي!$A$2:$A$1800,$B202)),"")</f>
        <v/>
      </c>
      <c r="D202" s="44" t="str">
        <f aca="false">IFERROR(IF($B202="","",المنيو!$C202),"")</f>
        <v/>
      </c>
      <c r="E202" s="12" t="str">
        <f aca="false">IFERROR(IF(OR($B202="",$D202=0,$D202=""),"",$N202/$D202),"")</f>
        <v/>
      </c>
      <c r="F202" s="49" t="n">
        <f aca="false">$F$2</f>
        <v>0.375</v>
      </c>
      <c r="G202" s="13" t="str">
        <f aca="false">IFERROR(IF($B202="","",$N202/$F202),"")</f>
        <v/>
      </c>
      <c r="H202" s="13" t="str">
        <f aca="false">IFERROR(IF($B202="","",$D202-$N202),"")</f>
        <v/>
      </c>
      <c r="I202" s="12" t="str">
        <f aca="false">IFERROR(IF(OR($B202="",$D202=0,$D202=""),"",$H202/$D202),"")</f>
        <v/>
      </c>
      <c r="J202" s="49" t="n">
        <f aca="false">$J$2</f>
        <v>0.25</v>
      </c>
      <c r="K202" s="12" t="str">
        <f aca="false">IFERROR(IF($B202="","",$E202+$J202),"")</f>
        <v/>
      </c>
      <c r="L202" s="11" t="str">
        <f aca="false">IFERROR(IF(OR($B202="",$C202=0,$C202=""),"",$I202+ROW()*0.0000001),"")</f>
        <v/>
      </c>
      <c r="M202" s="50" t="n">
        <f aca="false">$M$2</f>
        <v>0.9319</v>
      </c>
      <c r="N202" s="13" t="str">
        <f aca="false">IFERROR(IF($B202="","",$C202+$M202),"")</f>
        <v/>
      </c>
    </row>
    <row r="203" customFormat="false" ht="15" hidden="false" customHeight="true" outlineLevel="0" collapsed="false">
      <c r="A203" s="43" t="str">
        <f aca="false">IFERROR(IF(المنيو!$B203="","",المنيو!$A203),"")</f>
        <v/>
      </c>
      <c r="B203" s="43" t="n">
        <f aca="false">IFERROR(المنيو!$B203,"")</f>
        <v>0</v>
      </c>
      <c r="C203" s="13" t="str">
        <f aca="false">IFERROR(IF($B203="","",SUMIFS(الريسبي!$F$2:$F$1800,الريسبي!$A$2:$A$1800,$B203)),"")</f>
        <v/>
      </c>
      <c r="D203" s="44" t="str">
        <f aca="false">IFERROR(IF($B203="","",المنيو!$C203),"")</f>
        <v/>
      </c>
      <c r="E203" s="12" t="str">
        <f aca="false">IFERROR(IF(OR($B203="",$D203=0,$D203=""),"",$N203/$D203),"")</f>
        <v/>
      </c>
      <c r="F203" s="49" t="n">
        <f aca="false">$F$2</f>
        <v>0.375</v>
      </c>
      <c r="G203" s="13" t="str">
        <f aca="false">IFERROR(IF($B203="","",$N203/$F203),"")</f>
        <v/>
      </c>
      <c r="H203" s="13" t="str">
        <f aca="false">IFERROR(IF($B203="","",$D203-$N203),"")</f>
        <v/>
      </c>
      <c r="I203" s="12" t="str">
        <f aca="false">IFERROR(IF(OR($B203="",$D203=0,$D203=""),"",$H203/$D203),"")</f>
        <v/>
      </c>
      <c r="J203" s="49" t="n">
        <f aca="false">$J$2</f>
        <v>0.25</v>
      </c>
      <c r="K203" s="12" t="str">
        <f aca="false">IFERROR(IF($B203="","",$E203+$J203),"")</f>
        <v/>
      </c>
      <c r="L203" s="11" t="str">
        <f aca="false">IFERROR(IF(OR($B203="",$C203=0,$C203=""),"",$I203+ROW()*0.0000001),"")</f>
        <v/>
      </c>
      <c r="M203" s="50" t="n">
        <f aca="false">$M$2</f>
        <v>0.9319</v>
      </c>
      <c r="N203" s="13" t="str">
        <f aca="false">IFERROR(IF($B203="","",$C203+$M203),"")</f>
        <v/>
      </c>
    </row>
    <row r="204" customFormat="false" ht="15" hidden="false" customHeight="true" outlineLevel="0" collapsed="false">
      <c r="A204" s="43" t="str">
        <f aca="false">IFERROR(IF(المنيو!$B204="","",المنيو!$A204),"")</f>
        <v/>
      </c>
      <c r="B204" s="43" t="n">
        <f aca="false">IFERROR(المنيو!$B204,"")</f>
        <v>0</v>
      </c>
      <c r="C204" s="13" t="str">
        <f aca="false">IFERROR(IF($B204="","",SUMIFS(الريسبي!$F$2:$F$1800,الريسبي!$A$2:$A$1800,$B204)),"")</f>
        <v/>
      </c>
      <c r="D204" s="44" t="str">
        <f aca="false">IFERROR(IF($B204="","",المنيو!$C204),"")</f>
        <v/>
      </c>
      <c r="E204" s="12" t="str">
        <f aca="false">IFERROR(IF(OR($B204="",$D204=0,$D204=""),"",$N204/$D204),"")</f>
        <v/>
      </c>
      <c r="F204" s="49" t="n">
        <f aca="false">$F$2</f>
        <v>0.375</v>
      </c>
      <c r="G204" s="13" t="str">
        <f aca="false">IFERROR(IF($B204="","",$N204/$F204),"")</f>
        <v/>
      </c>
      <c r="H204" s="13" t="str">
        <f aca="false">IFERROR(IF($B204="","",$D204-$N204),"")</f>
        <v/>
      </c>
      <c r="I204" s="12" t="str">
        <f aca="false">IFERROR(IF(OR($B204="",$D204=0,$D204=""),"",$H204/$D204),"")</f>
        <v/>
      </c>
      <c r="J204" s="49" t="n">
        <f aca="false">$J$2</f>
        <v>0.25</v>
      </c>
      <c r="K204" s="12" t="str">
        <f aca="false">IFERROR(IF($B204="","",$E204+$J204),"")</f>
        <v/>
      </c>
      <c r="L204" s="11" t="str">
        <f aca="false">IFERROR(IF(OR($B204="",$C204=0,$C204=""),"",$I204+ROW()*0.0000001),"")</f>
        <v/>
      </c>
      <c r="M204" s="50" t="n">
        <f aca="false">$M$2</f>
        <v>0.9319</v>
      </c>
      <c r="N204" s="13" t="str">
        <f aca="false">IFERROR(IF($B204="","",$C204+$M204),"")</f>
        <v/>
      </c>
    </row>
    <row r="205" customFormat="false" ht="15" hidden="false" customHeight="true" outlineLevel="0" collapsed="false">
      <c r="A205" s="43" t="str">
        <f aca="false">IFERROR(IF(المنيو!$B205="","",المنيو!$A205),"")</f>
        <v/>
      </c>
      <c r="B205" s="43" t="n">
        <f aca="false">IFERROR(المنيو!$B205,"")</f>
        <v>0</v>
      </c>
      <c r="C205" s="13" t="str">
        <f aca="false">IFERROR(IF($B205="","",SUMIFS(الريسبي!$F$2:$F$1800,الريسبي!$A$2:$A$1800,$B205)),"")</f>
        <v/>
      </c>
      <c r="D205" s="44" t="str">
        <f aca="false">IFERROR(IF($B205="","",المنيو!$C205),"")</f>
        <v/>
      </c>
      <c r="E205" s="12" t="str">
        <f aca="false">IFERROR(IF(OR($B205="",$D205=0,$D205=""),"",$N205/$D205),"")</f>
        <v/>
      </c>
      <c r="F205" s="49" t="n">
        <f aca="false">$F$2</f>
        <v>0.375</v>
      </c>
      <c r="G205" s="13" t="str">
        <f aca="false">IFERROR(IF($B205="","",$N205/$F205),"")</f>
        <v/>
      </c>
      <c r="H205" s="13" t="str">
        <f aca="false">IFERROR(IF($B205="","",$D205-$N205),"")</f>
        <v/>
      </c>
      <c r="I205" s="12" t="str">
        <f aca="false">IFERROR(IF(OR($B205="",$D205=0,$D205=""),"",$H205/$D205),"")</f>
        <v/>
      </c>
      <c r="J205" s="49" t="n">
        <f aca="false">$J$2</f>
        <v>0.25</v>
      </c>
      <c r="K205" s="12" t="str">
        <f aca="false">IFERROR(IF($B205="","",$E205+$J205),"")</f>
        <v/>
      </c>
      <c r="L205" s="11" t="str">
        <f aca="false">IFERROR(IF(OR($B205="",$C205=0,$C205=""),"",$I205+ROW()*0.0000001),"")</f>
        <v/>
      </c>
      <c r="M205" s="50" t="n">
        <f aca="false">$M$2</f>
        <v>0.9319</v>
      </c>
      <c r="N205" s="13" t="str">
        <f aca="false">IFERROR(IF($B205="","",$C205+$M205),"")</f>
        <v/>
      </c>
    </row>
    <row r="206" customFormat="false" ht="15" hidden="false" customHeight="true" outlineLevel="0" collapsed="false">
      <c r="A206" s="43" t="str">
        <f aca="false">IFERROR(IF(المنيو!$B206="","",المنيو!$A206),"")</f>
        <v/>
      </c>
      <c r="B206" s="43" t="n">
        <f aca="false">IFERROR(المنيو!$B206,"")</f>
        <v>0</v>
      </c>
      <c r="C206" s="13" t="str">
        <f aca="false">IFERROR(IF($B206="","",SUMIFS(الريسبي!$F$2:$F$1800,الريسبي!$A$2:$A$1800,$B206)),"")</f>
        <v/>
      </c>
      <c r="D206" s="44" t="str">
        <f aca="false">IFERROR(IF($B206="","",المنيو!$C206),"")</f>
        <v/>
      </c>
      <c r="E206" s="12" t="str">
        <f aca="false">IFERROR(IF(OR($B206="",$D206=0,$D206=""),"",$N206/$D206),"")</f>
        <v/>
      </c>
      <c r="F206" s="49" t="n">
        <f aca="false">$F$2</f>
        <v>0.375</v>
      </c>
      <c r="G206" s="13" t="str">
        <f aca="false">IFERROR(IF($B206="","",$N206/$F206),"")</f>
        <v/>
      </c>
      <c r="H206" s="13" t="str">
        <f aca="false">IFERROR(IF($B206="","",$D206-$N206),"")</f>
        <v/>
      </c>
      <c r="I206" s="12" t="str">
        <f aca="false">IFERROR(IF(OR($B206="",$D206=0,$D206=""),"",$H206/$D206),"")</f>
        <v/>
      </c>
      <c r="J206" s="49" t="n">
        <f aca="false">$J$2</f>
        <v>0.25</v>
      </c>
      <c r="K206" s="12" t="str">
        <f aca="false">IFERROR(IF($B206="","",$E206+$J206),"")</f>
        <v/>
      </c>
      <c r="L206" s="11" t="str">
        <f aca="false">IFERROR(IF(OR($B206="",$C206=0,$C206=""),"",$I206+ROW()*0.0000001),"")</f>
        <v/>
      </c>
      <c r="M206" s="50" t="n">
        <f aca="false">$M$2</f>
        <v>0.9319</v>
      </c>
      <c r="N206" s="13" t="str">
        <f aca="false">IFERROR(IF($B206="","",$C206+$M206),"")</f>
        <v/>
      </c>
    </row>
    <row r="207" customFormat="false" ht="15" hidden="false" customHeight="true" outlineLevel="0" collapsed="false">
      <c r="A207" s="43" t="str">
        <f aca="false">IFERROR(IF(المنيو!$B207="","",المنيو!$A207),"")</f>
        <v/>
      </c>
      <c r="B207" s="43" t="n">
        <f aca="false">IFERROR(المنيو!$B207,"")</f>
        <v>0</v>
      </c>
      <c r="C207" s="13" t="str">
        <f aca="false">IFERROR(IF($B207="","",SUMIFS(الريسبي!$F$2:$F$1800,الريسبي!$A$2:$A$1800,$B207)),"")</f>
        <v/>
      </c>
      <c r="D207" s="44" t="str">
        <f aca="false">IFERROR(IF($B207="","",المنيو!$C207),"")</f>
        <v/>
      </c>
      <c r="E207" s="12" t="str">
        <f aca="false">IFERROR(IF(OR($B207="",$D207=0,$D207=""),"",$N207/$D207),"")</f>
        <v/>
      </c>
      <c r="F207" s="49" t="n">
        <f aca="false">$F$2</f>
        <v>0.375</v>
      </c>
      <c r="G207" s="13" t="str">
        <f aca="false">IFERROR(IF($B207="","",$N207/$F207),"")</f>
        <v/>
      </c>
      <c r="H207" s="13" t="str">
        <f aca="false">IFERROR(IF($B207="","",$D207-$N207),"")</f>
        <v/>
      </c>
      <c r="I207" s="12" t="str">
        <f aca="false">IFERROR(IF(OR($B207="",$D207=0,$D207=""),"",$H207/$D207),"")</f>
        <v/>
      </c>
      <c r="J207" s="49" t="n">
        <f aca="false">$J$2</f>
        <v>0.25</v>
      </c>
      <c r="K207" s="12" t="str">
        <f aca="false">IFERROR(IF($B207="","",$E207+$J207),"")</f>
        <v/>
      </c>
      <c r="L207" s="11" t="str">
        <f aca="false">IFERROR(IF(OR($B207="",$C207=0,$C207=""),"",$I207+ROW()*0.0000001),"")</f>
        <v/>
      </c>
      <c r="M207" s="50" t="n">
        <f aca="false">$M$2</f>
        <v>0.9319</v>
      </c>
      <c r="N207" s="13" t="str">
        <f aca="false">IFERROR(IF($B207="","",$C207+$M207),"")</f>
        <v/>
      </c>
    </row>
    <row r="208" customFormat="false" ht="15" hidden="false" customHeight="true" outlineLevel="0" collapsed="false">
      <c r="A208" s="43" t="str">
        <f aca="false">IFERROR(IF(المنيو!$B208="","",المنيو!$A208),"")</f>
        <v/>
      </c>
      <c r="B208" s="43" t="n">
        <f aca="false">IFERROR(المنيو!$B208,"")</f>
        <v>0</v>
      </c>
      <c r="C208" s="13" t="str">
        <f aca="false">IFERROR(IF($B208="","",SUMIFS(الريسبي!$F$2:$F$1800,الريسبي!$A$2:$A$1800,$B208)),"")</f>
        <v/>
      </c>
      <c r="D208" s="44" t="str">
        <f aca="false">IFERROR(IF($B208="","",المنيو!$C208),"")</f>
        <v/>
      </c>
      <c r="E208" s="12" t="str">
        <f aca="false">IFERROR(IF(OR($B208="",$D208=0,$D208=""),"",$N208/$D208),"")</f>
        <v/>
      </c>
      <c r="F208" s="49" t="n">
        <f aca="false">$F$2</f>
        <v>0.375</v>
      </c>
      <c r="G208" s="13" t="str">
        <f aca="false">IFERROR(IF($B208="","",$N208/$F208),"")</f>
        <v/>
      </c>
      <c r="H208" s="13" t="str">
        <f aca="false">IFERROR(IF($B208="","",$D208-$N208),"")</f>
        <v/>
      </c>
      <c r="I208" s="12" t="str">
        <f aca="false">IFERROR(IF(OR($B208="",$D208=0,$D208=""),"",$H208/$D208),"")</f>
        <v/>
      </c>
      <c r="J208" s="49" t="n">
        <f aca="false">$J$2</f>
        <v>0.25</v>
      </c>
      <c r="K208" s="12" t="str">
        <f aca="false">IFERROR(IF($B208="","",$E208+$J208),"")</f>
        <v/>
      </c>
      <c r="L208" s="11" t="str">
        <f aca="false">IFERROR(IF(OR($B208="",$C208=0,$C208=""),"",$I208+ROW()*0.0000001),"")</f>
        <v/>
      </c>
      <c r="M208" s="50" t="n">
        <f aca="false">$M$2</f>
        <v>0.9319</v>
      </c>
      <c r="N208" s="13" t="str">
        <f aca="false">IFERROR(IF($B208="","",$C208+$M208),"")</f>
        <v/>
      </c>
    </row>
    <row r="209" customFormat="false" ht="15" hidden="false" customHeight="true" outlineLevel="0" collapsed="false">
      <c r="A209" s="43" t="str">
        <f aca="false">IFERROR(IF(المنيو!$B209="","",المنيو!$A209),"")</f>
        <v/>
      </c>
      <c r="B209" s="43" t="n">
        <f aca="false">IFERROR(المنيو!$B209,"")</f>
        <v>0</v>
      </c>
      <c r="C209" s="13" t="str">
        <f aca="false">IFERROR(IF($B209="","",SUMIFS(الريسبي!$F$2:$F$1800,الريسبي!$A$2:$A$1800,$B209)),"")</f>
        <v/>
      </c>
      <c r="D209" s="44" t="str">
        <f aca="false">IFERROR(IF($B209="","",المنيو!$C209),"")</f>
        <v/>
      </c>
      <c r="E209" s="12" t="str">
        <f aca="false">IFERROR(IF(OR($B209="",$D209=0,$D209=""),"",$N209/$D209),"")</f>
        <v/>
      </c>
      <c r="F209" s="49" t="n">
        <f aca="false">$F$2</f>
        <v>0.375</v>
      </c>
      <c r="G209" s="13" t="str">
        <f aca="false">IFERROR(IF($B209="","",$N209/$F209),"")</f>
        <v/>
      </c>
      <c r="H209" s="13" t="str">
        <f aca="false">IFERROR(IF($B209="","",$D209-$N209),"")</f>
        <v/>
      </c>
      <c r="I209" s="12" t="str">
        <f aca="false">IFERROR(IF(OR($B209="",$D209=0,$D209=""),"",$H209/$D209),"")</f>
        <v/>
      </c>
      <c r="J209" s="49" t="n">
        <f aca="false">$J$2</f>
        <v>0.25</v>
      </c>
      <c r="K209" s="12" t="str">
        <f aca="false">IFERROR(IF($B209="","",$E209+$J209),"")</f>
        <v/>
      </c>
      <c r="L209" s="11" t="str">
        <f aca="false">IFERROR(IF(OR($B209="",$C209=0,$C209=""),"",$I209+ROW()*0.0000001),"")</f>
        <v/>
      </c>
      <c r="M209" s="50" t="n">
        <f aca="false">$M$2</f>
        <v>0.9319</v>
      </c>
      <c r="N209" s="13" t="str">
        <f aca="false">IFERROR(IF($B209="","",$C209+$M209),"")</f>
        <v/>
      </c>
    </row>
    <row r="210" customFormat="false" ht="15" hidden="false" customHeight="true" outlineLevel="0" collapsed="false">
      <c r="A210" s="43" t="str">
        <f aca="false">IFERROR(IF(المنيو!$B210="","",المنيو!$A210),"")</f>
        <v/>
      </c>
      <c r="B210" s="43" t="n">
        <f aca="false">IFERROR(المنيو!$B210,"")</f>
        <v>0</v>
      </c>
      <c r="C210" s="13" t="str">
        <f aca="false">IFERROR(IF($B210="","",SUMIFS(الريسبي!$F$2:$F$1800,الريسبي!$A$2:$A$1800,$B210)),"")</f>
        <v/>
      </c>
      <c r="D210" s="44" t="str">
        <f aca="false">IFERROR(IF($B210="","",المنيو!$C210),"")</f>
        <v/>
      </c>
      <c r="E210" s="12" t="str">
        <f aca="false">IFERROR(IF(OR($B210="",$D210=0,$D210=""),"",$N210/$D210),"")</f>
        <v/>
      </c>
      <c r="F210" s="49" t="n">
        <f aca="false">$F$2</f>
        <v>0.375</v>
      </c>
      <c r="G210" s="13" t="str">
        <f aca="false">IFERROR(IF($B210="","",$N210/$F210),"")</f>
        <v/>
      </c>
      <c r="H210" s="13" t="str">
        <f aca="false">IFERROR(IF($B210="","",$D210-$N210),"")</f>
        <v/>
      </c>
      <c r="I210" s="12" t="str">
        <f aca="false">IFERROR(IF(OR($B210="",$D210=0,$D210=""),"",$H210/$D210),"")</f>
        <v/>
      </c>
      <c r="J210" s="49" t="n">
        <f aca="false">$J$2</f>
        <v>0.25</v>
      </c>
      <c r="K210" s="12" t="str">
        <f aca="false">IFERROR(IF($B210="","",$E210+$J210),"")</f>
        <v/>
      </c>
      <c r="L210" s="11" t="str">
        <f aca="false">IFERROR(IF(OR($B210="",$C210=0,$C210=""),"",$I210+ROW()*0.0000001),"")</f>
        <v/>
      </c>
      <c r="M210" s="50" t="n">
        <f aca="false">$M$2</f>
        <v>0.9319</v>
      </c>
      <c r="N210" s="13" t="str">
        <f aca="false">IFERROR(IF($B210="","",$C210+$M210),"")</f>
        <v/>
      </c>
    </row>
    <row r="211" customFormat="false" ht="15" hidden="false" customHeight="true" outlineLevel="0" collapsed="false">
      <c r="A211" s="43" t="str">
        <f aca="false">IFERROR(IF(المنيو!$B211="","",المنيو!$A211),"")</f>
        <v/>
      </c>
      <c r="B211" s="43" t="n">
        <f aca="false">IFERROR(المنيو!$B211,"")</f>
        <v>0</v>
      </c>
      <c r="C211" s="13" t="str">
        <f aca="false">IFERROR(IF($B211="","",SUMIFS(الريسبي!$F$2:$F$1800,الريسبي!$A$2:$A$1800,$B211)),"")</f>
        <v/>
      </c>
      <c r="D211" s="44" t="str">
        <f aca="false">IFERROR(IF($B211="","",المنيو!$C211),"")</f>
        <v/>
      </c>
      <c r="E211" s="12" t="str">
        <f aca="false">IFERROR(IF(OR($B211="",$D211=0,$D211=""),"",$N211/$D211),"")</f>
        <v/>
      </c>
      <c r="F211" s="49" t="n">
        <f aca="false">$F$2</f>
        <v>0.375</v>
      </c>
      <c r="G211" s="13" t="str">
        <f aca="false">IFERROR(IF($B211="","",$N211/$F211),"")</f>
        <v/>
      </c>
      <c r="H211" s="13" t="str">
        <f aca="false">IFERROR(IF($B211="","",$D211-$N211),"")</f>
        <v/>
      </c>
      <c r="I211" s="12" t="str">
        <f aca="false">IFERROR(IF(OR($B211="",$D211=0,$D211=""),"",$H211/$D211),"")</f>
        <v/>
      </c>
      <c r="J211" s="49" t="n">
        <f aca="false">$J$2</f>
        <v>0.25</v>
      </c>
      <c r="K211" s="12" t="str">
        <f aca="false">IFERROR(IF($B211="","",$E211+$J211),"")</f>
        <v/>
      </c>
      <c r="L211" s="11" t="str">
        <f aca="false">IFERROR(IF(OR($B211="",$C211=0,$C211=""),"",$I211+ROW()*0.0000001),"")</f>
        <v/>
      </c>
      <c r="M211" s="50" t="n">
        <f aca="false">$M$2</f>
        <v>0.9319</v>
      </c>
      <c r="N211" s="13" t="str">
        <f aca="false">IFERROR(IF($B211="","",$C211+$M211),"")</f>
        <v/>
      </c>
    </row>
    <row r="212" customFormat="false" ht="15" hidden="false" customHeight="true" outlineLevel="0" collapsed="false">
      <c r="A212" s="43" t="str">
        <f aca="false">IFERROR(IF(المنيو!$B212="","",المنيو!$A212),"")</f>
        <v/>
      </c>
      <c r="B212" s="43" t="n">
        <f aca="false">IFERROR(المنيو!$B212,"")</f>
        <v>0</v>
      </c>
      <c r="C212" s="13" t="str">
        <f aca="false">IFERROR(IF($B212="","",SUMIFS(الريسبي!$F$2:$F$1800,الريسبي!$A$2:$A$1800,$B212)),"")</f>
        <v/>
      </c>
      <c r="D212" s="44" t="str">
        <f aca="false">IFERROR(IF($B212="","",المنيو!$C212),"")</f>
        <v/>
      </c>
      <c r="E212" s="12" t="str">
        <f aca="false">IFERROR(IF(OR($B212="",$D212=0,$D212=""),"",$N212/$D212),"")</f>
        <v/>
      </c>
      <c r="F212" s="49" t="n">
        <f aca="false">$F$2</f>
        <v>0.375</v>
      </c>
      <c r="G212" s="13" t="str">
        <f aca="false">IFERROR(IF($B212="","",$N212/$F212),"")</f>
        <v/>
      </c>
      <c r="H212" s="13" t="str">
        <f aca="false">IFERROR(IF($B212="","",$D212-$N212),"")</f>
        <v/>
      </c>
      <c r="I212" s="12" t="str">
        <f aca="false">IFERROR(IF(OR($B212="",$D212=0,$D212=""),"",$H212/$D212),"")</f>
        <v/>
      </c>
      <c r="J212" s="49" t="n">
        <f aca="false">$J$2</f>
        <v>0.25</v>
      </c>
      <c r="K212" s="12" t="str">
        <f aca="false">IFERROR(IF($B212="","",$E212+$J212),"")</f>
        <v/>
      </c>
      <c r="L212" s="11" t="str">
        <f aca="false">IFERROR(IF(OR($B212="",$C212=0,$C212=""),"",$I212+ROW()*0.0000001),"")</f>
        <v/>
      </c>
      <c r="M212" s="50" t="n">
        <f aca="false">$M$2</f>
        <v>0.9319</v>
      </c>
      <c r="N212" s="13" t="str">
        <f aca="false">IFERROR(IF($B212="","",$C212+$M212),"")</f>
        <v/>
      </c>
    </row>
    <row r="213" customFormat="false" ht="15" hidden="false" customHeight="true" outlineLevel="0" collapsed="false">
      <c r="A213" s="43" t="str">
        <f aca="false">IFERROR(IF(المنيو!$B213="","",المنيو!$A213),"")</f>
        <v/>
      </c>
      <c r="B213" s="43" t="n">
        <f aca="false">IFERROR(المنيو!$B213,"")</f>
        <v>0</v>
      </c>
      <c r="C213" s="13" t="str">
        <f aca="false">IFERROR(IF($B213="","",SUMIFS(الريسبي!$F$2:$F$1800,الريسبي!$A$2:$A$1800,$B213)),"")</f>
        <v/>
      </c>
      <c r="D213" s="44" t="str">
        <f aca="false">IFERROR(IF($B213="","",المنيو!$C213),"")</f>
        <v/>
      </c>
      <c r="E213" s="12" t="str">
        <f aca="false">IFERROR(IF(OR($B213="",$D213=0,$D213=""),"",$N213/$D213),"")</f>
        <v/>
      </c>
      <c r="F213" s="49" t="n">
        <f aca="false">$F$2</f>
        <v>0.375</v>
      </c>
      <c r="G213" s="13" t="str">
        <f aca="false">IFERROR(IF($B213="","",$N213/$F213),"")</f>
        <v/>
      </c>
      <c r="H213" s="13" t="str">
        <f aca="false">IFERROR(IF($B213="","",$D213-$N213),"")</f>
        <v/>
      </c>
      <c r="I213" s="12" t="str">
        <f aca="false">IFERROR(IF(OR($B213="",$D213=0,$D213=""),"",$H213/$D213),"")</f>
        <v/>
      </c>
      <c r="J213" s="49" t="n">
        <f aca="false">$J$2</f>
        <v>0.25</v>
      </c>
      <c r="K213" s="12" t="str">
        <f aca="false">IFERROR(IF($B213="","",$E213+$J213),"")</f>
        <v/>
      </c>
      <c r="L213" s="11" t="str">
        <f aca="false">IFERROR(IF(OR($B213="",$C213=0,$C213=""),"",$I213+ROW()*0.0000001),"")</f>
        <v/>
      </c>
      <c r="M213" s="50" t="n">
        <f aca="false">$M$2</f>
        <v>0.9319</v>
      </c>
      <c r="N213" s="13" t="str">
        <f aca="false">IFERROR(IF($B213="","",$C213+$M213),"")</f>
        <v/>
      </c>
    </row>
    <row r="214" customFormat="false" ht="15" hidden="false" customHeight="true" outlineLevel="0" collapsed="false">
      <c r="A214" s="43" t="str">
        <f aca="false">IFERROR(IF(المنيو!$B214="","",المنيو!$A214),"")</f>
        <v/>
      </c>
      <c r="B214" s="43" t="n">
        <f aca="false">IFERROR(المنيو!$B214,"")</f>
        <v>0</v>
      </c>
      <c r="C214" s="13" t="str">
        <f aca="false">IFERROR(IF($B214="","",SUMIFS(الريسبي!$F$2:$F$1800,الريسبي!$A$2:$A$1800,$B214)),"")</f>
        <v/>
      </c>
      <c r="D214" s="44" t="str">
        <f aca="false">IFERROR(IF($B214="","",المنيو!$C214),"")</f>
        <v/>
      </c>
      <c r="E214" s="12" t="str">
        <f aca="false">IFERROR(IF(OR($B214="",$D214=0,$D214=""),"",$N214/$D214),"")</f>
        <v/>
      </c>
      <c r="F214" s="49" t="n">
        <f aca="false">$F$2</f>
        <v>0.375</v>
      </c>
      <c r="G214" s="13" t="str">
        <f aca="false">IFERROR(IF($B214="","",$N214/$F214),"")</f>
        <v/>
      </c>
      <c r="H214" s="13" t="str">
        <f aca="false">IFERROR(IF($B214="","",$D214-$N214),"")</f>
        <v/>
      </c>
      <c r="I214" s="12" t="str">
        <f aca="false">IFERROR(IF(OR($B214="",$D214=0,$D214=""),"",$H214/$D214),"")</f>
        <v/>
      </c>
      <c r="J214" s="49" t="n">
        <f aca="false">$J$2</f>
        <v>0.25</v>
      </c>
      <c r="K214" s="12" t="str">
        <f aca="false">IFERROR(IF($B214="","",$E214+$J214),"")</f>
        <v/>
      </c>
      <c r="L214" s="11" t="str">
        <f aca="false">IFERROR(IF(OR($B214="",$C214=0,$C214=""),"",$I214+ROW()*0.0000001),"")</f>
        <v/>
      </c>
      <c r="M214" s="50" t="n">
        <f aca="false">$M$2</f>
        <v>0.9319</v>
      </c>
      <c r="N214" s="13" t="str">
        <f aca="false">IFERROR(IF($B214="","",$C214+$M214),"")</f>
        <v/>
      </c>
    </row>
    <row r="215" customFormat="false" ht="15" hidden="false" customHeight="true" outlineLevel="0" collapsed="false">
      <c r="A215" s="43" t="str">
        <f aca="false">IFERROR(IF(المنيو!$B215="","",المنيو!$A215),"")</f>
        <v/>
      </c>
      <c r="B215" s="43" t="n">
        <f aca="false">IFERROR(المنيو!$B215,"")</f>
        <v>0</v>
      </c>
      <c r="C215" s="13" t="str">
        <f aca="false">IFERROR(IF($B215="","",SUMIFS(الريسبي!$F$2:$F$1800,الريسبي!$A$2:$A$1800,$B215)),"")</f>
        <v/>
      </c>
      <c r="D215" s="44" t="str">
        <f aca="false">IFERROR(IF($B215="","",المنيو!$C215),"")</f>
        <v/>
      </c>
      <c r="E215" s="12" t="str">
        <f aca="false">IFERROR(IF(OR($B215="",$D215=0,$D215=""),"",$N215/$D215),"")</f>
        <v/>
      </c>
      <c r="F215" s="49" t="n">
        <f aca="false">$F$2</f>
        <v>0.375</v>
      </c>
      <c r="G215" s="13" t="str">
        <f aca="false">IFERROR(IF($B215="","",$N215/$F215),"")</f>
        <v/>
      </c>
      <c r="H215" s="13" t="str">
        <f aca="false">IFERROR(IF($B215="","",$D215-$N215),"")</f>
        <v/>
      </c>
      <c r="I215" s="12" t="str">
        <f aca="false">IFERROR(IF(OR($B215="",$D215=0,$D215=""),"",$H215/$D215),"")</f>
        <v/>
      </c>
      <c r="J215" s="49" t="n">
        <f aca="false">$J$2</f>
        <v>0.25</v>
      </c>
      <c r="K215" s="12" t="str">
        <f aca="false">IFERROR(IF($B215="","",$E215+$J215),"")</f>
        <v/>
      </c>
      <c r="L215" s="11" t="str">
        <f aca="false">IFERROR(IF(OR($B215="",$C215=0,$C215=""),"",$I215+ROW()*0.0000001),"")</f>
        <v/>
      </c>
      <c r="M215" s="50" t="n">
        <f aca="false">$M$2</f>
        <v>0.9319</v>
      </c>
      <c r="N215" s="13" t="str">
        <f aca="false">IFERROR(IF($B215="","",$C215+$M215),"")</f>
        <v/>
      </c>
    </row>
    <row r="216" customFormat="false" ht="15" hidden="false" customHeight="true" outlineLevel="0" collapsed="false">
      <c r="A216" s="43" t="str">
        <f aca="false">IFERROR(IF(المنيو!$B216="","",المنيو!$A216),"")</f>
        <v/>
      </c>
      <c r="B216" s="43" t="n">
        <f aca="false">IFERROR(المنيو!$B216,"")</f>
        <v>0</v>
      </c>
      <c r="C216" s="13" t="str">
        <f aca="false">IFERROR(IF($B216="","",SUMIFS(الريسبي!$F$2:$F$1800,الريسبي!$A$2:$A$1800,$B216)),"")</f>
        <v/>
      </c>
      <c r="D216" s="44" t="str">
        <f aca="false">IFERROR(IF($B216="","",المنيو!$C216),"")</f>
        <v/>
      </c>
      <c r="E216" s="12" t="str">
        <f aca="false">IFERROR(IF(OR($B216="",$D216=0,$D216=""),"",$N216/$D216),"")</f>
        <v/>
      </c>
      <c r="F216" s="49" t="n">
        <f aca="false">$F$2</f>
        <v>0.375</v>
      </c>
      <c r="G216" s="13" t="str">
        <f aca="false">IFERROR(IF($B216="","",$N216/$F216),"")</f>
        <v/>
      </c>
      <c r="H216" s="13" t="str">
        <f aca="false">IFERROR(IF($B216="","",$D216-$N216),"")</f>
        <v/>
      </c>
      <c r="I216" s="12" t="str">
        <f aca="false">IFERROR(IF(OR($B216="",$D216=0,$D216=""),"",$H216/$D216),"")</f>
        <v/>
      </c>
      <c r="J216" s="49" t="n">
        <f aca="false">$J$2</f>
        <v>0.25</v>
      </c>
      <c r="K216" s="12" t="str">
        <f aca="false">IFERROR(IF($B216="","",$E216+$J216),"")</f>
        <v/>
      </c>
      <c r="L216" s="11" t="str">
        <f aca="false">IFERROR(IF(OR($B216="",$C216=0,$C216=""),"",$I216+ROW()*0.0000001),"")</f>
        <v/>
      </c>
      <c r="M216" s="50" t="n">
        <f aca="false">$M$2</f>
        <v>0.9319</v>
      </c>
      <c r="N216" s="13" t="str">
        <f aca="false">IFERROR(IF($B216="","",$C216+$M216),"")</f>
        <v/>
      </c>
    </row>
    <row r="217" customFormat="false" ht="15" hidden="false" customHeight="true" outlineLevel="0" collapsed="false">
      <c r="A217" s="43" t="str">
        <f aca="false">IFERROR(IF(المنيو!$B217="","",المنيو!$A217),"")</f>
        <v/>
      </c>
      <c r="B217" s="43" t="n">
        <f aca="false">IFERROR(المنيو!$B217,"")</f>
        <v>0</v>
      </c>
      <c r="C217" s="13" t="str">
        <f aca="false">IFERROR(IF($B217="","",SUMIFS(الريسبي!$F$2:$F$1800,الريسبي!$A$2:$A$1800,$B217)),"")</f>
        <v/>
      </c>
      <c r="D217" s="44" t="str">
        <f aca="false">IFERROR(IF($B217="","",المنيو!$C217),"")</f>
        <v/>
      </c>
      <c r="E217" s="12" t="str">
        <f aca="false">IFERROR(IF(OR($B217="",$D217=0,$D217=""),"",$N217/$D217),"")</f>
        <v/>
      </c>
      <c r="F217" s="49" t="n">
        <f aca="false">$F$2</f>
        <v>0.375</v>
      </c>
      <c r="G217" s="13" t="str">
        <f aca="false">IFERROR(IF($B217="","",$N217/$F217),"")</f>
        <v/>
      </c>
      <c r="H217" s="13" t="str">
        <f aca="false">IFERROR(IF($B217="","",$D217-$N217),"")</f>
        <v/>
      </c>
      <c r="I217" s="12" t="str">
        <f aca="false">IFERROR(IF(OR($B217="",$D217=0,$D217=""),"",$H217/$D217),"")</f>
        <v/>
      </c>
      <c r="J217" s="49" t="n">
        <f aca="false">$J$2</f>
        <v>0.25</v>
      </c>
      <c r="K217" s="12" t="str">
        <f aca="false">IFERROR(IF($B217="","",$E217+$J217),"")</f>
        <v/>
      </c>
      <c r="L217" s="11" t="str">
        <f aca="false">IFERROR(IF(OR($B217="",$C217=0,$C217=""),"",$I217+ROW()*0.0000001),"")</f>
        <v/>
      </c>
      <c r="M217" s="50" t="n">
        <f aca="false">$M$2</f>
        <v>0.9319</v>
      </c>
      <c r="N217" s="13" t="str">
        <f aca="false">IFERROR(IF($B217="","",$C217+$M217),"")</f>
        <v/>
      </c>
    </row>
    <row r="218" customFormat="false" ht="15" hidden="false" customHeight="true" outlineLevel="0" collapsed="false">
      <c r="A218" s="43" t="str">
        <f aca="false">IFERROR(IF(المنيو!$B218="","",المنيو!$A218),"")</f>
        <v/>
      </c>
      <c r="B218" s="43" t="n">
        <f aca="false">IFERROR(المنيو!$B218,"")</f>
        <v>0</v>
      </c>
      <c r="C218" s="13" t="str">
        <f aca="false">IFERROR(IF($B218="","",SUMIFS(الريسبي!$F$2:$F$1800,الريسبي!$A$2:$A$1800,$B218)),"")</f>
        <v/>
      </c>
      <c r="D218" s="44" t="str">
        <f aca="false">IFERROR(IF($B218="","",المنيو!$C218),"")</f>
        <v/>
      </c>
      <c r="E218" s="12" t="str">
        <f aca="false">IFERROR(IF(OR($B218="",$D218=0,$D218=""),"",$N218/$D218),"")</f>
        <v/>
      </c>
      <c r="F218" s="49" t="n">
        <f aca="false">$F$2</f>
        <v>0.375</v>
      </c>
      <c r="G218" s="13" t="str">
        <f aca="false">IFERROR(IF($B218="","",$N218/$F218),"")</f>
        <v/>
      </c>
      <c r="H218" s="13" t="str">
        <f aca="false">IFERROR(IF($B218="","",$D218-$N218),"")</f>
        <v/>
      </c>
      <c r="I218" s="12" t="str">
        <f aca="false">IFERROR(IF(OR($B218="",$D218=0,$D218=""),"",$H218/$D218),"")</f>
        <v/>
      </c>
      <c r="J218" s="49" t="n">
        <f aca="false">$J$2</f>
        <v>0.25</v>
      </c>
      <c r="K218" s="12" t="str">
        <f aca="false">IFERROR(IF($B218="","",$E218+$J218),"")</f>
        <v/>
      </c>
      <c r="L218" s="11" t="str">
        <f aca="false">IFERROR(IF(OR($B218="",$C218=0,$C218=""),"",$I218+ROW()*0.0000001),"")</f>
        <v/>
      </c>
      <c r="M218" s="50" t="n">
        <f aca="false">$M$2</f>
        <v>0.9319</v>
      </c>
      <c r="N218" s="13" t="str">
        <f aca="false">IFERROR(IF($B218="","",$C218+$M218),"")</f>
        <v/>
      </c>
    </row>
    <row r="219" customFormat="false" ht="15" hidden="false" customHeight="true" outlineLevel="0" collapsed="false">
      <c r="A219" s="43" t="str">
        <f aca="false">IFERROR(IF(المنيو!$B219="","",المنيو!$A219),"")</f>
        <v/>
      </c>
      <c r="B219" s="43" t="n">
        <f aca="false">IFERROR(المنيو!$B219,"")</f>
        <v>0</v>
      </c>
      <c r="C219" s="13" t="str">
        <f aca="false">IFERROR(IF($B219="","",SUMIFS(الريسبي!$F$2:$F$1800,الريسبي!$A$2:$A$1800,$B219)),"")</f>
        <v/>
      </c>
      <c r="D219" s="44" t="str">
        <f aca="false">IFERROR(IF($B219="","",المنيو!$C219),"")</f>
        <v/>
      </c>
      <c r="E219" s="12" t="str">
        <f aca="false">IFERROR(IF(OR($B219="",$D219=0,$D219=""),"",$N219/$D219),"")</f>
        <v/>
      </c>
      <c r="F219" s="49" t="n">
        <f aca="false">$F$2</f>
        <v>0.375</v>
      </c>
      <c r="G219" s="13" t="str">
        <f aca="false">IFERROR(IF($B219="","",$N219/$F219),"")</f>
        <v/>
      </c>
      <c r="H219" s="13" t="str">
        <f aca="false">IFERROR(IF($B219="","",$D219-$N219),"")</f>
        <v/>
      </c>
      <c r="I219" s="12" t="str">
        <f aca="false">IFERROR(IF(OR($B219="",$D219=0,$D219=""),"",$H219/$D219),"")</f>
        <v/>
      </c>
      <c r="J219" s="49" t="n">
        <f aca="false">$J$2</f>
        <v>0.25</v>
      </c>
      <c r="K219" s="12" t="str">
        <f aca="false">IFERROR(IF($B219="","",$E219+$J219),"")</f>
        <v/>
      </c>
      <c r="L219" s="11" t="str">
        <f aca="false">IFERROR(IF(OR($B219="",$C219=0,$C219=""),"",$I219+ROW()*0.0000001),"")</f>
        <v/>
      </c>
      <c r="M219" s="50" t="n">
        <f aca="false">$M$2</f>
        <v>0.9319</v>
      </c>
      <c r="N219" s="13" t="str">
        <f aca="false">IFERROR(IF($B219="","",$C219+$M219),"")</f>
        <v/>
      </c>
    </row>
    <row r="220" customFormat="false" ht="15" hidden="false" customHeight="true" outlineLevel="0" collapsed="false">
      <c r="A220" s="43" t="str">
        <f aca="false">IFERROR(IF(المنيو!$B220="","",المنيو!$A220),"")</f>
        <v/>
      </c>
      <c r="B220" s="43" t="n">
        <f aca="false">IFERROR(المنيو!$B220,"")</f>
        <v>0</v>
      </c>
      <c r="C220" s="13" t="str">
        <f aca="false">IFERROR(IF($B220="","",SUMIFS(الريسبي!$F$2:$F$1800,الريسبي!$A$2:$A$1800,$B220)),"")</f>
        <v/>
      </c>
      <c r="D220" s="44" t="str">
        <f aca="false">IFERROR(IF($B220="","",المنيو!$C220),"")</f>
        <v/>
      </c>
      <c r="E220" s="12" t="str">
        <f aca="false">IFERROR(IF(OR($B220="",$D220=0,$D220=""),"",$N220/$D220),"")</f>
        <v/>
      </c>
      <c r="F220" s="49" t="n">
        <f aca="false">$F$2</f>
        <v>0.375</v>
      </c>
      <c r="G220" s="13" t="str">
        <f aca="false">IFERROR(IF($B220="","",$N220/$F220),"")</f>
        <v/>
      </c>
      <c r="H220" s="13" t="str">
        <f aca="false">IFERROR(IF($B220="","",$D220-$N220),"")</f>
        <v/>
      </c>
      <c r="I220" s="12" t="str">
        <f aca="false">IFERROR(IF(OR($B220="",$D220=0,$D220=""),"",$H220/$D220),"")</f>
        <v/>
      </c>
      <c r="J220" s="49" t="n">
        <f aca="false">$J$2</f>
        <v>0.25</v>
      </c>
      <c r="K220" s="12" t="str">
        <f aca="false">IFERROR(IF($B220="","",$E220+$J220),"")</f>
        <v/>
      </c>
      <c r="L220" s="11" t="str">
        <f aca="false">IFERROR(IF(OR($B220="",$C220=0,$C220=""),"",$I220+ROW()*0.0000001),"")</f>
        <v/>
      </c>
      <c r="M220" s="50" t="n">
        <f aca="false">$M$2</f>
        <v>0.9319</v>
      </c>
      <c r="N220" s="13" t="str">
        <f aca="false">IFERROR(IF($B220="","",$C220+$M220),"")</f>
        <v/>
      </c>
    </row>
    <row r="221" customFormat="false" ht="15" hidden="false" customHeight="true" outlineLevel="0" collapsed="false">
      <c r="A221" s="43" t="str">
        <f aca="false">IFERROR(IF(المنيو!$B221="","",المنيو!$A221),"")</f>
        <v/>
      </c>
      <c r="B221" s="43" t="n">
        <f aca="false">IFERROR(المنيو!$B221,"")</f>
        <v>0</v>
      </c>
      <c r="C221" s="13" t="str">
        <f aca="false">IFERROR(IF($B221="","",SUMIFS(الريسبي!$F$2:$F$1800,الريسبي!$A$2:$A$1800,$B221)),"")</f>
        <v/>
      </c>
      <c r="D221" s="44" t="str">
        <f aca="false">IFERROR(IF($B221="","",المنيو!$C221),"")</f>
        <v/>
      </c>
      <c r="E221" s="12" t="str">
        <f aca="false">IFERROR(IF(OR($B221="",$D221=0,$D221=""),"",$N221/$D221),"")</f>
        <v/>
      </c>
      <c r="F221" s="49" t="n">
        <f aca="false">$F$2</f>
        <v>0.375</v>
      </c>
      <c r="G221" s="13" t="str">
        <f aca="false">IFERROR(IF($B221="","",$N221/$F221),"")</f>
        <v/>
      </c>
      <c r="H221" s="13" t="str">
        <f aca="false">IFERROR(IF($B221="","",$D221-$N221),"")</f>
        <v/>
      </c>
      <c r="I221" s="12" t="str">
        <f aca="false">IFERROR(IF(OR($B221="",$D221=0,$D221=""),"",$H221/$D221),"")</f>
        <v/>
      </c>
      <c r="J221" s="49" t="n">
        <f aca="false">$J$2</f>
        <v>0.25</v>
      </c>
      <c r="K221" s="12" t="str">
        <f aca="false">IFERROR(IF($B221="","",$E221+$J221),"")</f>
        <v/>
      </c>
      <c r="L221" s="11" t="str">
        <f aca="false">IFERROR(IF(OR($B221="",$C221=0,$C221=""),"",$I221+ROW()*0.0000001),"")</f>
        <v/>
      </c>
      <c r="M221" s="50" t="n">
        <f aca="false">$M$2</f>
        <v>0.9319</v>
      </c>
      <c r="N221" s="13" t="str">
        <f aca="false">IFERROR(IF($B221="","",$C221+$M221),"")</f>
        <v/>
      </c>
    </row>
    <row r="222" customFormat="false" ht="15" hidden="false" customHeight="true" outlineLevel="0" collapsed="false">
      <c r="A222" s="43" t="str">
        <f aca="false">IFERROR(IF(المنيو!$B222="","",المنيو!$A222),"")</f>
        <v/>
      </c>
      <c r="B222" s="43" t="n">
        <f aca="false">IFERROR(المنيو!$B222,"")</f>
        <v>0</v>
      </c>
      <c r="C222" s="13" t="str">
        <f aca="false">IFERROR(IF($B222="","",SUMIFS(الريسبي!$F$2:$F$1800,الريسبي!$A$2:$A$1800,$B222)),"")</f>
        <v/>
      </c>
      <c r="D222" s="44" t="str">
        <f aca="false">IFERROR(IF($B222="","",المنيو!$C222),"")</f>
        <v/>
      </c>
      <c r="E222" s="12" t="str">
        <f aca="false">IFERROR(IF(OR($B222="",$D222=0,$D222=""),"",$N222/$D222),"")</f>
        <v/>
      </c>
      <c r="F222" s="49" t="n">
        <f aca="false">$F$2</f>
        <v>0.375</v>
      </c>
      <c r="G222" s="13" t="str">
        <f aca="false">IFERROR(IF($B222="","",$N222/$F222),"")</f>
        <v/>
      </c>
      <c r="H222" s="13" t="str">
        <f aca="false">IFERROR(IF($B222="","",$D222-$N222),"")</f>
        <v/>
      </c>
      <c r="I222" s="12" t="str">
        <f aca="false">IFERROR(IF(OR($B222="",$D222=0,$D222=""),"",$H222/$D222),"")</f>
        <v/>
      </c>
      <c r="J222" s="49" t="n">
        <f aca="false">$J$2</f>
        <v>0.25</v>
      </c>
      <c r="K222" s="12" t="str">
        <f aca="false">IFERROR(IF($B222="","",$E222+$J222),"")</f>
        <v/>
      </c>
      <c r="L222" s="11" t="str">
        <f aca="false">IFERROR(IF(OR($B222="",$C222=0,$C222=""),"",$I222+ROW()*0.0000001),"")</f>
        <v/>
      </c>
      <c r="M222" s="50" t="n">
        <f aca="false">$M$2</f>
        <v>0.9319</v>
      </c>
      <c r="N222" s="13" t="str">
        <f aca="false">IFERROR(IF($B222="","",$C222+$M222),"")</f>
        <v/>
      </c>
    </row>
    <row r="223" customFormat="false" ht="15" hidden="false" customHeight="true" outlineLevel="0" collapsed="false">
      <c r="A223" s="43" t="str">
        <f aca="false">IFERROR(IF(المنيو!$B223="","",المنيو!$A223),"")</f>
        <v/>
      </c>
      <c r="B223" s="43" t="n">
        <f aca="false">IFERROR(المنيو!$B223,"")</f>
        <v>0</v>
      </c>
      <c r="C223" s="13" t="str">
        <f aca="false">IFERROR(IF($B223="","",SUMIFS(الريسبي!$F$2:$F$1800,الريسبي!$A$2:$A$1800,$B223)),"")</f>
        <v/>
      </c>
      <c r="D223" s="44" t="str">
        <f aca="false">IFERROR(IF($B223="","",المنيو!$C223),"")</f>
        <v/>
      </c>
      <c r="E223" s="12" t="str">
        <f aca="false">IFERROR(IF(OR($B223="",$D223=0,$D223=""),"",$N223/$D223),"")</f>
        <v/>
      </c>
      <c r="F223" s="49" t="n">
        <f aca="false">$F$2</f>
        <v>0.375</v>
      </c>
      <c r="G223" s="13" t="str">
        <f aca="false">IFERROR(IF($B223="","",$N223/$F223),"")</f>
        <v/>
      </c>
      <c r="H223" s="13" t="str">
        <f aca="false">IFERROR(IF($B223="","",$D223-$N223),"")</f>
        <v/>
      </c>
      <c r="I223" s="12" t="str">
        <f aca="false">IFERROR(IF(OR($B223="",$D223=0,$D223=""),"",$H223/$D223),"")</f>
        <v/>
      </c>
      <c r="J223" s="49" t="n">
        <f aca="false">$J$2</f>
        <v>0.25</v>
      </c>
      <c r="K223" s="12" t="str">
        <f aca="false">IFERROR(IF($B223="","",$E223+$J223),"")</f>
        <v/>
      </c>
      <c r="L223" s="11" t="str">
        <f aca="false">IFERROR(IF(OR($B223="",$C223=0,$C223=""),"",$I223+ROW()*0.0000001),"")</f>
        <v/>
      </c>
      <c r="M223" s="50" t="n">
        <f aca="false">$M$2</f>
        <v>0.9319</v>
      </c>
      <c r="N223" s="13" t="str">
        <f aca="false">IFERROR(IF($B223="","",$C223+$M223),"")</f>
        <v/>
      </c>
    </row>
    <row r="224" customFormat="false" ht="15" hidden="false" customHeight="true" outlineLevel="0" collapsed="false">
      <c r="A224" s="43" t="str">
        <f aca="false">IFERROR(IF(المنيو!$B224="","",المنيو!$A224),"")</f>
        <v/>
      </c>
      <c r="B224" s="43" t="n">
        <f aca="false">IFERROR(المنيو!$B224,"")</f>
        <v>0</v>
      </c>
      <c r="C224" s="13" t="str">
        <f aca="false">IFERROR(IF($B224="","",SUMIFS(الريسبي!$F$2:$F$1800,الريسبي!$A$2:$A$1800,$B224)),"")</f>
        <v/>
      </c>
      <c r="D224" s="44" t="str">
        <f aca="false">IFERROR(IF($B224="","",المنيو!$C224),"")</f>
        <v/>
      </c>
      <c r="E224" s="12" t="str">
        <f aca="false">IFERROR(IF(OR($B224="",$D224=0,$D224=""),"",$N224/$D224),"")</f>
        <v/>
      </c>
      <c r="F224" s="49" t="n">
        <f aca="false">$F$2</f>
        <v>0.375</v>
      </c>
      <c r="G224" s="13" t="str">
        <f aca="false">IFERROR(IF($B224="","",$N224/$F224),"")</f>
        <v/>
      </c>
      <c r="H224" s="13" t="str">
        <f aca="false">IFERROR(IF($B224="","",$D224-$N224),"")</f>
        <v/>
      </c>
      <c r="I224" s="12" t="str">
        <f aca="false">IFERROR(IF(OR($B224="",$D224=0,$D224=""),"",$H224/$D224),"")</f>
        <v/>
      </c>
      <c r="J224" s="49" t="n">
        <f aca="false">$J$2</f>
        <v>0.25</v>
      </c>
      <c r="K224" s="12" t="str">
        <f aca="false">IFERROR(IF($B224="","",$E224+$J224),"")</f>
        <v/>
      </c>
      <c r="L224" s="11" t="str">
        <f aca="false">IFERROR(IF(OR($B224="",$C224=0,$C224=""),"",$I224+ROW()*0.0000001),"")</f>
        <v/>
      </c>
      <c r="M224" s="50" t="n">
        <f aca="false">$M$2</f>
        <v>0.9319</v>
      </c>
      <c r="N224" s="13" t="str">
        <f aca="false">IFERROR(IF($B224="","",$C224+$M224),"")</f>
        <v/>
      </c>
    </row>
    <row r="225" customFormat="false" ht="15" hidden="false" customHeight="true" outlineLevel="0" collapsed="false">
      <c r="A225" s="43" t="str">
        <f aca="false">IFERROR(IF(المنيو!$B225="","",المنيو!$A225),"")</f>
        <v/>
      </c>
      <c r="B225" s="43" t="n">
        <f aca="false">IFERROR(المنيو!$B225,"")</f>
        <v>0</v>
      </c>
      <c r="C225" s="13" t="str">
        <f aca="false">IFERROR(IF($B225="","",SUMIFS(الريسبي!$F$2:$F$1800,الريسبي!$A$2:$A$1800,$B225)),"")</f>
        <v/>
      </c>
      <c r="D225" s="44" t="str">
        <f aca="false">IFERROR(IF($B225="","",المنيو!$C225),"")</f>
        <v/>
      </c>
      <c r="E225" s="12" t="str">
        <f aca="false">IFERROR(IF(OR($B225="",$D225=0,$D225=""),"",$N225/$D225),"")</f>
        <v/>
      </c>
      <c r="F225" s="49" t="n">
        <f aca="false">$F$2</f>
        <v>0.375</v>
      </c>
      <c r="G225" s="13" t="str">
        <f aca="false">IFERROR(IF($B225="","",$N225/$F225),"")</f>
        <v/>
      </c>
      <c r="H225" s="13" t="str">
        <f aca="false">IFERROR(IF($B225="","",$D225-$N225),"")</f>
        <v/>
      </c>
      <c r="I225" s="12" t="str">
        <f aca="false">IFERROR(IF(OR($B225="",$D225=0,$D225=""),"",$H225/$D225),"")</f>
        <v/>
      </c>
      <c r="J225" s="49" t="n">
        <f aca="false">$J$2</f>
        <v>0.25</v>
      </c>
      <c r="K225" s="12" t="str">
        <f aca="false">IFERROR(IF($B225="","",$E225+$J225),"")</f>
        <v/>
      </c>
      <c r="L225" s="11" t="str">
        <f aca="false">IFERROR(IF(OR($B225="",$C225=0,$C225=""),"",$I225+ROW()*0.0000001),"")</f>
        <v/>
      </c>
      <c r="M225" s="50" t="n">
        <f aca="false">$M$2</f>
        <v>0.9319</v>
      </c>
      <c r="N225" s="13" t="str">
        <f aca="false">IFERROR(IF($B225="","",$C225+$M225),"")</f>
        <v/>
      </c>
    </row>
    <row r="226" customFormat="false" ht="15" hidden="false" customHeight="true" outlineLevel="0" collapsed="false">
      <c r="A226" s="43" t="str">
        <f aca="false">IFERROR(IF(المنيو!$B226="","",المنيو!$A226),"")</f>
        <v/>
      </c>
      <c r="B226" s="43" t="n">
        <f aca="false">IFERROR(المنيو!$B226,"")</f>
        <v>0</v>
      </c>
      <c r="C226" s="13" t="str">
        <f aca="false">IFERROR(IF($B226="","",SUMIFS(الريسبي!$F$2:$F$1800,الريسبي!$A$2:$A$1800,$B226)),"")</f>
        <v/>
      </c>
      <c r="D226" s="44" t="str">
        <f aca="false">IFERROR(IF($B226="","",المنيو!$C226),"")</f>
        <v/>
      </c>
      <c r="E226" s="12" t="str">
        <f aca="false">IFERROR(IF(OR($B226="",$D226=0,$D226=""),"",$N226/$D226),"")</f>
        <v/>
      </c>
      <c r="F226" s="49" t="n">
        <f aca="false">$F$2</f>
        <v>0.375</v>
      </c>
      <c r="G226" s="13" t="str">
        <f aca="false">IFERROR(IF($B226="","",$N226/$F226),"")</f>
        <v/>
      </c>
      <c r="H226" s="13" t="str">
        <f aca="false">IFERROR(IF($B226="","",$D226-$N226),"")</f>
        <v/>
      </c>
      <c r="I226" s="12" t="str">
        <f aca="false">IFERROR(IF(OR($B226="",$D226=0,$D226=""),"",$H226/$D226),"")</f>
        <v/>
      </c>
      <c r="J226" s="49" t="n">
        <f aca="false">$J$2</f>
        <v>0.25</v>
      </c>
      <c r="K226" s="12" t="str">
        <f aca="false">IFERROR(IF($B226="","",$E226+$J226),"")</f>
        <v/>
      </c>
      <c r="L226" s="11" t="str">
        <f aca="false">IFERROR(IF(OR($B226="",$C226=0,$C226=""),"",$I226+ROW()*0.0000001),"")</f>
        <v/>
      </c>
      <c r="M226" s="50" t="n">
        <f aca="false">$M$2</f>
        <v>0.9319</v>
      </c>
      <c r="N226" s="13" t="str">
        <f aca="false">IFERROR(IF($B226="","",$C226+$M226),"")</f>
        <v/>
      </c>
    </row>
    <row r="227" customFormat="false" ht="15" hidden="false" customHeight="true" outlineLevel="0" collapsed="false">
      <c r="A227" s="43" t="str">
        <f aca="false">IFERROR(IF(المنيو!$B227="","",المنيو!$A227),"")</f>
        <v/>
      </c>
      <c r="B227" s="43" t="n">
        <f aca="false">IFERROR(المنيو!$B227,"")</f>
        <v>0</v>
      </c>
      <c r="C227" s="13" t="str">
        <f aca="false">IFERROR(IF($B227="","",SUMIFS(الريسبي!$F$2:$F$1800,الريسبي!$A$2:$A$1800,$B227)),"")</f>
        <v/>
      </c>
      <c r="D227" s="44" t="str">
        <f aca="false">IFERROR(IF($B227="","",المنيو!$C227),"")</f>
        <v/>
      </c>
      <c r="E227" s="12" t="str">
        <f aca="false">IFERROR(IF(OR($B227="",$D227=0,$D227=""),"",$N227/$D227),"")</f>
        <v/>
      </c>
      <c r="F227" s="49" t="n">
        <f aca="false">$F$2</f>
        <v>0.375</v>
      </c>
      <c r="G227" s="13" t="str">
        <f aca="false">IFERROR(IF($B227="","",$N227/$F227),"")</f>
        <v/>
      </c>
      <c r="H227" s="13" t="str">
        <f aca="false">IFERROR(IF($B227="","",$D227-$N227),"")</f>
        <v/>
      </c>
      <c r="I227" s="12" t="str">
        <f aca="false">IFERROR(IF(OR($B227="",$D227=0,$D227=""),"",$H227/$D227),"")</f>
        <v/>
      </c>
      <c r="J227" s="49" t="n">
        <f aca="false">$J$2</f>
        <v>0.25</v>
      </c>
      <c r="K227" s="12" t="str">
        <f aca="false">IFERROR(IF($B227="","",$E227+$J227),"")</f>
        <v/>
      </c>
      <c r="L227" s="11" t="str">
        <f aca="false">IFERROR(IF(OR($B227="",$C227=0,$C227=""),"",$I227+ROW()*0.0000001),"")</f>
        <v/>
      </c>
      <c r="M227" s="50" t="n">
        <f aca="false">$M$2</f>
        <v>0.9319</v>
      </c>
      <c r="N227" s="13" t="str">
        <f aca="false">IFERROR(IF($B227="","",$C227+$M227),"")</f>
        <v/>
      </c>
    </row>
    <row r="228" customFormat="false" ht="15" hidden="false" customHeight="true" outlineLevel="0" collapsed="false">
      <c r="A228" s="43" t="str">
        <f aca="false">IFERROR(IF(المنيو!$B228="","",المنيو!$A228),"")</f>
        <v/>
      </c>
      <c r="B228" s="43" t="n">
        <f aca="false">IFERROR(المنيو!$B228,"")</f>
        <v>0</v>
      </c>
      <c r="C228" s="13" t="str">
        <f aca="false">IFERROR(IF($B228="","",SUMIFS(الريسبي!$F$2:$F$1800,الريسبي!$A$2:$A$1800,$B228)),"")</f>
        <v/>
      </c>
      <c r="D228" s="44" t="str">
        <f aca="false">IFERROR(IF($B228="","",المنيو!$C228),"")</f>
        <v/>
      </c>
      <c r="E228" s="12" t="str">
        <f aca="false">IFERROR(IF(OR($B228="",$D228=0,$D228=""),"",$N228/$D228),"")</f>
        <v/>
      </c>
      <c r="F228" s="49" t="n">
        <f aca="false">$F$2</f>
        <v>0.375</v>
      </c>
      <c r="G228" s="13" t="str">
        <f aca="false">IFERROR(IF($B228="","",$N228/$F228),"")</f>
        <v/>
      </c>
      <c r="H228" s="13" t="str">
        <f aca="false">IFERROR(IF($B228="","",$D228-$N228),"")</f>
        <v/>
      </c>
      <c r="I228" s="12" t="str">
        <f aca="false">IFERROR(IF(OR($B228="",$D228=0,$D228=""),"",$H228/$D228),"")</f>
        <v/>
      </c>
      <c r="J228" s="49" t="n">
        <f aca="false">$J$2</f>
        <v>0.25</v>
      </c>
      <c r="K228" s="12" t="str">
        <f aca="false">IFERROR(IF($B228="","",$E228+$J228),"")</f>
        <v/>
      </c>
      <c r="L228" s="11" t="str">
        <f aca="false">IFERROR(IF(OR($B228="",$C228=0,$C228=""),"",$I228+ROW()*0.0000001),"")</f>
        <v/>
      </c>
      <c r="M228" s="50" t="n">
        <f aca="false">$M$2</f>
        <v>0.9319</v>
      </c>
      <c r="N228" s="13" t="str">
        <f aca="false">IFERROR(IF($B228="","",$C228+$M228),"")</f>
        <v/>
      </c>
    </row>
    <row r="229" customFormat="false" ht="15" hidden="false" customHeight="true" outlineLevel="0" collapsed="false">
      <c r="A229" s="43" t="str">
        <f aca="false">IFERROR(IF(المنيو!$B229="","",المنيو!$A229),"")</f>
        <v/>
      </c>
      <c r="B229" s="43" t="n">
        <f aca="false">IFERROR(المنيو!$B229,"")</f>
        <v>0</v>
      </c>
      <c r="C229" s="13" t="str">
        <f aca="false">IFERROR(IF($B229="","",SUMIFS(الريسبي!$F$2:$F$1800,الريسبي!$A$2:$A$1800,$B229)),"")</f>
        <v/>
      </c>
      <c r="D229" s="44" t="str">
        <f aca="false">IFERROR(IF($B229="","",المنيو!$C229),"")</f>
        <v/>
      </c>
      <c r="E229" s="12" t="str">
        <f aca="false">IFERROR(IF(OR($B229="",$D229=0,$D229=""),"",$N229/$D229),"")</f>
        <v/>
      </c>
      <c r="F229" s="49" t="n">
        <f aca="false">$F$2</f>
        <v>0.375</v>
      </c>
      <c r="G229" s="13" t="str">
        <f aca="false">IFERROR(IF($B229="","",$N229/$F229),"")</f>
        <v/>
      </c>
      <c r="H229" s="13" t="str">
        <f aca="false">IFERROR(IF($B229="","",$D229-$N229),"")</f>
        <v/>
      </c>
      <c r="I229" s="12" t="str">
        <f aca="false">IFERROR(IF(OR($B229="",$D229=0,$D229=""),"",$H229/$D229),"")</f>
        <v/>
      </c>
      <c r="J229" s="49" t="n">
        <f aca="false">$J$2</f>
        <v>0.25</v>
      </c>
      <c r="K229" s="12" t="str">
        <f aca="false">IFERROR(IF($B229="","",$E229+$J229),"")</f>
        <v/>
      </c>
      <c r="L229" s="11" t="str">
        <f aca="false">IFERROR(IF(OR($B229="",$C229=0,$C229=""),"",$I229+ROW()*0.0000001),"")</f>
        <v/>
      </c>
      <c r="M229" s="50" t="n">
        <f aca="false">$M$2</f>
        <v>0.9319</v>
      </c>
      <c r="N229" s="13" t="str">
        <f aca="false">IFERROR(IF($B229="","",$C229+$M229),"")</f>
        <v/>
      </c>
    </row>
    <row r="230" customFormat="false" ht="15" hidden="false" customHeight="true" outlineLevel="0" collapsed="false">
      <c r="A230" s="43" t="str">
        <f aca="false">IFERROR(IF(المنيو!$B230="","",المنيو!$A230),"")</f>
        <v/>
      </c>
      <c r="B230" s="43" t="n">
        <f aca="false">IFERROR(المنيو!$B230,"")</f>
        <v>0</v>
      </c>
      <c r="C230" s="13" t="str">
        <f aca="false">IFERROR(IF($B230="","",SUMIFS(الريسبي!$F$2:$F$1800,الريسبي!$A$2:$A$1800,$B230)),"")</f>
        <v/>
      </c>
      <c r="D230" s="44" t="str">
        <f aca="false">IFERROR(IF($B230="","",المنيو!$C230),"")</f>
        <v/>
      </c>
      <c r="E230" s="12" t="str">
        <f aca="false">IFERROR(IF(OR($B230="",$D230=0,$D230=""),"",$N230/$D230),"")</f>
        <v/>
      </c>
      <c r="F230" s="49" t="n">
        <f aca="false">$F$2</f>
        <v>0.375</v>
      </c>
      <c r="G230" s="13" t="str">
        <f aca="false">IFERROR(IF($B230="","",$N230/$F230),"")</f>
        <v/>
      </c>
      <c r="H230" s="13" t="str">
        <f aca="false">IFERROR(IF($B230="","",$D230-$N230),"")</f>
        <v/>
      </c>
      <c r="I230" s="12" t="str">
        <f aca="false">IFERROR(IF(OR($B230="",$D230=0,$D230=""),"",$H230/$D230),"")</f>
        <v/>
      </c>
      <c r="J230" s="49" t="n">
        <f aca="false">$J$2</f>
        <v>0.25</v>
      </c>
      <c r="K230" s="12" t="str">
        <f aca="false">IFERROR(IF($B230="","",$E230+$J230),"")</f>
        <v/>
      </c>
      <c r="L230" s="11" t="str">
        <f aca="false">IFERROR(IF(OR($B230="",$C230=0,$C230=""),"",$I230+ROW()*0.0000001),"")</f>
        <v/>
      </c>
      <c r="M230" s="50" t="n">
        <f aca="false">$M$2</f>
        <v>0.9319</v>
      </c>
      <c r="N230" s="13" t="str">
        <f aca="false">IFERROR(IF($B230="","",$C230+$M230),"")</f>
        <v/>
      </c>
    </row>
    <row r="231" customFormat="false" ht="15" hidden="false" customHeight="true" outlineLevel="0" collapsed="false">
      <c r="A231" s="43" t="str">
        <f aca="false">IFERROR(IF(المنيو!$B231="","",المنيو!$A231),"")</f>
        <v/>
      </c>
      <c r="B231" s="43" t="n">
        <f aca="false">IFERROR(المنيو!$B231,"")</f>
        <v>0</v>
      </c>
      <c r="C231" s="13" t="str">
        <f aca="false">IFERROR(IF($B231="","",SUMIFS(الريسبي!$F$2:$F$1800,الريسبي!$A$2:$A$1800,$B231)),"")</f>
        <v/>
      </c>
      <c r="D231" s="44" t="str">
        <f aca="false">IFERROR(IF($B231="","",المنيو!$C231),"")</f>
        <v/>
      </c>
      <c r="E231" s="12" t="str">
        <f aca="false">IFERROR(IF(OR($B231="",$D231=0,$D231=""),"",$N231/$D231),"")</f>
        <v/>
      </c>
      <c r="F231" s="49" t="n">
        <f aca="false">$F$2</f>
        <v>0.375</v>
      </c>
      <c r="G231" s="13" t="str">
        <f aca="false">IFERROR(IF($B231="","",$N231/$F231),"")</f>
        <v/>
      </c>
      <c r="H231" s="13" t="str">
        <f aca="false">IFERROR(IF($B231="","",$D231-$N231),"")</f>
        <v/>
      </c>
      <c r="I231" s="12" t="str">
        <f aca="false">IFERROR(IF(OR($B231="",$D231=0,$D231=""),"",$H231/$D231),"")</f>
        <v/>
      </c>
      <c r="J231" s="49" t="n">
        <f aca="false">$J$2</f>
        <v>0.25</v>
      </c>
      <c r="K231" s="12" t="str">
        <f aca="false">IFERROR(IF($B231="","",$E231+$J231),"")</f>
        <v/>
      </c>
      <c r="L231" s="11" t="str">
        <f aca="false">IFERROR(IF(OR($B231="",$C231=0,$C231=""),"",$I231+ROW()*0.0000001),"")</f>
        <v/>
      </c>
      <c r="M231" s="50" t="n">
        <f aca="false">$M$2</f>
        <v>0.9319</v>
      </c>
      <c r="N231" s="13" t="str">
        <f aca="false">IFERROR(IF($B231="","",$C231+$M231),"")</f>
        <v/>
      </c>
    </row>
    <row r="232" customFormat="false" ht="15" hidden="false" customHeight="true" outlineLevel="0" collapsed="false">
      <c r="A232" s="43" t="str">
        <f aca="false">IFERROR(IF(المنيو!$B232="","",المنيو!$A232),"")</f>
        <v/>
      </c>
      <c r="B232" s="43" t="n">
        <f aca="false">IFERROR(المنيو!$B232,"")</f>
        <v>0</v>
      </c>
      <c r="C232" s="13" t="str">
        <f aca="false">IFERROR(IF($B232="","",SUMIFS(الريسبي!$F$2:$F$1800,الريسبي!$A$2:$A$1800,$B232)),"")</f>
        <v/>
      </c>
      <c r="D232" s="44" t="str">
        <f aca="false">IFERROR(IF($B232="","",المنيو!$C232),"")</f>
        <v/>
      </c>
      <c r="E232" s="12" t="str">
        <f aca="false">IFERROR(IF(OR($B232="",$D232=0,$D232=""),"",$N232/$D232),"")</f>
        <v/>
      </c>
      <c r="F232" s="49" t="n">
        <f aca="false">$F$2</f>
        <v>0.375</v>
      </c>
      <c r="G232" s="13" t="str">
        <f aca="false">IFERROR(IF($B232="","",$N232/$F232),"")</f>
        <v/>
      </c>
      <c r="H232" s="13" t="str">
        <f aca="false">IFERROR(IF($B232="","",$D232-$N232),"")</f>
        <v/>
      </c>
      <c r="I232" s="12" t="str">
        <f aca="false">IFERROR(IF(OR($B232="",$D232=0,$D232=""),"",$H232/$D232),"")</f>
        <v/>
      </c>
      <c r="J232" s="49" t="n">
        <f aca="false">$J$2</f>
        <v>0.25</v>
      </c>
      <c r="K232" s="12" t="str">
        <f aca="false">IFERROR(IF($B232="","",$E232+$J232),"")</f>
        <v/>
      </c>
      <c r="L232" s="11" t="str">
        <f aca="false">IFERROR(IF(OR($B232="",$C232=0,$C232=""),"",$I232+ROW()*0.0000001),"")</f>
        <v/>
      </c>
      <c r="M232" s="50" t="n">
        <f aca="false">$M$2</f>
        <v>0.9319</v>
      </c>
      <c r="N232" s="13" t="str">
        <f aca="false">IFERROR(IF($B232="","",$C232+$M232),"")</f>
        <v/>
      </c>
    </row>
    <row r="233" customFormat="false" ht="15" hidden="false" customHeight="true" outlineLevel="0" collapsed="false">
      <c r="A233" s="43" t="str">
        <f aca="false">IFERROR(IF(المنيو!$B233="","",المنيو!$A233),"")</f>
        <v/>
      </c>
      <c r="B233" s="43" t="n">
        <f aca="false">IFERROR(المنيو!$B233,"")</f>
        <v>0</v>
      </c>
      <c r="C233" s="13" t="str">
        <f aca="false">IFERROR(IF($B233="","",SUMIFS(الريسبي!$F$2:$F$1800,الريسبي!$A$2:$A$1800,$B233)),"")</f>
        <v/>
      </c>
      <c r="D233" s="44" t="str">
        <f aca="false">IFERROR(IF($B233="","",المنيو!$C233),"")</f>
        <v/>
      </c>
      <c r="E233" s="12" t="str">
        <f aca="false">IFERROR(IF(OR($B233="",$D233=0,$D233=""),"",$N233/$D233),"")</f>
        <v/>
      </c>
      <c r="F233" s="49" t="n">
        <f aca="false">$F$2</f>
        <v>0.375</v>
      </c>
      <c r="G233" s="13" t="str">
        <f aca="false">IFERROR(IF($B233="","",$N233/$F233),"")</f>
        <v/>
      </c>
      <c r="H233" s="13" t="str">
        <f aca="false">IFERROR(IF($B233="","",$D233-$N233),"")</f>
        <v/>
      </c>
      <c r="I233" s="12" t="str">
        <f aca="false">IFERROR(IF(OR($B233="",$D233=0,$D233=""),"",$H233/$D233),"")</f>
        <v/>
      </c>
      <c r="J233" s="49" t="n">
        <f aca="false">$J$2</f>
        <v>0.25</v>
      </c>
      <c r="K233" s="12" t="str">
        <f aca="false">IFERROR(IF($B233="","",$E233+$J233),"")</f>
        <v/>
      </c>
      <c r="L233" s="11" t="str">
        <f aca="false">IFERROR(IF(OR($B233="",$C233=0,$C233=""),"",$I233+ROW()*0.0000001),"")</f>
        <v/>
      </c>
      <c r="M233" s="50" t="n">
        <f aca="false">$M$2</f>
        <v>0.9319</v>
      </c>
      <c r="N233" s="13" t="str">
        <f aca="false">IFERROR(IF($B233="","",$C233+$M233),"")</f>
        <v/>
      </c>
    </row>
    <row r="234" customFormat="false" ht="15" hidden="false" customHeight="true" outlineLevel="0" collapsed="false">
      <c r="A234" s="43" t="str">
        <f aca="false">IFERROR(IF(المنيو!$B234="","",المنيو!$A234),"")</f>
        <v/>
      </c>
      <c r="B234" s="43" t="n">
        <f aca="false">IFERROR(المنيو!$B234,"")</f>
        <v>0</v>
      </c>
      <c r="C234" s="13" t="str">
        <f aca="false">IFERROR(IF($B234="","",SUMIFS(الريسبي!$F$2:$F$1800,الريسبي!$A$2:$A$1800,$B234)),"")</f>
        <v/>
      </c>
      <c r="D234" s="44" t="str">
        <f aca="false">IFERROR(IF($B234="","",المنيو!$C234),"")</f>
        <v/>
      </c>
      <c r="E234" s="12" t="str">
        <f aca="false">IFERROR(IF(OR($B234="",$D234=0,$D234=""),"",$N234/$D234),"")</f>
        <v/>
      </c>
      <c r="F234" s="49" t="n">
        <f aca="false">$F$2</f>
        <v>0.375</v>
      </c>
      <c r="G234" s="13" t="str">
        <f aca="false">IFERROR(IF($B234="","",$N234/$F234),"")</f>
        <v/>
      </c>
      <c r="H234" s="13" t="str">
        <f aca="false">IFERROR(IF($B234="","",$D234-$N234),"")</f>
        <v/>
      </c>
      <c r="I234" s="12" t="str">
        <f aca="false">IFERROR(IF(OR($B234="",$D234=0,$D234=""),"",$H234/$D234),"")</f>
        <v/>
      </c>
      <c r="J234" s="49" t="n">
        <f aca="false">$J$2</f>
        <v>0.25</v>
      </c>
      <c r="K234" s="12" t="str">
        <f aca="false">IFERROR(IF($B234="","",$E234+$J234),"")</f>
        <v/>
      </c>
      <c r="L234" s="11" t="str">
        <f aca="false">IFERROR(IF(OR($B234="",$C234=0,$C234=""),"",$I234+ROW()*0.0000001),"")</f>
        <v/>
      </c>
      <c r="M234" s="50" t="n">
        <f aca="false">$M$2</f>
        <v>0.9319</v>
      </c>
      <c r="N234" s="13" t="str">
        <f aca="false">IFERROR(IF($B234="","",$C234+$M234),"")</f>
        <v/>
      </c>
    </row>
    <row r="235" customFormat="false" ht="15" hidden="false" customHeight="true" outlineLevel="0" collapsed="false">
      <c r="A235" s="43" t="str">
        <f aca="false">IFERROR(IF(المنيو!$B235="","",المنيو!$A235),"")</f>
        <v/>
      </c>
      <c r="B235" s="43" t="n">
        <f aca="false">IFERROR(المنيو!$B235,"")</f>
        <v>0</v>
      </c>
      <c r="C235" s="13" t="str">
        <f aca="false">IFERROR(IF($B235="","",SUMIFS(الريسبي!$F$2:$F$1800,الريسبي!$A$2:$A$1800,$B235)),"")</f>
        <v/>
      </c>
      <c r="D235" s="44" t="str">
        <f aca="false">IFERROR(IF($B235="","",المنيو!$C235),"")</f>
        <v/>
      </c>
      <c r="E235" s="12" t="str">
        <f aca="false">IFERROR(IF(OR($B235="",$D235=0,$D235=""),"",$N235/$D235),"")</f>
        <v/>
      </c>
      <c r="F235" s="49" t="n">
        <f aca="false">$F$2</f>
        <v>0.375</v>
      </c>
      <c r="G235" s="13" t="str">
        <f aca="false">IFERROR(IF($B235="","",$N235/$F235),"")</f>
        <v/>
      </c>
      <c r="H235" s="13" t="str">
        <f aca="false">IFERROR(IF($B235="","",$D235-$N235),"")</f>
        <v/>
      </c>
      <c r="I235" s="12" t="str">
        <f aca="false">IFERROR(IF(OR($B235="",$D235=0,$D235=""),"",$H235/$D235),"")</f>
        <v/>
      </c>
      <c r="J235" s="49" t="n">
        <f aca="false">$J$2</f>
        <v>0.25</v>
      </c>
      <c r="K235" s="12" t="str">
        <f aca="false">IFERROR(IF($B235="","",$E235+$J235),"")</f>
        <v/>
      </c>
      <c r="L235" s="11" t="str">
        <f aca="false">IFERROR(IF(OR($B235="",$C235=0,$C235=""),"",$I235+ROW()*0.0000001),"")</f>
        <v/>
      </c>
      <c r="M235" s="50" t="n">
        <f aca="false">$M$2</f>
        <v>0.9319</v>
      </c>
      <c r="N235" s="13" t="str">
        <f aca="false">IFERROR(IF($B235="","",$C235+$M235),"")</f>
        <v/>
      </c>
    </row>
    <row r="236" customFormat="false" ht="15" hidden="false" customHeight="true" outlineLevel="0" collapsed="false">
      <c r="A236" s="43" t="str">
        <f aca="false">IFERROR(IF(المنيو!$B236="","",المنيو!$A236),"")</f>
        <v/>
      </c>
      <c r="B236" s="43" t="n">
        <f aca="false">IFERROR(المنيو!$B236,"")</f>
        <v>0</v>
      </c>
      <c r="C236" s="13" t="str">
        <f aca="false">IFERROR(IF($B236="","",SUMIFS(الريسبي!$F$2:$F$1800,الريسبي!$A$2:$A$1800,$B236)),"")</f>
        <v/>
      </c>
      <c r="D236" s="44" t="str">
        <f aca="false">IFERROR(IF($B236="","",المنيو!$C236),"")</f>
        <v/>
      </c>
      <c r="E236" s="12" t="str">
        <f aca="false">IFERROR(IF(OR($B236="",$D236=0,$D236=""),"",$N236/$D236),"")</f>
        <v/>
      </c>
      <c r="F236" s="49" t="n">
        <f aca="false">$F$2</f>
        <v>0.375</v>
      </c>
      <c r="G236" s="13" t="str">
        <f aca="false">IFERROR(IF($B236="","",$N236/$F236),"")</f>
        <v/>
      </c>
      <c r="H236" s="13" t="str">
        <f aca="false">IFERROR(IF($B236="","",$D236-$N236),"")</f>
        <v/>
      </c>
      <c r="I236" s="12" t="str">
        <f aca="false">IFERROR(IF(OR($B236="",$D236=0,$D236=""),"",$H236/$D236),"")</f>
        <v/>
      </c>
      <c r="J236" s="49" t="n">
        <f aca="false">$J$2</f>
        <v>0.25</v>
      </c>
      <c r="K236" s="12" t="str">
        <f aca="false">IFERROR(IF($B236="","",$E236+$J236),"")</f>
        <v/>
      </c>
      <c r="L236" s="11" t="str">
        <f aca="false">IFERROR(IF(OR($B236="",$C236=0,$C236=""),"",$I236+ROW()*0.0000001),"")</f>
        <v/>
      </c>
      <c r="M236" s="50" t="n">
        <f aca="false">$M$2</f>
        <v>0.9319</v>
      </c>
      <c r="N236" s="13" t="str">
        <f aca="false">IFERROR(IF($B236="","",$C236+$M236),"")</f>
        <v/>
      </c>
    </row>
    <row r="237" customFormat="false" ht="15" hidden="false" customHeight="true" outlineLevel="0" collapsed="false">
      <c r="A237" s="43" t="str">
        <f aca="false">IFERROR(IF(المنيو!$B237="","",المنيو!$A237),"")</f>
        <v/>
      </c>
      <c r="B237" s="43" t="n">
        <f aca="false">IFERROR(المنيو!$B237,"")</f>
        <v>0</v>
      </c>
      <c r="C237" s="13" t="str">
        <f aca="false">IFERROR(IF($B237="","",SUMIFS(الريسبي!$F$2:$F$1800,الريسبي!$A$2:$A$1800,$B237)),"")</f>
        <v/>
      </c>
      <c r="D237" s="44" t="str">
        <f aca="false">IFERROR(IF($B237="","",المنيو!$C237),"")</f>
        <v/>
      </c>
      <c r="E237" s="12" t="str">
        <f aca="false">IFERROR(IF(OR($B237="",$D237=0,$D237=""),"",$N237/$D237),"")</f>
        <v/>
      </c>
      <c r="F237" s="49" t="n">
        <f aca="false">$F$2</f>
        <v>0.375</v>
      </c>
      <c r="G237" s="13" t="str">
        <f aca="false">IFERROR(IF($B237="","",$N237/$F237),"")</f>
        <v/>
      </c>
      <c r="H237" s="13" t="str">
        <f aca="false">IFERROR(IF($B237="","",$D237-$N237),"")</f>
        <v/>
      </c>
      <c r="I237" s="12" t="str">
        <f aca="false">IFERROR(IF(OR($B237="",$D237=0,$D237=""),"",$H237/$D237),"")</f>
        <v/>
      </c>
      <c r="J237" s="49" t="n">
        <f aca="false">$J$2</f>
        <v>0.25</v>
      </c>
      <c r="K237" s="12" t="str">
        <f aca="false">IFERROR(IF($B237="","",$E237+$J237),"")</f>
        <v/>
      </c>
      <c r="L237" s="11" t="str">
        <f aca="false">IFERROR(IF(OR($B237="",$C237=0,$C237=""),"",$I237+ROW()*0.0000001),"")</f>
        <v/>
      </c>
      <c r="M237" s="50" t="n">
        <f aca="false">$M$2</f>
        <v>0.9319</v>
      </c>
      <c r="N237" s="13" t="str">
        <f aca="false">IFERROR(IF($B237="","",$C237+$M237),"")</f>
        <v/>
      </c>
    </row>
    <row r="238" customFormat="false" ht="15" hidden="false" customHeight="true" outlineLevel="0" collapsed="false">
      <c r="A238" s="43" t="str">
        <f aca="false">IFERROR(IF(المنيو!$B238="","",المنيو!$A238),"")</f>
        <v/>
      </c>
      <c r="B238" s="43" t="n">
        <f aca="false">IFERROR(المنيو!$B238,"")</f>
        <v>0</v>
      </c>
      <c r="C238" s="13" t="str">
        <f aca="false">IFERROR(IF($B238="","",SUMIFS(الريسبي!$F$2:$F$1800,الريسبي!$A$2:$A$1800,$B238)),"")</f>
        <v/>
      </c>
      <c r="D238" s="44" t="str">
        <f aca="false">IFERROR(IF($B238="","",المنيو!$C238),"")</f>
        <v/>
      </c>
      <c r="E238" s="12" t="str">
        <f aca="false">IFERROR(IF(OR($B238="",$D238=0,$D238=""),"",$N238/$D238),"")</f>
        <v/>
      </c>
      <c r="F238" s="49" t="n">
        <f aca="false">$F$2</f>
        <v>0.375</v>
      </c>
      <c r="G238" s="13" t="str">
        <f aca="false">IFERROR(IF($B238="","",$N238/$F238),"")</f>
        <v/>
      </c>
      <c r="H238" s="13" t="str">
        <f aca="false">IFERROR(IF($B238="","",$D238-$N238),"")</f>
        <v/>
      </c>
      <c r="I238" s="12" t="str">
        <f aca="false">IFERROR(IF(OR($B238="",$D238=0,$D238=""),"",$H238/$D238),"")</f>
        <v/>
      </c>
      <c r="J238" s="49" t="n">
        <f aca="false">$J$2</f>
        <v>0.25</v>
      </c>
      <c r="K238" s="12" t="str">
        <f aca="false">IFERROR(IF($B238="","",$E238+$J238),"")</f>
        <v/>
      </c>
      <c r="L238" s="11" t="str">
        <f aca="false">IFERROR(IF(OR($B238="",$C238=0,$C238=""),"",$I238+ROW()*0.0000001),"")</f>
        <v/>
      </c>
      <c r="M238" s="50" t="n">
        <f aca="false">$M$2</f>
        <v>0.9319</v>
      </c>
      <c r="N238" s="13" t="str">
        <f aca="false">IFERROR(IF($B238="","",$C238+$M238),"")</f>
        <v/>
      </c>
    </row>
    <row r="239" customFormat="false" ht="15" hidden="false" customHeight="true" outlineLevel="0" collapsed="false">
      <c r="A239" s="43" t="str">
        <f aca="false">IFERROR(IF(المنيو!$B239="","",المنيو!$A239),"")</f>
        <v/>
      </c>
      <c r="B239" s="43" t="n">
        <f aca="false">IFERROR(المنيو!$B239,"")</f>
        <v>0</v>
      </c>
      <c r="C239" s="13" t="str">
        <f aca="false">IFERROR(IF($B239="","",SUMIFS(الريسبي!$F$2:$F$1800,الريسبي!$A$2:$A$1800,$B239)),"")</f>
        <v/>
      </c>
      <c r="D239" s="44" t="str">
        <f aca="false">IFERROR(IF($B239="","",المنيو!$C239),"")</f>
        <v/>
      </c>
      <c r="E239" s="12" t="str">
        <f aca="false">IFERROR(IF(OR($B239="",$D239=0,$D239=""),"",$N239/$D239),"")</f>
        <v/>
      </c>
      <c r="F239" s="49" t="n">
        <f aca="false">$F$2</f>
        <v>0.375</v>
      </c>
      <c r="G239" s="13" t="str">
        <f aca="false">IFERROR(IF($B239="","",$N239/$F239),"")</f>
        <v/>
      </c>
      <c r="H239" s="13" t="str">
        <f aca="false">IFERROR(IF($B239="","",$D239-$N239),"")</f>
        <v/>
      </c>
      <c r="I239" s="12" t="str">
        <f aca="false">IFERROR(IF(OR($B239="",$D239=0,$D239=""),"",$H239/$D239),"")</f>
        <v/>
      </c>
      <c r="J239" s="49" t="n">
        <f aca="false">$J$2</f>
        <v>0.25</v>
      </c>
      <c r="K239" s="12" t="str">
        <f aca="false">IFERROR(IF($B239="","",$E239+$J239),"")</f>
        <v/>
      </c>
      <c r="L239" s="11" t="str">
        <f aca="false">IFERROR(IF(OR($B239="",$C239=0,$C239=""),"",$I239+ROW()*0.0000001),"")</f>
        <v/>
      </c>
      <c r="M239" s="50" t="n">
        <f aca="false">$M$2</f>
        <v>0.9319</v>
      </c>
      <c r="N239" s="13" t="str">
        <f aca="false">IFERROR(IF($B239="","",$C239+$M239),"")</f>
        <v/>
      </c>
    </row>
    <row r="240" customFormat="false" ht="15" hidden="false" customHeight="true" outlineLevel="0" collapsed="false">
      <c r="A240" s="43" t="str">
        <f aca="false">IFERROR(IF(المنيو!$B240="","",المنيو!$A240),"")</f>
        <v/>
      </c>
      <c r="B240" s="43" t="n">
        <f aca="false">IFERROR(المنيو!$B240,"")</f>
        <v>0</v>
      </c>
      <c r="C240" s="13" t="str">
        <f aca="false">IFERROR(IF($B240="","",SUMIFS(الريسبي!$F$2:$F$1800,الريسبي!$A$2:$A$1800,$B240)),"")</f>
        <v/>
      </c>
      <c r="D240" s="44" t="str">
        <f aca="false">IFERROR(IF($B240="","",المنيو!$C240),"")</f>
        <v/>
      </c>
      <c r="E240" s="12" t="str">
        <f aca="false">IFERROR(IF(OR($B240="",$D240=0,$D240=""),"",$N240/$D240),"")</f>
        <v/>
      </c>
      <c r="F240" s="49" t="n">
        <f aca="false">$F$2</f>
        <v>0.375</v>
      </c>
      <c r="G240" s="13" t="str">
        <f aca="false">IFERROR(IF($B240="","",$N240/$F240),"")</f>
        <v/>
      </c>
      <c r="H240" s="13" t="str">
        <f aca="false">IFERROR(IF($B240="","",$D240-$N240),"")</f>
        <v/>
      </c>
      <c r="I240" s="12" t="str">
        <f aca="false">IFERROR(IF(OR($B240="",$D240=0,$D240=""),"",$H240/$D240),"")</f>
        <v/>
      </c>
      <c r="J240" s="49" t="n">
        <f aca="false">$J$2</f>
        <v>0.25</v>
      </c>
      <c r="K240" s="12" t="str">
        <f aca="false">IFERROR(IF($B240="","",$E240+$J240),"")</f>
        <v/>
      </c>
      <c r="L240" s="11" t="str">
        <f aca="false">IFERROR(IF(OR($B240="",$C240=0,$C240=""),"",$I240+ROW()*0.0000001),"")</f>
        <v/>
      </c>
      <c r="M240" s="50" t="n">
        <f aca="false">$M$2</f>
        <v>0.9319</v>
      </c>
      <c r="N240" s="13" t="str">
        <f aca="false">IFERROR(IF($B240="","",$C240+$M240),"")</f>
        <v/>
      </c>
    </row>
    <row r="241" customFormat="false" ht="15" hidden="false" customHeight="true" outlineLevel="0" collapsed="false">
      <c r="A241" s="43" t="str">
        <f aca="false">IFERROR(IF(المنيو!$B241="","",المنيو!$A241),"")</f>
        <v/>
      </c>
      <c r="B241" s="43" t="n">
        <f aca="false">IFERROR(المنيو!$B241,"")</f>
        <v>0</v>
      </c>
      <c r="C241" s="13" t="str">
        <f aca="false">IFERROR(IF($B241="","",SUMIFS(الريسبي!$F$2:$F$1800,الريسبي!$A$2:$A$1800,$B241)),"")</f>
        <v/>
      </c>
      <c r="D241" s="44" t="str">
        <f aca="false">IFERROR(IF($B241="","",المنيو!$C241),"")</f>
        <v/>
      </c>
      <c r="E241" s="12" t="str">
        <f aca="false">IFERROR(IF(OR($B241="",$D241=0,$D241=""),"",$N241/$D241),"")</f>
        <v/>
      </c>
      <c r="F241" s="49" t="n">
        <f aca="false">$F$2</f>
        <v>0.375</v>
      </c>
      <c r="G241" s="13" t="str">
        <f aca="false">IFERROR(IF($B241="","",$N241/$F241),"")</f>
        <v/>
      </c>
      <c r="H241" s="13" t="str">
        <f aca="false">IFERROR(IF($B241="","",$D241-$N241),"")</f>
        <v/>
      </c>
      <c r="I241" s="12" t="str">
        <f aca="false">IFERROR(IF(OR($B241="",$D241=0,$D241=""),"",$H241/$D241),"")</f>
        <v/>
      </c>
      <c r="J241" s="49" t="n">
        <f aca="false">$J$2</f>
        <v>0.25</v>
      </c>
      <c r="K241" s="12" t="str">
        <f aca="false">IFERROR(IF($B241="","",$E241+$J241),"")</f>
        <v/>
      </c>
      <c r="L241" s="11" t="str">
        <f aca="false">IFERROR(IF(OR($B241="",$C241=0,$C241=""),"",$I241+ROW()*0.0000001),"")</f>
        <v/>
      </c>
      <c r="M241" s="50" t="n">
        <f aca="false">$M$2</f>
        <v>0.9319</v>
      </c>
      <c r="N241" s="13" t="str">
        <f aca="false">IFERROR(IF($B241="","",$C241+$M241),"")</f>
        <v/>
      </c>
    </row>
    <row r="242" customFormat="false" ht="15" hidden="false" customHeight="true" outlineLevel="0" collapsed="false">
      <c r="A242" s="43" t="str">
        <f aca="false">IFERROR(IF(المنيو!$B242="","",المنيو!$A242),"")</f>
        <v/>
      </c>
      <c r="B242" s="43" t="n">
        <f aca="false">IFERROR(المنيو!$B242,"")</f>
        <v>0</v>
      </c>
      <c r="C242" s="13" t="str">
        <f aca="false">IFERROR(IF($B242="","",SUMIFS(الريسبي!$F$2:$F$1800,الريسبي!$A$2:$A$1800,$B242)),"")</f>
        <v/>
      </c>
      <c r="D242" s="44" t="str">
        <f aca="false">IFERROR(IF($B242="","",المنيو!$C242),"")</f>
        <v/>
      </c>
      <c r="E242" s="12" t="str">
        <f aca="false">IFERROR(IF(OR($B242="",$D242=0,$D242=""),"",$N242/$D242),"")</f>
        <v/>
      </c>
      <c r="F242" s="49" t="n">
        <f aca="false">$F$2</f>
        <v>0.375</v>
      </c>
      <c r="G242" s="13" t="str">
        <f aca="false">IFERROR(IF($B242="","",$N242/$F242),"")</f>
        <v/>
      </c>
      <c r="H242" s="13" t="str">
        <f aca="false">IFERROR(IF($B242="","",$D242-$N242),"")</f>
        <v/>
      </c>
      <c r="I242" s="12" t="str">
        <f aca="false">IFERROR(IF(OR($B242="",$D242=0,$D242=""),"",$H242/$D242),"")</f>
        <v/>
      </c>
      <c r="J242" s="49" t="n">
        <f aca="false">$J$2</f>
        <v>0.25</v>
      </c>
      <c r="K242" s="12" t="str">
        <f aca="false">IFERROR(IF($B242="","",$E242+$J242),"")</f>
        <v/>
      </c>
      <c r="L242" s="11" t="str">
        <f aca="false">IFERROR(IF(OR($B242="",$C242=0,$C242=""),"",$I242+ROW()*0.0000001),"")</f>
        <v/>
      </c>
      <c r="M242" s="50" t="n">
        <f aca="false">$M$2</f>
        <v>0.9319</v>
      </c>
      <c r="N242" s="13" t="str">
        <f aca="false">IFERROR(IF($B242="","",$C242+$M242),"")</f>
        <v/>
      </c>
    </row>
    <row r="243" customFormat="false" ht="15" hidden="false" customHeight="true" outlineLevel="0" collapsed="false">
      <c r="A243" s="43" t="str">
        <f aca="false">IFERROR(IF(المنيو!$B243="","",المنيو!$A243),"")</f>
        <v/>
      </c>
      <c r="B243" s="43" t="n">
        <f aca="false">IFERROR(المنيو!$B243,"")</f>
        <v>0</v>
      </c>
      <c r="C243" s="13" t="str">
        <f aca="false">IFERROR(IF($B243="","",SUMIFS(الريسبي!$F$2:$F$1800,الريسبي!$A$2:$A$1800,$B243)),"")</f>
        <v/>
      </c>
      <c r="D243" s="44" t="str">
        <f aca="false">IFERROR(IF($B243="","",المنيو!$C243),"")</f>
        <v/>
      </c>
      <c r="E243" s="12" t="str">
        <f aca="false">IFERROR(IF(OR($B243="",$D243=0,$D243=""),"",$N243/$D243),"")</f>
        <v/>
      </c>
      <c r="F243" s="49" t="n">
        <f aca="false">$F$2</f>
        <v>0.375</v>
      </c>
      <c r="G243" s="13" t="str">
        <f aca="false">IFERROR(IF($B243="","",$N243/$F243),"")</f>
        <v/>
      </c>
      <c r="H243" s="13" t="str">
        <f aca="false">IFERROR(IF($B243="","",$D243-$N243),"")</f>
        <v/>
      </c>
      <c r="I243" s="12" t="str">
        <f aca="false">IFERROR(IF(OR($B243="",$D243=0,$D243=""),"",$H243/$D243),"")</f>
        <v/>
      </c>
      <c r="J243" s="49" t="n">
        <f aca="false">$J$2</f>
        <v>0.25</v>
      </c>
      <c r="K243" s="12" t="str">
        <f aca="false">IFERROR(IF($B243="","",$E243+$J243),"")</f>
        <v/>
      </c>
      <c r="L243" s="11" t="str">
        <f aca="false">IFERROR(IF(OR($B243="",$C243=0,$C243=""),"",$I243+ROW()*0.0000001),"")</f>
        <v/>
      </c>
      <c r="M243" s="50" t="n">
        <f aca="false">$M$2</f>
        <v>0.9319</v>
      </c>
      <c r="N243" s="13" t="str">
        <f aca="false">IFERROR(IF($B243="","",$C243+$M243),"")</f>
        <v/>
      </c>
    </row>
    <row r="244" customFormat="false" ht="15" hidden="false" customHeight="true" outlineLevel="0" collapsed="false">
      <c r="A244" s="43" t="str">
        <f aca="false">IFERROR(IF(المنيو!$B244="","",المنيو!$A244),"")</f>
        <v/>
      </c>
      <c r="B244" s="43" t="n">
        <f aca="false">IFERROR(المنيو!$B244,"")</f>
        <v>0</v>
      </c>
      <c r="C244" s="13" t="str">
        <f aca="false">IFERROR(IF($B244="","",SUMIFS(الريسبي!$F$2:$F$1800,الريسبي!$A$2:$A$1800,$B244)),"")</f>
        <v/>
      </c>
      <c r="D244" s="44" t="str">
        <f aca="false">IFERROR(IF($B244="","",المنيو!$C244),"")</f>
        <v/>
      </c>
      <c r="E244" s="12" t="str">
        <f aca="false">IFERROR(IF(OR($B244="",$D244=0,$D244=""),"",$N244/$D244),"")</f>
        <v/>
      </c>
      <c r="F244" s="49" t="n">
        <f aca="false">$F$2</f>
        <v>0.375</v>
      </c>
      <c r="G244" s="13" t="str">
        <f aca="false">IFERROR(IF($B244="","",$N244/$F244),"")</f>
        <v/>
      </c>
      <c r="H244" s="13" t="str">
        <f aca="false">IFERROR(IF($B244="","",$D244-$N244),"")</f>
        <v/>
      </c>
      <c r="I244" s="12" t="str">
        <f aca="false">IFERROR(IF(OR($B244="",$D244=0,$D244=""),"",$H244/$D244),"")</f>
        <v/>
      </c>
      <c r="J244" s="49" t="n">
        <f aca="false">$J$2</f>
        <v>0.25</v>
      </c>
      <c r="K244" s="12" t="str">
        <f aca="false">IFERROR(IF($B244="","",$E244+$J244),"")</f>
        <v/>
      </c>
      <c r="L244" s="11" t="str">
        <f aca="false">IFERROR(IF(OR($B244="",$C244=0,$C244=""),"",$I244+ROW()*0.0000001),"")</f>
        <v/>
      </c>
      <c r="M244" s="50" t="n">
        <f aca="false">$M$2</f>
        <v>0.9319</v>
      </c>
      <c r="N244" s="13" t="str">
        <f aca="false">IFERROR(IF($B244="","",$C244+$M244),"")</f>
        <v/>
      </c>
    </row>
    <row r="245" customFormat="false" ht="15" hidden="false" customHeight="true" outlineLevel="0" collapsed="false">
      <c r="A245" s="43" t="str">
        <f aca="false">IFERROR(IF(المنيو!$B245="","",المنيو!$A245),"")</f>
        <v/>
      </c>
      <c r="B245" s="43" t="n">
        <f aca="false">IFERROR(المنيو!$B245,"")</f>
        <v>0</v>
      </c>
      <c r="C245" s="13" t="str">
        <f aca="false">IFERROR(IF($B245="","",SUMIFS(الريسبي!$F$2:$F$1800,الريسبي!$A$2:$A$1800,$B245)),"")</f>
        <v/>
      </c>
      <c r="D245" s="44" t="str">
        <f aca="false">IFERROR(IF($B245="","",المنيو!$C245),"")</f>
        <v/>
      </c>
      <c r="E245" s="12" t="str">
        <f aca="false">IFERROR(IF(OR($B245="",$D245=0,$D245=""),"",$N245/$D245),"")</f>
        <v/>
      </c>
      <c r="F245" s="49" t="n">
        <f aca="false">$F$2</f>
        <v>0.375</v>
      </c>
      <c r="G245" s="13" t="str">
        <f aca="false">IFERROR(IF($B245="","",$N245/$F245),"")</f>
        <v/>
      </c>
      <c r="H245" s="13" t="str">
        <f aca="false">IFERROR(IF($B245="","",$D245-$N245),"")</f>
        <v/>
      </c>
      <c r="I245" s="12" t="str">
        <f aca="false">IFERROR(IF(OR($B245="",$D245=0,$D245=""),"",$H245/$D245),"")</f>
        <v/>
      </c>
      <c r="J245" s="49" t="n">
        <f aca="false">$J$2</f>
        <v>0.25</v>
      </c>
      <c r="K245" s="12" t="str">
        <f aca="false">IFERROR(IF($B245="","",$E245+$J245),"")</f>
        <v/>
      </c>
      <c r="L245" s="11" t="str">
        <f aca="false">IFERROR(IF(OR($B245="",$C245=0,$C245=""),"",$I245+ROW()*0.0000001),"")</f>
        <v/>
      </c>
      <c r="M245" s="50" t="n">
        <f aca="false">$M$2</f>
        <v>0.9319</v>
      </c>
      <c r="N245" s="13" t="str">
        <f aca="false">IFERROR(IF($B245="","",$C245+$M245),"")</f>
        <v/>
      </c>
    </row>
    <row r="246" customFormat="false" ht="15" hidden="false" customHeight="true" outlineLevel="0" collapsed="false">
      <c r="A246" s="43" t="str">
        <f aca="false">IFERROR(IF(المنيو!$B246="","",المنيو!$A246),"")</f>
        <v/>
      </c>
      <c r="B246" s="43" t="n">
        <f aca="false">IFERROR(المنيو!$B246,"")</f>
        <v>0</v>
      </c>
      <c r="C246" s="13" t="str">
        <f aca="false">IFERROR(IF($B246="","",SUMIFS(الريسبي!$F$2:$F$1800,الريسبي!$A$2:$A$1800,$B246)),"")</f>
        <v/>
      </c>
      <c r="D246" s="44" t="str">
        <f aca="false">IFERROR(IF($B246="","",المنيو!$C246),"")</f>
        <v/>
      </c>
      <c r="E246" s="12" t="str">
        <f aca="false">IFERROR(IF(OR($B246="",$D246=0,$D246=""),"",$N246/$D246),"")</f>
        <v/>
      </c>
      <c r="F246" s="49" t="n">
        <f aca="false">$F$2</f>
        <v>0.375</v>
      </c>
      <c r="G246" s="13" t="str">
        <f aca="false">IFERROR(IF($B246="","",$N246/$F246),"")</f>
        <v/>
      </c>
      <c r="H246" s="13" t="str">
        <f aca="false">IFERROR(IF($B246="","",$D246-$N246),"")</f>
        <v/>
      </c>
      <c r="I246" s="12" t="str">
        <f aca="false">IFERROR(IF(OR($B246="",$D246=0,$D246=""),"",$H246/$D246),"")</f>
        <v/>
      </c>
      <c r="J246" s="49" t="n">
        <f aca="false">$J$2</f>
        <v>0.25</v>
      </c>
      <c r="K246" s="12" t="str">
        <f aca="false">IFERROR(IF($B246="","",$E246+$J246),"")</f>
        <v/>
      </c>
      <c r="L246" s="11" t="str">
        <f aca="false">IFERROR(IF(OR($B246="",$C246=0,$C246=""),"",$I246+ROW()*0.0000001),"")</f>
        <v/>
      </c>
      <c r="M246" s="50" t="n">
        <f aca="false">$M$2</f>
        <v>0.9319</v>
      </c>
      <c r="N246" s="13" t="str">
        <f aca="false">IFERROR(IF($B246="","",$C246+$M246),"")</f>
        <v/>
      </c>
    </row>
    <row r="247" customFormat="false" ht="15" hidden="false" customHeight="true" outlineLevel="0" collapsed="false">
      <c r="A247" s="43" t="str">
        <f aca="false">IFERROR(IF(المنيو!$B247="","",المنيو!$A247),"")</f>
        <v/>
      </c>
      <c r="B247" s="43" t="n">
        <f aca="false">IFERROR(المنيو!$B247,"")</f>
        <v>0</v>
      </c>
      <c r="C247" s="13" t="str">
        <f aca="false">IFERROR(IF($B247="","",SUMIFS(الريسبي!$F$2:$F$1800,الريسبي!$A$2:$A$1800,$B247)),"")</f>
        <v/>
      </c>
      <c r="D247" s="44" t="str">
        <f aca="false">IFERROR(IF($B247="","",المنيو!$C247),"")</f>
        <v/>
      </c>
      <c r="E247" s="12" t="str">
        <f aca="false">IFERROR(IF(OR($B247="",$D247=0,$D247=""),"",$N247/$D247),"")</f>
        <v/>
      </c>
      <c r="F247" s="49" t="n">
        <f aca="false">$F$2</f>
        <v>0.375</v>
      </c>
      <c r="G247" s="13" t="str">
        <f aca="false">IFERROR(IF($B247="","",$N247/$F247),"")</f>
        <v/>
      </c>
      <c r="H247" s="13" t="str">
        <f aca="false">IFERROR(IF($B247="","",$D247-$N247),"")</f>
        <v/>
      </c>
      <c r="I247" s="12" t="str">
        <f aca="false">IFERROR(IF(OR($B247="",$D247=0,$D247=""),"",$H247/$D247),"")</f>
        <v/>
      </c>
      <c r="J247" s="49" t="n">
        <f aca="false">$J$2</f>
        <v>0.25</v>
      </c>
      <c r="K247" s="12" t="str">
        <f aca="false">IFERROR(IF($B247="","",$E247+$J247),"")</f>
        <v/>
      </c>
      <c r="L247" s="11" t="str">
        <f aca="false">IFERROR(IF(OR($B247="",$C247=0,$C247=""),"",$I247+ROW()*0.0000001),"")</f>
        <v/>
      </c>
      <c r="M247" s="50" t="n">
        <f aca="false">$M$2</f>
        <v>0.9319</v>
      </c>
      <c r="N247" s="13" t="str">
        <f aca="false">IFERROR(IF($B247="","",$C247+$M247),"")</f>
        <v/>
      </c>
    </row>
    <row r="248" customFormat="false" ht="15" hidden="false" customHeight="true" outlineLevel="0" collapsed="false">
      <c r="A248" s="43" t="str">
        <f aca="false">IFERROR(IF(المنيو!$B248="","",المنيو!$A248),"")</f>
        <v/>
      </c>
      <c r="B248" s="43" t="n">
        <f aca="false">IFERROR(المنيو!$B248,"")</f>
        <v>0</v>
      </c>
      <c r="C248" s="13" t="str">
        <f aca="false">IFERROR(IF($B248="","",SUMIFS(الريسبي!$F$2:$F$1800,الريسبي!$A$2:$A$1800,$B248)),"")</f>
        <v/>
      </c>
      <c r="D248" s="44" t="str">
        <f aca="false">IFERROR(IF($B248="","",المنيو!$C248),"")</f>
        <v/>
      </c>
      <c r="E248" s="12" t="str">
        <f aca="false">IFERROR(IF(OR($B248="",$D248=0,$D248=""),"",$N248/$D248),"")</f>
        <v/>
      </c>
      <c r="F248" s="49" t="n">
        <f aca="false">$F$2</f>
        <v>0.375</v>
      </c>
      <c r="G248" s="13" t="str">
        <f aca="false">IFERROR(IF($B248="","",$N248/$F248),"")</f>
        <v/>
      </c>
      <c r="H248" s="13" t="str">
        <f aca="false">IFERROR(IF($B248="","",$D248-$N248),"")</f>
        <v/>
      </c>
      <c r="I248" s="12" t="str">
        <f aca="false">IFERROR(IF(OR($B248="",$D248=0,$D248=""),"",$H248/$D248),"")</f>
        <v/>
      </c>
      <c r="J248" s="49" t="n">
        <f aca="false">$J$2</f>
        <v>0.25</v>
      </c>
      <c r="K248" s="12" t="str">
        <f aca="false">IFERROR(IF($B248="","",$E248+$J248),"")</f>
        <v/>
      </c>
      <c r="L248" s="11" t="str">
        <f aca="false">IFERROR(IF(OR($B248="",$C248=0,$C248=""),"",$I248+ROW()*0.0000001),"")</f>
        <v/>
      </c>
      <c r="M248" s="50" t="n">
        <f aca="false">$M$2</f>
        <v>0.9319</v>
      </c>
      <c r="N248" s="13" t="str">
        <f aca="false">IFERROR(IF($B248="","",$C248+$M248),"")</f>
        <v/>
      </c>
    </row>
    <row r="249" customFormat="false" ht="15" hidden="false" customHeight="true" outlineLevel="0" collapsed="false">
      <c r="A249" s="43" t="str">
        <f aca="false">IFERROR(IF(المنيو!$B249="","",المنيو!$A249),"")</f>
        <v/>
      </c>
      <c r="B249" s="43" t="n">
        <f aca="false">IFERROR(المنيو!$B249,"")</f>
        <v>0</v>
      </c>
      <c r="C249" s="13" t="str">
        <f aca="false">IFERROR(IF($B249="","",SUMIFS(الريسبي!$F$2:$F$1800,الريسبي!$A$2:$A$1800,$B249)),"")</f>
        <v/>
      </c>
      <c r="D249" s="44" t="str">
        <f aca="false">IFERROR(IF($B249="","",المنيو!$C249),"")</f>
        <v/>
      </c>
      <c r="E249" s="12" t="str">
        <f aca="false">IFERROR(IF(OR($B249="",$D249=0,$D249=""),"",$N249/$D249),"")</f>
        <v/>
      </c>
      <c r="F249" s="49" t="n">
        <f aca="false">$F$2</f>
        <v>0.375</v>
      </c>
      <c r="G249" s="13" t="str">
        <f aca="false">IFERROR(IF($B249="","",$N249/$F249),"")</f>
        <v/>
      </c>
      <c r="H249" s="13" t="str">
        <f aca="false">IFERROR(IF($B249="","",$D249-$N249),"")</f>
        <v/>
      </c>
      <c r="I249" s="12" t="str">
        <f aca="false">IFERROR(IF(OR($B249="",$D249=0,$D249=""),"",$H249/$D249),"")</f>
        <v/>
      </c>
      <c r="J249" s="49" t="n">
        <f aca="false">$J$2</f>
        <v>0.25</v>
      </c>
      <c r="K249" s="12" t="str">
        <f aca="false">IFERROR(IF($B249="","",$E249+$J249),"")</f>
        <v/>
      </c>
      <c r="L249" s="11" t="str">
        <f aca="false">IFERROR(IF(OR($B249="",$C249=0,$C249=""),"",$I249+ROW()*0.0000001),"")</f>
        <v/>
      </c>
      <c r="M249" s="50" t="n">
        <f aca="false">$M$2</f>
        <v>0.9319</v>
      </c>
      <c r="N249" s="13" t="str">
        <f aca="false">IFERROR(IF($B249="","",$C249+$M249),"")</f>
        <v/>
      </c>
    </row>
    <row r="250" customFormat="false" ht="15" hidden="false" customHeight="true" outlineLevel="0" collapsed="false">
      <c r="A250" s="43" t="str">
        <f aca="false">IFERROR(IF(المنيو!$B250="","",المنيو!$A250),"")</f>
        <v/>
      </c>
      <c r="B250" s="43" t="n">
        <f aca="false">IFERROR(المنيو!$B250,"")</f>
        <v>0</v>
      </c>
      <c r="C250" s="13" t="str">
        <f aca="false">IFERROR(IF($B250="","",SUMIFS(الريسبي!$F$2:$F$1800,الريسبي!$A$2:$A$1800,$B250)),"")</f>
        <v/>
      </c>
      <c r="D250" s="44" t="str">
        <f aca="false">IFERROR(IF($B250="","",المنيو!$C250),"")</f>
        <v/>
      </c>
      <c r="E250" s="12" t="str">
        <f aca="false">IFERROR(IF(OR($B250="",$D250=0,$D250=""),"",$N250/$D250),"")</f>
        <v/>
      </c>
      <c r="F250" s="49" t="n">
        <f aca="false">$F$2</f>
        <v>0.375</v>
      </c>
      <c r="G250" s="13" t="str">
        <f aca="false">IFERROR(IF($B250="","",$N250/$F250),"")</f>
        <v/>
      </c>
      <c r="H250" s="13" t="str">
        <f aca="false">IFERROR(IF($B250="","",$D250-$N250),"")</f>
        <v/>
      </c>
      <c r="I250" s="12" t="str">
        <f aca="false">IFERROR(IF(OR($B250="",$D250=0,$D250=""),"",$H250/$D250),"")</f>
        <v/>
      </c>
      <c r="J250" s="49" t="n">
        <f aca="false">$J$2</f>
        <v>0.25</v>
      </c>
      <c r="K250" s="12" t="str">
        <f aca="false">IFERROR(IF($B250="","",$E250+$J250),"")</f>
        <v/>
      </c>
      <c r="L250" s="11" t="str">
        <f aca="false">IFERROR(IF(OR($B250="",$C250=0,$C250=""),"",$I250+ROW()*0.0000001),"")</f>
        <v/>
      </c>
      <c r="M250" s="50" t="n">
        <f aca="false">$M$2</f>
        <v>0.9319</v>
      </c>
      <c r="N250" s="13" t="str">
        <f aca="false">IFERROR(IF($B250="","",$C250+$M250),"")</f>
        <v/>
      </c>
    </row>
    <row r="251" customFormat="false" ht="15" hidden="false" customHeight="true" outlineLevel="0" collapsed="false">
      <c r="A251" s="43" t="str">
        <f aca="false">IFERROR(IF(المنيو!$B251="","",المنيو!$A251),"")</f>
        <v/>
      </c>
      <c r="B251" s="43" t="n">
        <f aca="false">IFERROR(المنيو!$B251,"")</f>
        <v>0</v>
      </c>
      <c r="C251" s="13" t="str">
        <f aca="false">IFERROR(IF($B251="","",SUMIFS(الريسبي!$F$2:$F$1800,الريسبي!$A$2:$A$1800,$B251)),"")</f>
        <v/>
      </c>
      <c r="D251" s="44" t="str">
        <f aca="false">IFERROR(IF($B251="","",المنيو!$C251),"")</f>
        <v/>
      </c>
      <c r="E251" s="12" t="str">
        <f aca="false">IFERROR(IF(OR($B251="",$D251=0,$D251=""),"",$N251/$D251),"")</f>
        <v/>
      </c>
      <c r="F251" s="49" t="n">
        <f aca="false">$F$2</f>
        <v>0.375</v>
      </c>
      <c r="G251" s="13" t="str">
        <f aca="false">IFERROR(IF($B251="","",$N251/$F251),"")</f>
        <v/>
      </c>
      <c r="H251" s="13" t="str">
        <f aca="false">IFERROR(IF($B251="","",$D251-$N251),"")</f>
        <v/>
      </c>
      <c r="I251" s="12" t="str">
        <f aca="false">IFERROR(IF(OR($B251="",$D251=0,$D251=""),"",$H251/$D251),"")</f>
        <v/>
      </c>
      <c r="J251" s="49" t="n">
        <f aca="false">$J$2</f>
        <v>0.25</v>
      </c>
      <c r="K251" s="12" t="str">
        <f aca="false">IFERROR(IF($B251="","",$E251+$J251),"")</f>
        <v/>
      </c>
      <c r="L251" s="11" t="str">
        <f aca="false">IFERROR(IF(OR($B251="",$C251=0,$C251=""),"",$I251+ROW()*0.0000001),"")</f>
        <v/>
      </c>
      <c r="M251" s="50" t="n">
        <f aca="false">$M$2</f>
        <v>0.9319</v>
      </c>
      <c r="N251" s="13" t="str">
        <f aca="false">IFERROR(IF($B251="","",$C251+$M251),"")</f>
        <v/>
      </c>
    </row>
    <row r="252" customFormat="false" ht="15" hidden="false" customHeight="true" outlineLevel="0" collapsed="false">
      <c r="A252" s="43" t="str">
        <f aca="false">IFERROR(IF(المنيو!$B252="","",المنيو!$A252),"")</f>
        <v/>
      </c>
      <c r="B252" s="43" t="n">
        <f aca="false">IFERROR(المنيو!$B252,"")</f>
        <v>0</v>
      </c>
      <c r="C252" s="13" t="str">
        <f aca="false">IFERROR(IF($B252="","",SUMIFS(الريسبي!$F$2:$F$1800,الريسبي!$A$2:$A$1800,$B252)),"")</f>
        <v/>
      </c>
      <c r="D252" s="44" t="str">
        <f aca="false">IFERROR(IF($B252="","",المنيو!$C252),"")</f>
        <v/>
      </c>
      <c r="E252" s="12" t="str">
        <f aca="false">IFERROR(IF(OR($B252="",$D252=0,$D252=""),"",$N252/$D252),"")</f>
        <v/>
      </c>
      <c r="F252" s="49" t="n">
        <f aca="false">$F$2</f>
        <v>0.375</v>
      </c>
      <c r="G252" s="13" t="str">
        <f aca="false">IFERROR(IF($B252="","",$N252/$F252),"")</f>
        <v/>
      </c>
      <c r="H252" s="13" t="str">
        <f aca="false">IFERROR(IF($B252="","",$D252-$N252),"")</f>
        <v/>
      </c>
      <c r="I252" s="12" t="str">
        <f aca="false">IFERROR(IF(OR($B252="",$D252=0,$D252=""),"",$H252/$D252),"")</f>
        <v/>
      </c>
      <c r="J252" s="49" t="n">
        <f aca="false">$J$2</f>
        <v>0.25</v>
      </c>
      <c r="K252" s="12" t="str">
        <f aca="false">IFERROR(IF($B252="","",$E252+$J252),"")</f>
        <v/>
      </c>
      <c r="L252" s="11" t="str">
        <f aca="false">IFERROR(IF(OR($B252="",$C252=0,$C252=""),"",$I252+ROW()*0.0000001),"")</f>
        <v/>
      </c>
      <c r="M252" s="50" t="n">
        <f aca="false">$M$2</f>
        <v>0.9319</v>
      </c>
      <c r="N252" s="13" t="str">
        <f aca="false">IFERROR(IF($B252="","",$C252+$M252),"")</f>
        <v/>
      </c>
    </row>
    <row r="253" customFormat="false" ht="15" hidden="false" customHeight="true" outlineLevel="0" collapsed="false">
      <c r="A253" s="43" t="str">
        <f aca="false">IFERROR(IF(المنيو!$B253="","",المنيو!$A253),"")</f>
        <v/>
      </c>
      <c r="B253" s="43" t="n">
        <f aca="false">IFERROR(المنيو!$B253,"")</f>
        <v>0</v>
      </c>
      <c r="C253" s="13" t="str">
        <f aca="false">IFERROR(IF($B253="","",SUMIFS(الريسبي!$F$2:$F$1800,الريسبي!$A$2:$A$1800,$B253)),"")</f>
        <v/>
      </c>
      <c r="D253" s="44" t="str">
        <f aca="false">IFERROR(IF($B253="","",المنيو!$C253),"")</f>
        <v/>
      </c>
      <c r="E253" s="12" t="str">
        <f aca="false">IFERROR(IF(OR($B253="",$D253=0,$D253=""),"",$N253/$D253),"")</f>
        <v/>
      </c>
      <c r="F253" s="49" t="n">
        <f aca="false">$F$2</f>
        <v>0.375</v>
      </c>
      <c r="G253" s="13" t="str">
        <f aca="false">IFERROR(IF($B253="","",$N253/$F253),"")</f>
        <v/>
      </c>
      <c r="H253" s="13" t="str">
        <f aca="false">IFERROR(IF($B253="","",$D253-$N253),"")</f>
        <v/>
      </c>
      <c r="I253" s="12" t="str">
        <f aca="false">IFERROR(IF(OR($B253="",$D253=0,$D253=""),"",$H253/$D253),"")</f>
        <v/>
      </c>
      <c r="J253" s="49" t="n">
        <f aca="false">$J$2</f>
        <v>0.25</v>
      </c>
      <c r="K253" s="12" t="str">
        <f aca="false">IFERROR(IF($B253="","",$E253+$J253),"")</f>
        <v/>
      </c>
      <c r="L253" s="11" t="str">
        <f aca="false">IFERROR(IF(OR($B253="",$C253=0,$C253=""),"",$I253+ROW()*0.0000001),"")</f>
        <v/>
      </c>
      <c r="M253" s="50" t="n">
        <f aca="false">$M$2</f>
        <v>0.9319</v>
      </c>
      <c r="N253" s="13" t="str">
        <f aca="false">IFERROR(IF($B253="","",$C253+$M253),"")</f>
        <v/>
      </c>
    </row>
    <row r="254" customFormat="false" ht="15" hidden="false" customHeight="true" outlineLevel="0" collapsed="false">
      <c r="A254" s="43" t="str">
        <f aca="false">IFERROR(IF(المنيو!$B254="","",المنيو!$A254),"")</f>
        <v/>
      </c>
      <c r="B254" s="43" t="n">
        <f aca="false">IFERROR(المنيو!$B254,"")</f>
        <v>0</v>
      </c>
      <c r="C254" s="13" t="str">
        <f aca="false">IFERROR(IF($B254="","",SUMIFS(الريسبي!$F$2:$F$1800,الريسبي!$A$2:$A$1800,$B254)),"")</f>
        <v/>
      </c>
      <c r="D254" s="44" t="str">
        <f aca="false">IFERROR(IF($B254="","",المنيو!$C254),"")</f>
        <v/>
      </c>
      <c r="E254" s="12" t="str">
        <f aca="false">IFERROR(IF(OR($B254="",$D254=0,$D254=""),"",$N254/$D254),"")</f>
        <v/>
      </c>
      <c r="F254" s="49" t="n">
        <f aca="false">$F$2</f>
        <v>0.375</v>
      </c>
      <c r="G254" s="13" t="str">
        <f aca="false">IFERROR(IF($B254="","",$N254/$F254),"")</f>
        <v/>
      </c>
      <c r="H254" s="13" t="str">
        <f aca="false">IFERROR(IF($B254="","",$D254-$N254),"")</f>
        <v/>
      </c>
      <c r="I254" s="12" t="str">
        <f aca="false">IFERROR(IF(OR($B254="",$D254=0,$D254=""),"",$H254/$D254),"")</f>
        <v/>
      </c>
      <c r="J254" s="49" t="n">
        <f aca="false">$J$2</f>
        <v>0.25</v>
      </c>
      <c r="K254" s="12" t="str">
        <f aca="false">IFERROR(IF($B254="","",$E254+$J254),"")</f>
        <v/>
      </c>
      <c r="L254" s="11" t="str">
        <f aca="false">IFERROR(IF(OR($B254="",$C254=0,$C254=""),"",$I254+ROW()*0.0000001),"")</f>
        <v/>
      </c>
      <c r="M254" s="50" t="n">
        <f aca="false">$M$2</f>
        <v>0.9319</v>
      </c>
      <c r="N254" s="13" t="str">
        <f aca="false">IFERROR(IF($B254="","",$C254+$M254),"")</f>
        <v/>
      </c>
    </row>
    <row r="255" customFormat="false" ht="15" hidden="false" customHeight="true" outlineLevel="0" collapsed="false">
      <c r="A255" s="43" t="str">
        <f aca="false">IFERROR(IF(المنيو!$B255="","",المنيو!$A255),"")</f>
        <v/>
      </c>
      <c r="B255" s="43" t="n">
        <f aca="false">IFERROR(المنيو!$B255,"")</f>
        <v>0</v>
      </c>
      <c r="C255" s="13" t="str">
        <f aca="false">IFERROR(IF($B255="","",SUMIFS(الريسبي!$F$2:$F$1800,الريسبي!$A$2:$A$1800,$B255)),"")</f>
        <v/>
      </c>
      <c r="D255" s="44" t="str">
        <f aca="false">IFERROR(IF($B255="","",المنيو!$C255),"")</f>
        <v/>
      </c>
      <c r="E255" s="12" t="str">
        <f aca="false">IFERROR(IF(OR($B255="",$D255=0,$D255=""),"",$N255/$D255),"")</f>
        <v/>
      </c>
      <c r="F255" s="49" t="n">
        <f aca="false">$F$2</f>
        <v>0.375</v>
      </c>
      <c r="G255" s="13" t="str">
        <f aca="false">IFERROR(IF($B255="","",$N255/$F255),"")</f>
        <v/>
      </c>
      <c r="H255" s="13" t="str">
        <f aca="false">IFERROR(IF($B255="","",$D255-$N255),"")</f>
        <v/>
      </c>
      <c r="I255" s="12" t="str">
        <f aca="false">IFERROR(IF(OR($B255="",$D255=0,$D255=""),"",$H255/$D255),"")</f>
        <v/>
      </c>
      <c r="J255" s="49" t="n">
        <f aca="false">$J$2</f>
        <v>0.25</v>
      </c>
      <c r="K255" s="12" t="str">
        <f aca="false">IFERROR(IF($B255="","",$E255+$J255),"")</f>
        <v/>
      </c>
      <c r="L255" s="11" t="str">
        <f aca="false">IFERROR(IF(OR($B255="",$C255=0,$C255=""),"",$I255+ROW()*0.0000001),"")</f>
        <v/>
      </c>
      <c r="M255" s="50" t="n">
        <f aca="false">$M$2</f>
        <v>0.9319</v>
      </c>
      <c r="N255" s="13" t="str">
        <f aca="false">IFERROR(IF($B255="","",$C255+$M255),"")</f>
        <v/>
      </c>
    </row>
    <row r="256" customFormat="false" ht="15" hidden="false" customHeight="true" outlineLevel="0" collapsed="false">
      <c r="A256" s="43" t="str">
        <f aca="false">IFERROR(IF(المنيو!$B256="","",المنيو!$A256),"")</f>
        <v/>
      </c>
      <c r="B256" s="43" t="n">
        <f aca="false">IFERROR(المنيو!$B256,"")</f>
        <v>0</v>
      </c>
      <c r="C256" s="13" t="str">
        <f aca="false">IFERROR(IF($B256="","",SUMIFS(الريسبي!$F$2:$F$1800,الريسبي!$A$2:$A$1800,$B256)),"")</f>
        <v/>
      </c>
      <c r="D256" s="44" t="str">
        <f aca="false">IFERROR(IF($B256="","",المنيو!$C256),"")</f>
        <v/>
      </c>
      <c r="E256" s="12" t="str">
        <f aca="false">IFERROR(IF(OR($B256="",$D256=0,$D256=""),"",$N256/$D256),"")</f>
        <v/>
      </c>
      <c r="F256" s="49" t="n">
        <f aca="false">$F$2</f>
        <v>0.375</v>
      </c>
      <c r="G256" s="13" t="str">
        <f aca="false">IFERROR(IF($B256="","",$N256/$F256),"")</f>
        <v/>
      </c>
      <c r="H256" s="13" t="str">
        <f aca="false">IFERROR(IF($B256="","",$D256-$N256),"")</f>
        <v/>
      </c>
      <c r="I256" s="12" t="str">
        <f aca="false">IFERROR(IF(OR($B256="",$D256=0,$D256=""),"",$H256/$D256),"")</f>
        <v/>
      </c>
      <c r="J256" s="49" t="n">
        <f aca="false">$J$2</f>
        <v>0.25</v>
      </c>
      <c r="K256" s="12" t="str">
        <f aca="false">IFERROR(IF($B256="","",$E256+$J256),"")</f>
        <v/>
      </c>
      <c r="L256" s="11" t="str">
        <f aca="false">IFERROR(IF(OR($B256="",$C256=0,$C256=""),"",$I256+ROW()*0.0000001),"")</f>
        <v/>
      </c>
      <c r="M256" s="50" t="n">
        <f aca="false">$M$2</f>
        <v>0.9319</v>
      </c>
      <c r="N256" s="13" t="str">
        <f aca="false">IFERROR(IF($B256="","",$C256+$M256),"")</f>
        <v/>
      </c>
    </row>
    <row r="257" customFormat="false" ht="15" hidden="false" customHeight="true" outlineLevel="0" collapsed="false">
      <c r="A257" s="43" t="str">
        <f aca="false">IFERROR(IF(المنيو!$B257="","",المنيو!$A257),"")</f>
        <v/>
      </c>
      <c r="B257" s="43" t="n">
        <f aca="false">IFERROR(المنيو!$B257,"")</f>
        <v>0</v>
      </c>
      <c r="C257" s="13" t="str">
        <f aca="false">IFERROR(IF($B257="","",SUMIFS(الريسبي!$F$2:$F$1800,الريسبي!$A$2:$A$1800,$B257)),"")</f>
        <v/>
      </c>
      <c r="D257" s="44" t="str">
        <f aca="false">IFERROR(IF($B257="","",المنيو!$C257),"")</f>
        <v/>
      </c>
      <c r="E257" s="12" t="str">
        <f aca="false">IFERROR(IF(OR($B257="",$D257=0,$D257=""),"",$N257/$D257),"")</f>
        <v/>
      </c>
      <c r="F257" s="49" t="n">
        <f aca="false">$F$2</f>
        <v>0.375</v>
      </c>
      <c r="G257" s="13" t="str">
        <f aca="false">IFERROR(IF($B257="","",$N257/$F257),"")</f>
        <v/>
      </c>
      <c r="H257" s="13" t="str">
        <f aca="false">IFERROR(IF($B257="","",$D257-$N257),"")</f>
        <v/>
      </c>
      <c r="I257" s="12" t="str">
        <f aca="false">IFERROR(IF(OR($B257="",$D257=0,$D257=""),"",$H257/$D257),"")</f>
        <v/>
      </c>
      <c r="J257" s="49" t="n">
        <f aca="false">$J$2</f>
        <v>0.25</v>
      </c>
      <c r="K257" s="12" t="str">
        <f aca="false">IFERROR(IF($B257="","",$E257+$J257),"")</f>
        <v/>
      </c>
      <c r="L257" s="11" t="str">
        <f aca="false">IFERROR(IF(OR($B257="",$C257=0,$C257=""),"",$I257+ROW()*0.0000001),"")</f>
        <v/>
      </c>
      <c r="M257" s="50" t="n">
        <f aca="false">$M$2</f>
        <v>0.9319</v>
      </c>
      <c r="N257" s="13" t="str">
        <f aca="false">IFERROR(IF($B257="","",$C257+$M257),"")</f>
        <v/>
      </c>
    </row>
    <row r="258" customFormat="false" ht="15" hidden="false" customHeight="true" outlineLevel="0" collapsed="false">
      <c r="A258" s="43" t="str">
        <f aca="false">IFERROR(IF(المنيو!$B258="","",المنيو!$A258),"")</f>
        <v/>
      </c>
      <c r="B258" s="43" t="n">
        <f aca="false">IFERROR(المنيو!$B258,"")</f>
        <v>0</v>
      </c>
      <c r="C258" s="13" t="str">
        <f aca="false">IFERROR(IF($B258="","",SUMIFS(الريسبي!$F$2:$F$1800,الريسبي!$A$2:$A$1800,$B258)),"")</f>
        <v/>
      </c>
      <c r="D258" s="44" t="str">
        <f aca="false">IFERROR(IF($B258="","",المنيو!$C258),"")</f>
        <v/>
      </c>
      <c r="E258" s="12" t="str">
        <f aca="false">IFERROR(IF(OR($B258="",$D258=0,$D258=""),"",$N258/$D258),"")</f>
        <v/>
      </c>
      <c r="F258" s="49" t="n">
        <f aca="false">$F$2</f>
        <v>0.375</v>
      </c>
      <c r="G258" s="13" t="str">
        <f aca="false">IFERROR(IF($B258="","",$N258/$F258),"")</f>
        <v/>
      </c>
      <c r="H258" s="13" t="str">
        <f aca="false">IFERROR(IF($B258="","",$D258-$N258),"")</f>
        <v/>
      </c>
      <c r="I258" s="12" t="str">
        <f aca="false">IFERROR(IF(OR($B258="",$D258=0,$D258=""),"",$H258/$D258),"")</f>
        <v/>
      </c>
      <c r="J258" s="49" t="n">
        <f aca="false">$J$2</f>
        <v>0.25</v>
      </c>
      <c r="K258" s="12" t="str">
        <f aca="false">IFERROR(IF($B258="","",$E258+$J258),"")</f>
        <v/>
      </c>
      <c r="L258" s="11" t="str">
        <f aca="false">IFERROR(IF(OR($B258="",$C258=0,$C258=""),"",$I258+ROW()*0.0000001),"")</f>
        <v/>
      </c>
      <c r="M258" s="50" t="n">
        <f aca="false">$M$2</f>
        <v>0.9319</v>
      </c>
      <c r="N258" s="13" t="str">
        <f aca="false">IFERROR(IF($B258="","",$C258+$M258),"")</f>
        <v/>
      </c>
    </row>
    <row r="259" customFormat="false" ht="15" hidden="false" customHeight="true" outlineLevel="0" collapsed="false">
      <c r="A259" s="43" t="str">
        <f aca="false">IFERROR(IF(المنيو!$B259="","",المنيو!$A259),"")</f>
        <v/>
      </c>
      <c r="B259" s="43" t="n">
        <f aca="false">IFERROR(المنيو!$B259,"")</f>
        <v>0</v>
      </c>
      <c r="C259" s="13" t="str">
        <f aca="false">IFERROR(IF($B259="","",SUMIFS(الريسبي!$F$2:$F$1800,الريسبي!$A$2:$A$1800,$B259)),"")</f>
        <v/>
      </c>
      <c r="D259" s="44" t="str">
        <f aca="false">IFERROR(IF($B259="","",المنيو!$C259),"")</f>
        <v/>
      </c>
      <c r="E259" s="12" t="str">
        <f aca="false">IFERROR(IF(OR($B259="",$D259=0,$D259=""),"",$N259/$D259),"")</f>
        <v/>
      </c>
      <c r="F259" s="49" t="n">
        <f aca="false">$F$2</f>
        <v>0.375</v>
      </c>
      <c r="G259" s="13" t="str">
        <f aca="false">IFERROR(IF($B259="","",$N259/$F259),"")</f>
        <v/>
      </c>
      <c r="H259" s="13" t="str">
        <f aca="false">IFERROR(IF($B259="","",$D259-$N259),"")</f>
        <v/>
      </c>
      <c r="I259" s="12" t="str">
        <f aca="false">IFERROR(IF(OR($B259="",$D259=0,$D259=""),"",$H259/$D259),"")</f>
        <v/>
      </c>
      <c r="J259" s="49" t="n">
        <f aca="false">$J$2</f>
        <v>0.25</v>
      </c>
      <c r="K259" s="12" t="str">
        <f aca="false">IFERROR(IF($B259="","",$E259+$J259),"")</f>
        <v/>
      </c>
      <c r="L259" s="11" t="str">
        <f aca="false">IFERROR(IF(OR($B259="",$C259=0,$C259=""),"",$I259+ROW()*0.0000001),"")</f>
        <v/>
      </c>
      <c r="M259" s="50" t="n">
        <f aca="false">$M$2</f>
        <v>0.9319</v>
      </c>
      <c r="N259" s="13" t="str">
        <f aca="false">IFERROR(IF($B259="","",$C259+$M259),"")</f>
        <v/>
      </c>
    </row>
    <row r="260" customFormat="false" ht="15" hidden="false" customHeight="true" outlineLevel="0" collapsed="false">
      <c r="A260" s="43" t="str">
        <f aca="false">IFERROR(IF(المنيو!$B260="","",المنيو!$A260),"")</f>
        <v/>
      </c>
      <c r="B260" s="43" t="n">
        <f aca="false">IFERROR(المنيو!$B260,"")</f>
        <v>0</v>
      </c>
      <c r="C260" s="13" t="str">
        <f aca="false">IFERROR(IF($B260="","",SUMIFS(الريسبي!$F$2:$F$1800,الريسبي!$A$2:$A$1800,$B260)),"")</f>
        <v/>
      </c>
      <c r="D260" s="44" t="str">
        <f aca="false">IFERROR(IF($B260="","",المنيو!$C260),"")</f>
        <v/>
      </c>
      <c r="E260" s="12" t="str">
        <f aca="false">IFERROR(IF(OR($B260="",$D260=0,$D260=""),"",$N260/$D260),"")</f>
        <v/>
      </c>
      <c r="F260" s="49" t="n">
        <f aca="false">$F$2</f>
        <v>0.375</v>
      </c>
      <c r="G260" s="13" t="str">
        <f aca="false">IFERROR(IF($B260="","",$N260/$F260),"")</f>
        <v/>
      </c>
      <c r="H260" s="13" t="str">
        <f aca="false">IFERROR(IF($B260="","",$D260-$N260),"")</f>
        <v/>
      </c>
      <c r="I260" s="12" t="str">
        <f aca="false">IFERROR(IF(OR($B260="",$D260=0,$D260=""),"",$H260/$D260),"")</f>
        <v/>
      </c>
      <c r="J260" s="49" t="n">
        <f aca="false">$J$2</f>
        <v>0.25</v>
      </c>
      <c r="K260" s="12" t="str">
        <f aca="false">IFERROR(IF($B260="","",$E260+$J260),"")</f>
        <v/>
      </c>
      <c r="L260" s="11" t="str">
        <f aca="false">IFERROR(IF(OR($B260="",$C260=0,$C260=""),"",$I260+ROW()*0.0000001),"")</f>
        <v/>
      </c>
      <c r="M260" s="50" t="n">
        <f aca="false">$M$2</f>
        <v>0.9319</v>
      </c>
      <c r="N260" s="13" t="str">
        <f aca="false">IFERROR(IF($B260="","",$C260+$M260),"")</f>
        <v/>
      </c>
    </row>
    <row r="261" customFormat="false" ht="15" hidden="false" customHeight="true" outlineLevel="0" collapsed="false">
      <c r="A261" s="43" t="str">
        <f aca="false">IFERROR(IF(المنيو!$B261="","",المنيو!$A261),"")</f>
        <v/>
      </c>
      <c r="B261" s="43" t="n">
        <f aca="false">IFERROR(المنيو!$B261,"")</f>
        <v>0</v>
      </c>
      <c r="C261" s="13" t="str">
        <f aca="false">IFERROR(IF($B261="","",SUMIFS(الريسبي!$F$2:$F$1800,الريسبي!$A$2:$A$1800,$B261)),"")</f>
        <v/>
      </c>
      <c r="D261" s="44" t="str">
        <f aca="false">IFERROR(IF($B261="","",المنيو!$C261),"")</f>
        <v/>
      </c>
      <c r="E261" s="12" t="str">
        <f aca="false">IFERROR(IF(OR($B261="",$D261=0,$D261=""),"",$N261/$D261),"")</f>
        <v/>
      </c>
      <c r="F261" s="49" t="n">
        <f aca="false">$F$2</f>
        <v>0.375</v>
      </c>
      <c r="G261" s="13" t="str">
        <f aca="false">IFERROR(IF($B261="","",$N261/$F261),"")</f>
        <v/>
      </c>
      <c r="H261" s="13" t="str">
        <f aca="false">IFERROR(IF($B261="","",$D261-$N261),"")</f>
        <v/>
      </c>
      <c r="I261" s="12" t="str">
        <f aca="false">IFERROR(IF(OR($B261="",$D261=0,$D261=""),"",$H261/$D261),"")</f>
        <v/>
      </c>
      <c r="J261" s="49" t="n">
        <f aca="false">$J$2</f>
        <v>0.25</v>
      </c>
      <c r="K261" s="12" t="str">
        <f aca="false">IFERROR(IF($B261="","",$E261+$J261),"")</f>
        <v/>
      </c>
      <c r="L261" s="11" t="str">
        <f aca="false">IFERROR(IF(OR($B261="",$C261=0,$C261=""),"",$I261+ROW()*0.0000001),"")</f>
        <v/>
      </c>
      <c r="M261" s="50" t="n">
        <f aca="false">$M$2</f>
        <v>0.9319</v>
      </c>
      <c r="N261" s="13" t="str">
        <f aca="false">IFERROR(IF($B261="","",$C261+$M261),"")</f>
        <v/>
      </c>
    </row>
    <row r="262" customFormat="false" ht="15" hidden="false" customHeight="true" outlineLevel="0" collapsed="false">
      <c r="A262" s="43" t="str">
        <f aca="false">IFERROR(IF(المنيو!$B262="","",المنيو!$A262),"")</f>
        <v/>
      </c>
      <c r="B262" s="43" t="n">
        <f aca="false">IFERROR(المنيو!$B262,"")</f>
        <v>0</v>
      </c>
      <c r="C262" s="13" t="str">
        <f aca="false">IFERROR(IF($B262="","",SUMIFS(الريسبي!$F$2:$F$1800,الريسبي!$A$2:$A$1800,$B262)),"")</f>
        <v/>
      </c>
      <c r="D262" s="44" t="str">
        <f aca="false">IFERROR(IF($B262="","",المنيو!$C262),"")</f>
        <v/>
      </c>
      <c r="E262" s="12" t="str">
        <f aca="false">IFERROR(IF(OR($B262="",$D262=0,$D262=""),"",$N262/$D262),"")</f>
        <v/>
      </c>
      <c r="F262" s="49" t="n">
        <f aca="false">$F$2</f>
        <v>0.375</v>
      </c>
      <c r="G262" s="13" t="str">
        <f aca="false">IFERROR(IF($B262="","",$N262/$F262),"")</f>
        <v/>
      </c>
      <c r="H262" s="13" t="str">
        <f aca="false">IFERROR(IF($B262="","",$D262-$N262),"")</f>
        <v/>
      </c>
      <c r="I262" s="12" t="str">
        <f aca="false">IFERROR(IF(OR($B262="",$D262=0,$D262=""),"",$H262/$D262),"")</f>
        <v/>
      </c>
      <c r="J262" s="49" t="n">
        <f aca="false">$J$2</f>
        <v>0.25</v>
      </c>
      <c r="K262" s="12" t="str">
        <f aca="false">IFERROR(IF($B262="","",$E262+$J262),"")</f>
        <v/>
      </c>
      <c r="L262" s="11" t="str">
        <f aca="false">IFERROR(IF(OR($B262="",$C262=0,$C262=""),"",$I262+ROW()*0.0000001),"")</f>
        <v/>
      </c>
      <c r="M262" s="50" t="n">
        <f aca="false">$M$2</f>
        <v>0.9319</v>
      </c>
      <c r="N262" s="13" t="str">
        <f aca="false">IFERROR(IF($B262="","",$C262+$M262),"")</f>
        <v/>
      </c>
    </row>
    <row r="263" customFormat="false" ht="15" hidden="false" customHeight="true" outlineLevel="0" collapsed="false">
      <c r="A263" s="43" t="str">
        <f aca="false">IFERROR(IF(المنيو!$B263="","",المنيو!$A263),"")</f>
        <v/>
      </c>
      <c r="B263" s="43" t="n">
        <f aca="false">IFERROR(المنيو!$B263,"")</f>
        <v>0</v>
      </c>
      <c r="C263" s="13" t="str">
        <f aca="false">IFERROR(IF($B263="","",SUMIFS(الريسبي!$F$2:$F$1800,الريسبي!$A$2:$A$1800,$B263)),"")</f>
        <v/>
      </c>
      <c r="D263" s="44" t="str">
        <f aca="false">IFERROR(IF($B263="","",المنيو!$C263),"")</f>
        <v/>
      </c>
      <c r="E263" s="12" t="str">
        <f aca="false">IFERROR(IF(OR($B263="",$D263=0,$D263=""),"",$N263/$D263),"")</f>
        <v/>
      </c>
      <c r="F263" s="49" t="n">
        <f aca="false">$F$2</f>
        <v>0.375</v>
      </c>
      <c r="G263" s="13" t="str">
        <f aca="false">IFERROR(IF($B263="","",$N263/$F263),"")</f>
        <v/>
      </c>
      <c r="H263" s="13" t="str">
        <f aca="false">IFERROR(IF($B263="","",$D263-$N263),"")</f>
        <v/>
      </c>
      <c r="I263" s="12" t="str">
        <f aca="false">IFERROR(IF(OR($B263="",$D263=0,$D263=""),"",$H263/$D263),"")</f>
        <v/>
      </c>
      <c r="J263" s="49" t="n">
        <f aca="false">$J$2</f>
        <v>0.25</v>
      </c>
      <c r="K263" s="12" t="str">
        <f aca="false">IFERROR(IF($B263="","",$E263+$J263),"")</f>
        <v/>
      </c>
      <c r="L263" s="11" t="str">
        <f aca="false">IFERROR(IF(OR($B263="",$C263=0,$C263=""),"",$I263+ROW()*0.0000001),"")</f>
        <v/>
      </c>
      <c r="M263" s="50" t="n">
        <f aca="false">$M$2</f>
        <v>0.9319</v>
      </c>
      <c r="N263" s="13" t="str">
        <f aca="false">IFERROR(IF($B263="","",$C263+$M263),"")</f>
        <v/>
      </c>
    </row>
    <row r="264" customFormat="false" ht="15" hidden="false" customHeight="true" outlineLevel="0" collapsed="false">
      <c r="A264" s="43" t="str">
        <f aca="false">IFERROR(IF(المنيو!$B264="","",المنيو!$A264),"")</f>
        <v/>
      </c>
      <c r="B264" s="43" t="n">
        <f aca="false">IFERROR(المنيو!$B264,"")</f>
        <v>0</v>
      </c>
      <c r="C264" s="13" t="str">
        <f aca="false">IFERROR(IF($B264="","",SUMIFS(الريسبي!$F$2:$F$1800,الريسبي!$A$2:$A$1800,$B264)),"")</f>
        <v/>
      </c>
      <c r="D264" s="44" t="str">
        <f aca="false">IFERROR(IF($B264="","",المنيو!$C264),"")</f>
        <v/>
      </c>
      <c r="E264" s="12" t="str">
        <f aca="false">IFERROR(IF(OR($B264="",$D264=0,$D264=""),"",$N264/$D264),"")</f>
        <v/>
      </c>
      <c r="F264" s="49" t="n">
        <f aca="false">$F$2</f>
        <v>0.375</v>
      </c>
      <c r="G264" s="13" t="str">
        <f aca="false">IFERROR(IF($B264="","",$N264/$F264),"")</f>
        <v/>
      </c>
      <c r="H264" s="13" t="str">
        <f aca="false">IFERROR(IF($B264="","",$D264-$N264),"")</f>
        <v/>
      </c>
      <c r="I264" s="12" t="str">
        <f aca="false">IFERROR(IF(OR($B264="",$D264=0,$D264=""),"",$H264/$D264),"")</f>
        <v/>
      </c>
      <c r="J264" s="49" t="n">
        <f aca="false">$J$2</f>
        <v>0.25</v>
      </c>
      <c r="K264" s="12" t="str">
        <f aca="false">IFERROR(IF($B264="","",$E264+$J264),"")</f>
        <v/>
      </c>
      <c r="L264" s="11" t="str">
        <f aca="false">IFERROR(IF(OR($B264="",$C264=0,$C264=""),"",$I264+ROW()*0.0000001),"")</f>
        <v/>
      </c>
      <c r="M264" s="50" t="n">
        <f aca="false">$M$2</f>
        <v>0.9319</v>
      </c>
      <c r="N264" s="13" t="str">
        <f aca="false">IFERROR(IF($B264="","",$C264+$M264),"")</f>
        <v/>
      </c>
    </row>
    <row r="265" customFormat="false" ht="15" hidden="false" customHeight="true" outlineLevel="0" collapsed="false">
      <c r="A265" s="43" t="str">
        <f aca="false">IFERROR(IF(المنيو!$B265="","",المنيو!$A265),"")</f>
        <v/>
      </c>
      <c r="B265" s="43" t="n">
        <f aca="false">IFERROR(المنيو!$B265,"")</f>
        <v>0</v>
      </c>
      <c r="C265" s="13" t="str">
        <f aca="false">IFERROR(IF($B265="","",SUMIFS(الريسبي!$F$2:$F$1800,الريسبي!$A$2:$A$1800,$B265)),"")</f>
        <v/>
      </c>
      <c r="D265" s="44" t="str">
        <f aca="false">IFERROR(IF($B265="","",المنيو!$C265),"")</f>
        <v/>
      </c>
      <c r="E265" s="12" t="str">
        <f aca="false">IFERROR(IF(OR($B265="",$D265=0,$D265=""),"",$N265/$D265),"")</f>
        <v/>
      </c>
      <c r="F265" s="49" t="n">
        <f aca="false">$F$2</f>
        <v>0.375</v>
      </c>
      <c r="G265" s="13" t="str">
        <f aca="false">IFERROR(IF($B265="","",$N265/$F265),"")</f>
        <v/>
      </c>
      <c r="H265" s="13" t="str">
        <f aca="false">IFERROR(IF($B265="","",$D265-$N265),"")</f>
        <v/>
      </c>
      <c r="I265" s="12" t="str">
        <f aca="false">IFERROR(IF(OR($B265="",$D265=0,$D265=""),"",$H265/$D265),"")</f>
        <v/>
      </c>
      <c r="J265" s="49" t="n">
        <f aca="false">$J$2</f>
        <v>0.25</v>
      </c>
      <c r="K265" s="12" t="str">
        <f aca="false">IFERROR(IF($B265="","",$E265+$J265),"")</f>
        <v/>
      </c>
      <c r="L265" s="11" t="str">
        <f aca="false">IFERROR(IF(OR($B265="",$C265=0,$C265=""),"",$I265+ROW()*0.0000001),"")</f>
        <v/>
      </c>
      <c r="M265" s="50" t="n">
        <f aca="false">$M$2</f>
        <v>0.9319</v>
      </c>
      <c r="N265" s="13" t="str">
        <f aca="false">IFERROR(IF($B265="","",$C265+$M265),"")</f>
        <v/>
      </c>
    </row>
    <row r="266" customFormat="false" ht="15" hidden="false" customHeight="true" outlineLevel="0" collapsed="false">
      <c r="A266" s="43" t="str">
        <f aca="false">IFERROR(IF(المنيو!$B266="","",المنيو!$A266),"")</f>
        <v/>
      </c>
      <c r="B266" s="43" t="n">
        <f aca="false">IFERROR(المنيو!$B266,"")</f>
        <v>0</v>
      </c>
      <c r="C266" s="13" t="str">
        <f aca="false">IFERROR(IF($B266="","",SUMIFS(الريسبي!$F$2:$F$1800,الريسبي!$A$2:$A$1800,$B266)),"")</f>
        <v/>
      </c>
      <c r="D266" s="44" t="str">
        <f aca="false">IFERROR(IF($B266="","",المنيو!$C266),"")</f>
        <v/>
      </c>
      <c r="E266" s="12" t="str">
        <f aca="false">IFERROR(IF(OR($B266="",$D266=0,$D266=""),"",$N266/$D266),"")</f>
        <v/>
      </c>
      <c r="F266" s="49" t="n">
        <f aca="false">$F$2</f>
        <v>0.375</v>
      </c>
      <c r="G266" s="13" t="str">
        <f aca="false">IFERROR(IF($B266="","",$N266/$F266),"")</f>
        <v/>
      </c>
      <c r="H266" s="13" t="str">
        <f aca="false">IFERROR(IF($B266="","",$D266-$N266),"")</f>
        <v/>
      </c>
      <c r="I266" s="12" t="str">
        <f aca="false">IFERROR(IF(OR($B266="",$D266=0,$D266=""),"",$H266/$D266),"")</f>
        <v/>
      </c>
      <c r="J266" s="49" t="n">
        <f aca="false">$J$2</f>
        <v>0.25</v>
      </c>
      <c r="K266" s="12" t="str">
        <f aca="false">IFERROR(IF($B266="","",$E266+$J266),"")</f>
        <v/>
      </c>
      <c r="L266" s="11" t="str">
        <f aca="false">IFERROR(IF(OR($B266="",$C266=0,$C266=""),"",$I266+ROW()*0.0000001),"")</f>
        <v/>
      </c>
      <c r="M266" s="50" t="n">
        <f aca="false">$M$2</f>
        <v>0.9319</v>
      </c>
      <c r="N266" s="13" t="str">
        <f aca="false">IFERROR(IF($B266="","",$C266+$M266),"")</f>
        <v/>
      </c>
    </row>
    <row r="267" customFormat="false" ht="15" hidden="false" customHeight="true" outlineLevel="0" collapsed="false">
      <c r="A267" s="43" t="str">
        <f aca="false">IFERROR(IF(المنيو!$B267="","",المنيو!$A267),"")</f>
        <v/>
      </c>
      <c r="B267" s="43" t="n">
        <f aca="false">IFERROR(المنيو!$B267,"")</f>
        <v>0</v>
      </c>
      <c r="C267" s="13" t="str">
        <f aca="false">IFERROR(IF($B267="","",SUMIFS(الريسبي!$F$2:$F$1800,الريسبي!$A$2:$A$1800,$B267)),"")</f>
        <v/>
      </c>
      <c r="D267" s="44" t="str">
        <f aca="false">IFERROR(IF($B267="","",المنيو!$C267),"")</f>
        <v/>
      </c>
      <c r="E267" s="12" t="str">
        <f aca="false">IFERROR(IF(OR($B267="",$D267=0,$D267=""),"",$N267/$D267),"")</f>
        <v/>
      </c>
      <c r="F267" s="49" t="n">
        <f aca="false">$F$2</f>
        <v>0.375</v>
      </c>
      <c r="G267" s="13" t="str">
        <f aca="false">IFERROR(IF($B267="","",$N267/$F267),"")</f>
        <v/>
      </c>
      <c r="H267" s="13" t="str">
        <f aca="false">IFERROR(IF($B267="","",$D267-$N267),"")</f>
        <v/>
      </c>
      <c r="I267" s="12" t="str">
        <f aca="false">IFERROR(IF(OR($B267="",$D267=0,$D267=""),"",$H267/$D267),"")</f>
        <v/>
      </c>
      <c r="J267" s="49" t="n">
        <f aca="false">$J$2</f>
        <v>0.25</v>
      </c>
      <c r="K267" s="12" t="str">
        <f aca="false">IFERROR(IF($B267="","",$E267+$J267),"")</f>
        <v/>
      </c>
      <c r="L267" s="11" t="str">
        <f aca="false">IFERROR(IF(OR($B267="",$C267=0,$C267=""),"",$I267+ROW()*0.0000001),"")</f>
        <v/>
      </c>
      <c r="M267" s="50" t="n">
        <f aca="false">$M$2</f>
        <v>0.9319</v>
      </c>
      <c r="N267" s="13" t="str">
        <f aca="false">IFERROR(IF($B267="","",$C267+$M267),"")</f>
        <v/>
      </c>
    </row>
    <row r="268" customFormat="false" ht="15" hidden="false" customHeight="true" outlineLevel="0" collapsed="false">
      <c r="A268" s="43" t="str">
        <f aca="false">IFERROR(IF(المنيو!$B268="","",المنيو!$A268),"")</f>
        <v/>
      </c>
      <c r="B268" s="43" t="n">
        <f aca="false">IFERROR(المنيو!$B268,"")</f>
        <v>0</v>
      </c>
      <c r="C268" s="13" t="str">
        <f aca="false">IFERROR(IF($B268="","",SUMIFS(الريسبي!$F$2:$F$1800,الريسبي!$A$2:$A$1800,$B268)),"")</f>
        <v/>
      </c>
      <c r="D268" s="44" t="str">
        <f aca="false">IFERROR(IF($B268="","",المنيو!$C268),"")</f>
        <v/>
      </c>
      <c r="E268" s="12" t="str">
        <f aca="false">IFERROR(IF(OR($B268="",$D268=0,$D268=""),"",$N268/$D268),"")</f>
        <v/>
      </c>
      <c r="F268" s="49" t="n">
        <f aca="false">$F$2</f>
        <v>0.375</v>
      </c>
      <c r="G268" s="13" t="str">
        <f aca="false">IFERROR(IF($B268="","",$N268/$F268),"")</f>
        <v/>
      </c>
      <c r="H268" s="13" t="str">
        <f aca="false">IFERROR(IF($B268="","",$D268-$N268),"")</f>
        <v/>
      </c>
      <c r="I268" s="12" t="str">
        <f aca="false">IFERROR(IF(OR($B268="",$D268=0,$D268=""),"",$H268/$D268),"")</f>
        <v/>
      </c>
      <c r="J268" s="49" t="n">
        <f aca="false">$J$2</f>
        <v>0.25</v>
      </c>
      <c r="K268" s="12" t="str">
        <f aca="false">IFERROR(IF($B268="","",$E268+$J268),"")</f>
        <v/>
      </c>
      <c r="L268" s="11" t="str">
        <f aca="false">IFERROR(IF(OR($B268="",$C268=0,$C268=""),"",$I268+ROW()*0.0000001),"")</f>
        <v/>
      </c>
      <c r="M268" s="50" t="n">
        <f aca="false">$M$2</f>
        <v>0.9319</v>
      </c>
      <c r="N268" s="13" t="str">
        <f aca="false">IFERROR(IF($B268="","",$C268+$M268),"")</f>
        <v/>
      </c>
    </row>
    <row r="269" customFormat="false" ht="15" hidden="false" customHeight="true" outlineLevel="0" collapsed="false">
      <c r="A269" s="43" t="str">
        <f aca="false">IFERROR(IF(المنيو!$B269="","",المنيو!$A269),"")</f>
        <v/>
      </c>
      <c r="B269" s="43" t="n">
        <f aca="false">IFERROR(المنيو!$B269,"")</f>
        <v>0</v>
      </c>
      <c r="C269" s="13" t="str">
        <f aca="false">IFERROR(IF($B269="","",SUMIFS(الريسبي!$F$2:$F$1800,الريسبي!$A$2:$A$1800,$B269)),"")</f>
        <v/>
      </c>
      <c r="D269" s="44" t="str">
        <f aca="false">IFERROR(IF($B269="","",المنيو!$C269),"")</f>
        <v/>
      </c>
      <c r="E269" s="12" t="str">
        <f aca="false">IFERROR(IF(OR($B269="",$D269=0,$D269=""),"",$N269/$D269),"")</f>
        <v/>
      </c>
      <c r="F269" s="49" t="n">
        <f aca="false">$F$2</f>
        <v>0.375</v>
      </c>
      <c r="G269" s="13" t="str">
        <f aca="false">IFERROR(IF($B269="","",$N269/$F269),"")</f>
        <v/>
      </c>
      <c r="H269" s="13" t="str">
        <f aca="false">IFERROR(IF($B269="","",$D269-$N269),"")</f>
        <v/>
      </c>
      <c r="I269" s="12" t="str">
        <f aca="false">IFERROR(IF(OR($B269="",$D269=0,$D269=""),"",$H269/$D269),"")</f>
        <v/>
      </c>
      <c r="J269" s="49" t="n">
        <f aca="false">$J$2</f>
        <v>0.25</v>
      </c>
      <c r="K269" s="12" t="str">
        <f aca="false">IFERROR(IF($B269="","",$E269+$J269),"")</f>
        <v/>
      </c>
      <c r="L269" s="11" t="str">
        <f aca="false">IFERROR(IF(OR($B269="",$C269=0,$C269=""),"",$I269+ROW()*0.0000001),"")</f>
        <v/>
      </c>
      <c r="M269" s="50" t="n">
        <f aca="false">$M$2</f>
        <v>0.9319</v>
      </c>
      <c r="N269" s="13" t="str">
        <f aca="false">IFERROR(IF($B269="","",$C269+$M269),"")</f>
        <v/>
      </c>
    </row>
    <row r="270" customFormat="false" ht="15" hidden="false" customHeight="true" outlineLevel="0" collapsed="false">
      <c r="A270" s="43" t="str">
        <f aca="false">IFERROR(IF(المنيو!$B270="","",المنيو!$A270),"")</f>
        <v/>
      </c>
      <c r="B270" s="43" t="n">
        <f aca="false">IFERROR(المنيو!$B270,"")</f>
        <v>0</v>
      </c>
      <c r="C270" s="13" t="str">
        <f aca="false">IFERROR(IF($B270="","",SUMIFS(الريسبي!$F$2:$F$1800,الريسبي!$A$2:$A$1800,$B270)),"")</f>
        <v/>
      </c>
      <c r="D270" s="44" t="str">
        <f aca="false">IFERROR(IF($B270="","",المنيو!$C270),"")</f>
        <v/>
      </c>
      <c r="E270" s="12" t="str">
        <f aca="false">IFERROR(IF(OR($B270="",$D270=0,$D270=""),"",$N270/$D270),"")</f>
        <v/>
      </c>
      <c r="F270" s="49" t="n">
        <f aca="false">$F$2</f>
        <v>0.375</v>
      </c>
      <c r="G270" s="13" t="str">
        <f aca="false">IFERROR(IF($B270="","",$N270/$F270),"")</f>
        <v/>
      </c>
      <c r="H270" s="13" t="str">
        <f aca="false">IFERROR(IF($B270="","",$D270-$N270),"")</f>
        <v/>
      </c>
      <c r="I270" s="12" t="str">
        <f aca="false">IFERROR(IF(OR($B270="",$D270=0,$D270=""),"",$H270/$D270),"")</f>
        <v/>
      </c>
      <c r="J270" s="49" t="n">
        <f aca="false">$J$2</f>
        <v>0.25</v>
      </c>
      <c r="K270" s="12" t="str">
        <f aca="false">IFERROR(IF($B270="","",$E270+$J270),"")</f>
        <v/>
      </c>
      <c r="L270" s="11" t="str">
        <f aca="false">IFERROR(IF(OR($B270="",$C270=0,$C270=""),"",$I270+ROW()*0.0000001),"")</f>
        <v/>
      </c>
      <c r="M270" s="50" t="n">
        <f aca="false">$M$2</f>
        <v>0.9319</v>
      </c>
      <c r="N270" s="13" t="str">
        <f aca="false">IFERROR(IF($B270="","",$C270+$M270),"")</f>
        <v/>
      </c>
    </row>
    <row r="271" customFormat="false" ht="15" hidden="false" customHeight="true" outlineLevel="0" collapsed="false">
      <c r="A271" s="43" t="str">
        <f aca="false">IFERROR(IF(المنيو!$B271="","",المنيو!$A271),"")</f>
        <v/>
      </c>
      <c r="B271" s="43" t="n">
        <f aca="false">IFERROR(المنيو!$B271,"")</f>
        <v>0</v>
      </c>
      <c r="C271" s="13" t="str">
        <f aca="false">IFERROR(IF($B271="","",SUMIFS(الريسبي!$F$2:$F$1800,الريسبي!$A$2:$A$1800,$B271)),"")</f>
        <v/>
      </c>
      <c r="D271" s="44" t="str">
        <f aca="false">IFERROR(IF($B271="","",المنيو!$C271),"")</f>
        <v/>
      </c>
      <c r="E271" s="12" t="str">
        <f aca="false">IFERROR(IF(OR($B271="",$D271=0,$D271=""),"",$N271/$D271),"")</f>
        <v/>
      </c>
      <c r="F271" s="49" t="n">
        <f aca="false">$F$2</f>
        <v>0.375</v>
      </c>
      <c r="G271" s="13" t="str">
        <f aca="false">IFERROR(IF($B271="","",$N271/$F271),"")</f>
        <v/>
      </c>
      <c r="H271" s="13" t="str">
        <f aca="false">IFERROR(IF($B271="","",$D271-$N271),"")</f>
        <v/>
      </c>
      <c r="I271" s="12" t="str">
        <f aca="false">IFERROR(IF(OR($B271="",$D271=0,$D271=""),"",$H271/$D271),"")</f>
        <v/>
      </c>
      <c r="J271" s="49" t="n">
        <f aca="false">$J$2</f>
        <v>0.25</v>
      </c>
      <c r="K271" s="12" t="str">
        <f aca="false">IFERROR(IF($B271="","",$E271+$J271),"")</f>
        <v/>
      </c>
      <c r="L271" s="11" t="str">
        <f aca="false">IFERROR(IF(OR($B271="",$C271=0,$C271=""),"",$I271+ROW()*0.0000001),"")</f>
        <v/>
      </c>
      <c r="M271" s="50" t="n">
        <f aca="false">$M$2</f>
        <v>0.9319</v>
      </c>
      <c r="N271" s="13" t="str">
        <f aca="false">IFERROR(IF($B271="","",$C271+$M271),"")</f>
        <v/>
      </c>
    </row>
    <row r="272" customFormat="false" ht="15" hidden="false" customHeight="true" outlineLevel="0" collapsed="false">
      <c r="A272" s="43" t="str">
        <f aca="false">IFERROR(IF(المنيو!$B272="","",المنيو!$A272),"")</f>
        <v/>
      </c>
      <c r="B272" s="43" t="n">
        <f aca="false">IFERROR(المنيو!$B272,"")</f>
        <v>0</v>
      </c>
      <c r="C272" s="13" t="str">
        <f aca="false">IFERROR(IF($B272="","",SUMIFS(الريسبي!$F$2:$F$1800,الريسبي!$A$2:$A$1800,$B272)),"")</f>
        <v/>
      </c>
      <c r="D272" s="44" t="str">
        <f aca="false">IFERROR(IF($B272="","",المنيو!$C272),"")</f>
        <v/>
      </c>
      <c r="E272" s="12" t="str">
        <f aca="false">IFERROR(IF(OR($B272="",$D272=0,$D272=""),"",$N272/$D272),"")</f>
        <v/>
      </c>
      <c r="F272" s="49" t="n">
        <f aca="false">$F$2</f>
        <v>0.375</v>
      </c>
      <c r="G272" s="13" t="str">
        <f aca="false">IFERROR(IF($B272="","",$N272/$F272),"")</f>
        <v/>
      </c>
      <c r="H272" s="13" t="str">
        <f aca="false">IFERROR(IF($B272="","",$D272-$N272),"")</f>
        <v/>
      </c>
      <c r="I272" s="12" t="str">
        <f aca="false">IFERROR(IF(OR($B272="",$D272=0,$D272=""),"",$H272/$D272),"")</f>
        <v/>
      </c>
      <c r="J272" s="49" t="n">
        <f aca="false">$J$2</f>
        <v>0.25</v>
      </c>
      <c r="K272" s="12" t="str">
        <f aca="false">IFERROR(IF($B272="","",$E272+$J272),"")</f>
        <v/>
      </c>
      <c r="L272" s="11" t="str">
        <f aca="false">IFERROR(IF(OR($B272="",$C272=0,$C272=""),"",$I272+ROW()*0.0000001),"")</f>
        <v/>
      </c>
      <c r="M272" s="50" t="n">
        <f aca="false">$M$2</f>
        <v>0.9319</v>
      </c>
      <c r="N272" s="13" t="str">
        <f aca="false">IFERROR(IF($B272="","",$C272+$M272),"")</f>
        <v/>
      </c>
    </row>
    <row r="273" customFormat="false" ht="15" hidden="false" customHeight="true" outlineLevel="0" collapsed="false">
      <c r="A273" s="43" t="str">
        <f aca="false">IFERROR(IF(المنيو!$B273="","",المنيو!$A273),"")</f>
        <v/>
      </c>
      <c r="B273" s="43" t="n">
        <f aca="false">IFERROR(المنيو!$B273,"")</f>
        <v>0</v>
      </c>
      <c r="C273" s="13" t="str">
        <f aca="false">IFERROR(IF($B273="","",SUMIFS(الريسبي!$F$2:$F$1800,الريسبي!$A$2:$A$1800,$B273)),"")</f>
        <v/>
      </c>
      <c r="D273" s="44" t="str">
        <f aca="false">IFERROR(IF($B273="","",المنيو!$C273),"")</f>
        <v/>
      </c>
      <c r="E273" s="12" t="str">
        <f aca="false">IFERROR(IF(OR($B273="",$D273=0,$D273=""),"",$N273/$D273),"")</f>
        <v/>
      </c>
      <c r="F273" s="49" t="n">
        <f aca="false">$F$2</f>
        <v>0.375</v>
      </c>
      <c r="G273" s="13" t="str">
        <f aca="false">IFERROR(IF($B273="","",$N273/$F273),"")</f>
        <v/>
      </c>
      <c r="H273" s="13" t="str">
        <f aca="false">IFERROR(IF($B273="","",$D273-$N273),"")</f>
        <v/>
      </c>
      <c r="I273" s="12" t="str">
        <f aca="false">IFERROR(IF(OR($B273="",$D273=0,$D273=""),"",$H273/$D273),"")</f>
        <v/>
      </c>
      <c r="J273" s="49" t="n">
        <f aca="false">$J$2</f>
        <v>0.25</v>
      </c>
      <c r="K273" s="12" t="str">
        <f aca="false">IFERROR(IF($B273="","",$E273+$J273),"")</f>
        <v/>
      </c>
      <c r="L273" s="11" t="str">
        <f aca="false">IFERROR(IF(OR($B273="",$C273=0,$C273=""),"",$I273+ROW()*0.0000001),"")</f>
        <v/>
      </c>
      <c r="M273" s="50" t="n">
        <f aca="false">$M$2</f>
        <v>0.9319</v>
      </c>
      <c r="N273" s="13" t="str">
        <f aca="false">IFERROR(IF($B273="","",$C273+$M273),"")</f>
        <v/>
      </c>
    </row>
    <row r="274" customFormat="false" ht="15" hidden="false" customHeight="true" outlineLevel="0" collapsed="false">
      <c r="A274" s="43" t="str">
        <f aca="false">IFERROR(IF(المنيو!$B274="","",المنيو!$A274),"")</f>
        <v/>
      </c>
      <c r="B274" s="43" t="n">
        <f aca="false">IFERROR(المنيو!$B274,"")</f>
        <v>0</v>
      </c>
      <c r="C274" s="13" t="str">
        <f aca="false">IFERROR(IF($B274="","",SUMIFS(الريسبي!$F$2:$F$1800,الريسبي!$A$2:$A$1800,$B274)),"")</f>
        <v/>
      </c>
      <c r="D274" s="44" t="str">
        <f aca="false">IFERROR(IF($B274="","",المنيو!$C274),"")</f>
        <v/>
      </c>
      <c r="E274" s="12" t="str">
        <f aca="false">IFERROR(IF(OR($B274="",$D274=0,$D274=""),"",$N274/$D274),"")</f>
        <v/>
      </c>
      <c r="F274" s="49" t="n">
        <f aca="false">$F$2</f>
        <v>0.375</v>
      </c>
      <c r="G274" s="13" t="str">
        <f aca="false">IFERROR(IF($B274="","",$N274/$F274),"")</f>
        <v/>
      </c>
      <c r="H274" s="13" t="str">
        <f aca="false">IFERROR(IF($B274="","",$D274-$N274),"")</f>
        <v/>
      </c>
      <c r="I274" s="12" t="str">
        <f aca="false">IFERROR(IF(OR($B274="",$D274=0,$D274=""),"",$H274/$D274),"")</f>
        <v/>
      </c>
      <c r="J274" s="49" t="n">
        <f aca="false">$J$2</f>
        <v>0.25</v>
      </c>
      <c r="K274" s="12" t="str">
        <f aca="false">IFERROR(IF($B274="","",$E274+$J274),"")</f>
        <v/>
      </c>
      <c r="L274" s="11" t="str">
        <f aca="false">IFERROR(IF(OR($B274="",$C274=0,$C274=""),"",$I274+ROW()*0.0000001),"")</f>
        <v/>
      </c>
      <c r="M274" s="50" t="n">
        <f aca="false">$M$2</f>
        <v>0.9319</v>
      </c>
      <c r="N274" s="13" t="str">
        <f aca="false">IFERROR(IF($B274="","",$C274+$M274),"")</f>
        <v/>
      </c>
    </row>
    <row r="275" customFormat="false" ht="15" hidden="false" customHeight="true" outlineLevel="0" collapsed="false">
      <c r="A275" s="43" t="str">
        <f aca="false">IFERROR(IF(المنيو!$B275="","",المنيو!$A275),"")</f>
        <v/>
      </c>
      <c r="B275" s="43" t="n">
        <f aca="false">IFERROR(المنيو!$B275,"")</f>
        <v>0</v>
      </c>
      <c r="C275" s="13" t="str">
        <f aca="false">IFERROR(IF($B275="","",SUMIFS(الريسبي!$F$2:$F$1800,الريسبي!$A$2:$A$1800,$B275)),"")</f>
        <v/>
      </c>
      <c r="D275" s="44" t="str">
        <f aca="false">IFERROR(IF($B275="","",المنيو!$C275),"")</f>
        <v/>
      </c>
      <c r="E275" s="12" t="str">
        <f aca="false">IFERROR(IF(OR($B275="",$D275=0,$D275=""),"",$N275/$D275),"")</f>
        <v/>
      </c>
      <c r="F275" s="49" t="n">
        <f aca="false">$F$2</f>
        <v>0.375</v>
      </c>
      <c r="G275" s="13" t="str">
        <f aca="false">IFERROR(IF($B275="","",$N275/$F275),"")</f>
        <v/>
      </c>
      <c r="H275" s="13" t="str">
        <f aca="false">IFERROR(IF($B275="","",$D275-$N275),"")</f>
        <v/>
      </c>
      <c r="I275" s="12" t="str">
        <f aca="false">IFERROR(IF(OR($B275="",$D275=0,$D275=""),"",$H275/$D275),"")</f>
        <v/>
      </c>
      <c r="J275" s="49" t="n">
        <f aca="false">$J$2</f>
        <v>0.25</v>
      </c>
      <c r="K275" s="12" t="str">
        <f aca="false">IFERROR(IF($B275="","",$E275+$J275),"")</f>
        <v/>
      </c>
      <c r="L275" s="11" t="str">
        <f aca="false">IFERROR(IF(OR($B275="",$C275=0,$C275=""),"",$I275+ROW()*0.0000001),"")</f>
        <v/>
      </c>
      <c r="M275" s="50" t="n">
        <f aca="false">$M$2</f>
        <v>0.9319</v>
      </c>
      <c r="N275" s="13" t="str">
        <f aca="false">IFERROR(IF($B275="","",$C275+$M275),"")</f>
        <v/>
      </c>
    </row>
    <row r="276" customFormat="false" ht="15" hidden="false" customHeight="true" outlineLevel="0" collapsed="false">
      <c r="A276" s="43" t="str">
        <f aca="false">IFERROR(IF(المنيو!$B276="","",المنيو!$A276),"")</f>
        <v/>
      </c>
      <c r="B276" s="43" t="n">
        <f aca="false">IFERROR(المنيو!$B276,"")</f>
        <v>0</v>
      </c>
      <c r="C276" s="13" t="str">
        <f aca="false">IFERROR(IF($B276="","",SUMIFS(الريسبي!$F$2:$F$1800,الريسبي!$A$2:$A$1800,$B276)),"")</f>
        <v/>
      </c>
      <c r="D276" s="44" t="str">
        <f aca="false">IFERROR(IF($B276="","",المنيو!$C276),"")</f>
        <v/>
      </c>
      <c r="E276" s="12" t="str">
        <f aca="false">IFERROR(IF(OR($B276="",$D276=0,$D276=""),"",$N276/$D276),"")</f>
        <v/>
      </c>
      <c r="F276" s="49" t="n">
        <f aca="false">$F$2</f>
        <v>0.375</v>
      </c>
      <c r="G276" s="13" t="str">
        <f aca="false">IFERROR(IF($B276="","",$N276/$F276),"")</f>
        <v/>
      </c>
      <c r="H276" s="13" t="str">
        <f aca="false">IFERROR(IF($B276="","",$D276-$N276),"")</f>
        <v/>
      </c>
      <c r="I276" s="12" t="str">
        <f aca="false">IFERROR(IF(OR($B276="",$D276=0,$D276=""),"",$H276/$D276),"")</f>
        <v/>
      </c>
      <c r="J276" s="49" t="n">
        <f aca="false">$J$2</f>
        <v>0.25</v>
      </c>
      <c r="K276" s="12" t="str">
        <f aca="false">IFERROR(IF($B276="","",$E276+$J276),"")</f>
        <v/>
      </c>
      <c r="L276" s="11" t="str">
        <f aca="false">IFERROR(IF(OR($B276="",$C276=0,$C276=""),"",$I276+ROW()*0.0000001),"")</f>
        <v/>
      </c>
      <c r="M276" s="50" t="n">
        <f aca="false">$M$2</f>
        <v>0.9319</v>
      </c>
      <c r="N276" s="13" t="str">
        <f aca="false">IFERROR(IF($B276="","",$C276+$M276),"")</f>
        <v/>
      </c>
    </row>
    <row r="277" customFormat="false" ht="15" hidden="false" customHeight="true" outlineLevel="0" collapsed="false">
      <c r="A277" s="43" t="str">
        <f aca="false">IFERROR(IF(المنيو!$B277="","",المنيو!$A277),"")</f>
        <v/>
      </c>
      <c r="B277" s="43" t="n">
        <f aca="false">IFERROR(المنيو!$B277,"")</f>
        <v>0</v>
      </c>
      <c r="C277" s="13" t="str">
        <f aca="false">IFERROR(IF($B277="","",SUMIFS(الريسبي!$F$2:$F$1800,الريسبي!$A$2:$A$1800,$B277)),"")</f>
        <v/>
      </c>
      <c r="D277" s="44" t="str">
        <f aca="false">IFERROR(IF($B277="","",المنيو!$C277),"")</f>
        <v/>
      </c>
      <c r="E277" s="12" t="str">
        <f aca="false">IFERROR(IF(OR($B277="",$D277=0,$D277=""),"",$N277/$D277),"")</f>
        <v/>
      </c>
      <c r="F277" s="49" t="n">
        <f aca="false">$F$2</f>
        <v>0.375</v>
      </c>
      <c r="G277" s="13" t="str">
        <f aca="false">IFERROR(IF($B277="","",$N277/$F277),"")</f>
        <v/>
      </c>
      <c r="H277" s="13" t="str">
        <f aca="false">IFERROR(IF($B277="","",$D277-$N277),"")</f>
        <v/>
      </c>
      <c r="I277" s="12" t="str">
        <f aca="false">IFERROR(IF(OR($B277="",$D277=0,$D277=""),"",$H277/$D277),"")</f>
        <v/>
      </c>
      <c r="J277" s="49" t="n">
        <f aca="false">$J$2</f>
        <v>0.25</v>
      </c>
      <c r="K277" s="12" t="str">
        <f aca="false">IFERROR(IF($B277="","",$E277+$J277),"")</f>
        <v/>
      </c>
      <c r="L277" s="11" t="str">
        <f aca="false">IFERROR(IF(OR($B277="",$C277=0,$C277=""),"",$I277+ROW()*0.0000001),"")</f>
        <v/>
      </c>
      <c r="M277" s="50" t="n">
        <f aca="false">$M$2</f>
        <v>0.9319</v>
      </c>
      <c r="N277" s="13" t="str">
        <f aca="false">IFERROR(IF($B277="","",$C277+$M277),"")</f>
        <v/>
      </c>
    </row>
    <row r="278" customFormat="false" ht="15" hidden="false" customHeight="true" outlineLevel="0" collapsed="false">
      <c r="A278" s="43" t="str">
        <f aca="false">IFERROR(IF(المنيو!$B278="","",المنيو!$A278),"")</f>
        <v/>
      </c>
      <c r="B278" s="43" t="n">
        <f aca="false">IFERROR(المنيو!$B278,"")</f>
        <v>0</v>
      </c>
      <c r="C278" s="13" t="str">
        <f aca="false">IFERROR(IF($B278="","",SUMIFS(الريسبي!$F$2:$F$1800,الريسبي!$A$2:$A$1800,$B278)),"")</f>
        <v/>
      </c>
      <c r="D278" s="44" t="str">
        <f aca="false">IFERROR(IF($B278="","",المنيو!$C278),"")</f>
        <v/>
      </c>
      <c r="E278" s="12" t="str">
        <f aca="false">IFERROR(IF(OR($B278="",$D278=0,$D278=""),"",$N278/$D278),"")</f>
        <v/>
      </c>
      <c r="F278" s="49" t="n">
        <f aca="false">$F$2</f>
        <v>0.375</v>
      </c>
      <c r="G278" s="13" t="str">
        <f aca="false">IFERROR(IF($B278="","",$N278/$F278),"")</f>
        <v/>
      </c>
      <c r="H278" s="13" t="str">
        <f aca="false">IFERROR(IF($B278="","",$D278-$N278),"")</f>
        <v/>
      </c>
      <c r="I278" s="12" t="str">
        <f aca="false">IFERROR(IF(OR($B278="",$D278=0,$D278=""),"",$H278/$D278),"")</f>
        <v/>
      </c>
      <c r="J278" s="49" t="n">
        <f aca="false">$J$2</f>
        <v>0.25</v>
      </c>
      <c r="K278" s="12" t="str">
        <f aca="false">IFERROR(IF($B278="","",$E278+$J278),"")</f>
        <v/>
      </c>
      <c r="L278" s="11" t="str">
        <f aca="false">IFERROR(IF(OR($B278="",$C278=0,$C278=""),"",$I278+ROW()*0.0000001),"")</f>
        <v/>
      </c>
      <c r="M278" s="50" t="n">
        <f aca="false">$M$2</f>
        <v>0.9319</v>
      </c>
      <c r="N278" s="13" t="str">
        <f aca="false">IFERROR(IF($B278="","",$C278+$M278),"")</f>
        <v/>
      </c>
    </row>
    <row r="279" customFormat="false" ht="15" hidden="false" customHeight="true" outlineLevel="0" collapsed="false">
      <c r="A279" s="43" t="str">
        <f aca="false">IFERROR(IF(المنيو!$B279="","",المنيو!$A279),"")</f>
        <v/>
      </c>
      <c r="B279" s="43" t="n">
        <f aca="false">IFERROR(المنيو!$B279,"")</f>
        <v>0</v>
      </c>
      <c r="C279" s="13" t="str">
        <f aca="false">IFERROR(IF($B279="","",SUMIFS(الريسبي!$F$2:$F$1800,الريسبي!$A$2:$A$1800,$B279)),"")</f>
        <v/>
      </c>
      <c r="D279" s="44" t="str">
        <f aca="false">IFERROR(IF($B279="","",المنيو!$C279),"")</f>
        <v/>
      </c>
      <c r="E279" s="12" t="str">
        <f aca="false">IFERROR(IF(OR($B279="",$D279=0,$D279=""),"",$N279/$D279),"")</f>
        <v/>
      </c>
      <c r="F279" s="49" t="n">
        <f aca="false">$F$2</f>
        <v>0.375</v>
      </c>
      <c r="G279" s="13" t="str">
        <f aca="false">IFERROR(IF($B279="","",$N279/$F279),"")</f>
        <v/>
      </c>
      <c r="H279" s="13" t="str">
        <f aca="false">IFERROR(IF($B279="","",$D279-$N279),"")</f>
        <v/>
      </c>
      <c r="I279" s="12" t="str">
        <f aca="false">IFERROR(IF(OR($B279="",$D279=0,$D279=""),"",$H279/$D279),"")</f>
        <v/>
      </c>
      <c r="J279" s="49" t="n">
        <f aca="false">$J$2</f>
        <v>0.25</v>
      </c>
      <c r="K279" s="12" t="str">
        <f aca="false">IFERROR(IF($B279="","",$E279+$J279),"")</f>
        <v/>
      </c>
      <c r="L279" s="11" t="str">
        <f aca="false">IFERROR(IF(OR($B279="",$C279=0,$C279=""),"",$I279+ROW()*0.0000001),"")</f>
        <v/>
      </c>
      <c r="M279" s="50" t="n">
        <f aca="false">$M$2</f>
        <v>0.9319</v>
      </c>
      <c r="N279" s="13" t="str">
        <f aca="false">IFERROR(IF($B279="","",$C279+$M279),"")</f>
        <v/>
      </c>
    </row>
    <row r="280" customFormat="false" ht="15" hidden="false" customHeight="true" outlineLevel="0" collapsed="false">
      <c r="A280" s="43" t="str">
        <f aca="false">IFERROR(IF(المنيو!$B280="","",المنيو!$A280),"")</f>
        <v/>
      </c>
      <c r="B280" s="43" t="n">
        <f aca="false">IFERROR(المنيو!$B280,"")</f>
        <v>0</v>
      </c>
      <c r="C280" s="13" t="str">
        <f aca="false">IFERROR(IF($B280="","",SUMIFS(الريسبي!$F$2:$F$1800,الريسبي!$A$2:$A$1800,$B280)),"")</f>
        <v/>
      </c>
      <c r="D280" s="44" t="str">
        <f aca="false">IFERROR(IF($B280="","",المنيو!$C280),"")</f>
        <v/>
      </c>
      <c r="E280" s="12" t="str">
        <f aca="false">IFERROR(IF(OR($B280="",$D280=0,$D280=""),"",$N280/$D280),"")</f>
        <v/>
      </c>
      <c r="F280" s="49" t="n">
        <f aca="false">$F$2</f>
        <v>0.375</v>
      </c>
      <c r="G280" s="13" t="str">
        <f aca="false">IFERROR(IF($B280="","",$N280/$F280),"")</f>
        <v/>
      </c>
      <c r="H280" s="13" t="str">
        <f aca="false">IFERROR(IF($B280="","",$D280-$N280),"")</f>
        <v/>
      </c>
      <c r="I280" s="12" t="str">
        <f aca="false">IFERROR(IF(OR($B280="",$D280=0,$D280=""),"",$H280/$D280),"")</f>
        <v/>
      </c>
      <c r="J280" s="49" t="n">
        <f aca="false">$J$2</f>
        <v>0.25</v>
      </c>
      <c r="K280" s="12" t="str">
        <f aca="false">IFERROR(IF($B280="","",$E280+$J280),"")</f>
        <v/>
      </c>
      <c r="L280" s="11" t="str">
        <f aca="false">IFERROR(IF(OR($B280="",$C280=0,$C280=""),"",$I280+ROW()*0.0000001),"")</f>
        <v/>
      </c>
      <c r="M280" s="50" t="n">
        <f aca="false">$M$2</f>
        <v>0.9319</v>
      </c>
      <c r="N280" s="13" t="str">
        <f aca="false">IFERROR(IF($B280="","",$C280+$M280),"")</f>
        <v/>
      </c>
    </row>
    <row r="281" customFormat="false" ht="15" hidden="false" customHeight="true" outlineLevel="0" collapsed="false">
      <c r="A281" s="43" t="str">
        <f aca="false">IFERROR(IF(المنيو!$B281="","",المنيو!$A281),"")</f>
        <v/>
      </c>
      <c r="B281" s="43" t="n">
        <f aca="false">IFERROR(المنيو!$B281,"")</f>
        <v>0</v>
      </c>
      <c r="C281" s="13" t="str">
        <f aca="false">IFERROR(IF($B281="","",SUMIFS(الريسبي!$F$2:$F$1800,الريسبي!$A$2:$A$1800,$B281)),"")</f>
        <v/>
      </c>
      <c r="D281" s="44" t="str">
        <f aca="false">IFERROR(IF($B281="","",المنيو!$C281),"")</f>
        <v/>
      </c>
      <c r="E281" s="12" t="str">
        <f aca="false">IFERROR(IF(OR($B281="",$D281=0,$D281=""),"",$N281/$D281),"")</f>
        <v/>
      </c>
      <c r="F281" s="49" t="n">
        <f aca="false">$F$2</f>
        <v>0.375</v>
      </c>
      <c r="G281" s="13" t="str">
        <f aca="false">IFERROR(IF($B281="","",$N281/$F281),"")</f>
        <v/>
      </c>
      <c r="H281" s="13" t="str">
        <f aca="false">IFERROR(IF($B281="","",$D281-$N281),"")</f>
        <v/>
      </c>
      <c r="I281" s="12" t="str">
        <f aca="false">IFERROR(IF(OR($B281="",$D281=0,$D281=""),"",$H281/$D281),"")</f>
        <v/>
      </c>
      <c r="J281" s="49" t="n">
        <f aca="false">$J$2</f>
        <v>0.25</v>
      </c>
      <c r="K281" s="12" t="str">
        <f aca="false">IFERROR(IF($B281="","",$E281+$J281),"")</f>
        <v/>
      </c>
      <c r="L281" s="11" t="str">
        <f aca="false">IFERROR(IF(OR($B281="",$C281=0,$C281=""),"",$I281+ROW()*0.0000001),"")</f>
        <v/>
      </c>
      <c r="M281" s="50" t="n">
        <f aca="false">$M$2</f>
        <v>0.9319</v>
      </c>
      <c r="N281" s="13" t="str">
        <f aca="false">IFERROR(IF($B281="","",$C281+$M281),"")</f>
        <v/>
      </c>
    </row>
    <row r="282" customFormat="false" ht="15" hidden="false" customHeight="true" outlineLevel="0" collapsed="false">
      <c r="A282" s="43" t="str">
        <f aca="false">IFERROR(IF(المنيو!$B282="","",المنيو!$A282),"")</f>
        <v/>
      </c>
      <c r="B282" s="43" t="n">
        <f aca="false">IFERROR(المنيو!$B282,"")</f>
        <v>0</v>
      </c>
      <c r="C282" s="13" t="str">
        <f aca="false">IFERROR(IF($B282="","",SUMIFS(الريسبي!$F$2:$F$1800,الريسبي!$A$2:$A$1800,$B282)),"")</f>
        <v/>
      </c>
      <c r="D282" s="44" t="str">
        <f aca="false">IFERROR(IF($B282="","",المنيو!$C282),"")</f>
        <v/>
      </c>
      <c r="E282" s="12" t="str">
        <f aca="false">IFERROR(IF(OR($B282="",$D282=0,$D282=""),"",$N282/$D282),"")</f>
        <v/>
      </c>
      <c r="F282" s="49" t="n">
        <f aca="false">$F$2</f>
        <v>0.375</v>
      </c>
      <c r="G282" s="13" t="str">
        <f aca="false">IFERROR(IF($B282="","",$N282/$F282),"")</f>
        <v/>
      </c>
      <c r="H282" s="13" t="str">
        <f aca="false">IFERROR(IF($B282="","",$D282-$N282),"")</f>
        <v/>
      </c>
      <c r="I282" s="12" t="str">
        <f aca="false">IFERROR(IF(OR($B282="",$D282=0,$D282=""),"",$H282/$D282),"")</f>
        <v/>
      </c>
      <c r="J282" s="49" t="n">
        <f aca="false">$J$2</f>
        <v>0.25</v>
      </c>
      <c r="K282" s="12" t="str">
        <f aca="false">IFERROR(IF($B282="","",$E282+$J282),"")</f>
        <v/>
      </c>
      <c r="L282" s="11" t="str">
        <f aca="false">IFERROR(IF(OR($B282="",$C282=0,$C282=""),"",$I282+ROW()*0.0000001),"")</f>
        <v/>
      </c>
      <c r="M282" s="50" t="n">
        <f aca="false">$M$2</f>
        <v>0.9319</v>
      </c>
      <c r="N282" s="13" t="str">
        <f aca="false">IFERROR(IF($B282="","",$C282+$M282),"")</f>
        <v/>
      </c>
    </row>
    <row r="283" customFormat="false" ht="15" hidden="false" customHeight="true" outlineLevel="0" collapsed="false">
      <c r="A283" s="43" t="str">
        <f aca="false">IFERROR(IF(المنيو!$B283="","",المنيو!$A283),"")</f>
        <v/>
      </c>
      <c r="B283" s="43" t="n">
        <f aca="false">IFERROR(المنيو!$B283,"")</f>
        <v>0</v>
      </c>
      <c r="C283" s="13" t="str">
        <f aca="false">IFERROR(IF($B283="","",SUMIFS(الريسبي!$F$2:$F$1800,الريسبي!$A$2:$A$1800,$B283)),"")</f>
        <v/>
      </c>
      <c r="D283" s="44" t="str">
        <f aca="false">IFERROR(IF($B283="","",المنيو!$C283),"")</f>
        <v/>
      </c>
      <c r="E283" s="12" t="str">
        <f aca="false">IFERROR(IF(OR($B283="",$D283=0,$D283=""),"",$N283/$D283),"")</f>
        <v/>
      </c>
      <c r="F283" s="49" t="n">
        <f aca="false">$F$2</f>
        <v>0.375</v>
      </c>
      <c r="G283" s="13" t="str">
        <f aca="false">IFERROR(IF($B283="","",$N283/$F283),"")</f>
        <v/>
      </c>
      <c r="H283" s="13" t="str">
        <f aca="false">IFERROR(IF($B283="","",$D283-$N283),"")</f>
        <v/>
      </c>
      <c r="I283" s="12" t="str">
        <f aca="false">IFERROR(IF(OR($B283="",$D283=0,$D283=""),"",$H283/$D283),"")</f>
        <v/>
      </c>
      <c r="J283" s="49" t="n">
        <f aca="false">$J$2</f>
        <v>0.25</v>
      </c>
      <c r="K283" s="12" t="str">
        <f aca="false">IFERROR(IF($B283="","",$E283+$J283),"")</f>
        <v/>
      </c>
      <c r="L283" s="11" t="str">
        <f aca="false">IFERROR(IF(OR($B283="",$C283=0,$C283=""),"",$I283+ROW()*0.0000001),"")</f>
        <v/>
      </c>
      <c r="M283" s="50" t="n">
        <f aca="false">$M$2</f>
        <v>0.9319</v>
      </c>
      <c r="N283" s="13" t="str">
        <f aca="false">IFERROR(IF($B283="","",$C283+$M283),"")</f>
        <v/>
      </c>
    </row>
    <row r="284" customFormat="false" ht="15" hidden="false" customHeight="true" outlineLevel="0" collapsed="false">
      <c r="A284" s="43" t="str">
        <f aca="false">IFERROR(IF(المنيو!$B284="","",المنيو!$A284),"")</f>
        <v/>
      </c>
      <c r="B284" s="43" t="n">
        <f aca="false">IFERROR(المنيو!$B284,"")</f>
        <v>0</v>
      </c>
      <c r="C284" s="13" t="str">
        <f aca="false">IFERROR(IF($B284="","",SUMIFS(الريسبي!$F$2:$F$1800,الريسبي!$A$2:$A$1800,$B284)),"")</f>
        <v/>
      </c>
      <c r="D284" s="44" t="str">
        <f aca="false">IFERROR(IF($B284="","",المنيو!$C284),"")</f>
        <v/>
      </c>
      <c r="E284" s="12" t="str">
        <f aca="false">IFERROR(IF(OR($B284="",$D284=0,$D284=""),"",$N284/$D284),"")</f>
        <v/>
      </c>
      <c r="F284" s="49" t="n">
        <f aca="false">$F$2</f>
        <v>0.375</v>
      </c>
      <c r="G284" s="13" t="str">
        <f aca="false">IFERROR(IF($B284="","",$N284/$F284),"")</f>
        <v/>
      </c>
      <c r="H284" s="13" t="str">
        <f aca="false">IFERROR(IF($B284="","",$D284-$N284),"")</f>
        <v/>
      </c>
      <c r="I284" s="12" t="str">
        <f aca="false">IFERROR(IF(OR($B284="",$D284=0,$D284=""),"",$H284/$D284),"")</f>
        <v/>
      </c>
      <c r="J284" s="49" t="n">
        <f aca="false">$J$2</f>
        <v>0.25</v>
      </c>
      <c r="K284" s="12" t="str">
        <f aca="false">IFERROR(IF($B284="","",$E284+$J284),"")</f>
        <v/>
      </c>
      <c r="L284" s="11" t="str">
        <f aca="false">IFERROR(IF(OR($B284="",$C284=0,$C284=""),"",$I284+ROW()*0.0000001),"")</f>
        <v/>
      </c>
      <c r="M284" s="50" t="n">
        <f aca="false">$M$2</f>
        <v>0.9319</v>
      </c>
      <c r="N284" s="13" t="str">
        <f aca="false">IFERROR(IF($B284="","",$C284+$M284),"")</f>
        <v/>
      </c>
    </row>
    <row r="285" customFormat="false" ht="15" hidden="false" customHeight="true" outlineLevel="0" collapsed="false">
      <c r="A285" s="43" t="str">
        <f aca="false">IFERROR(IF(المنيو!$B285="","",المنيو!$A285),"")</f>
        <v/>
      </c>
      <c r="B285" s="43" t="n">
        <f aca="false">IFERROR(المنيو!$B285,"")</f>
        <v>0</v>
      </c>
      <c r="C285" s="13" t="str">
        <f aca="false">IFERROR(IF($B285="","",SUMIFS(الريسبي!$F$2:$F$1800,الريسبي!$A$2:$A$1800,$B285)),"")</f>
        <v/>
      </c>
      <c r="D285" s="44" t="str">
        <f aca="false">IFERROR(IF($B285="","",المنيو!$C285),"")</f>
        <v/>
      </c>
      <c r="E285" s="12" t="str">
        <f aca="false">IFERROR(IF(OR($B285="",$D285=0,$D285=""),"",$N285/$D285),"")</f>
        <v/>
      </c>
      <c r="F285" s="49" t="n">
        <f aca="false">$F$2</f>
        <v>0.375</v>
      </c>
      <c r="G285" s="13" t="str">
        <f aca="false">IFERROR(IF($B285="","",$N285/$F285),"")</f>
        <v/>
      </c>
      <c r="H285" s="13" t="str">
        <f aca="false">IFERROR(IF($B285="","",$D285-$N285),"")</f>
        <v/>
      </c>
      <c r="I285" s="12" t="str">
        <f aca="false">IFERROR(IF(OR($B285="",$D285=0,$D285=""),"",$H285/$D285),"")</f>
        <v/>
      </c>
      <c r="J285" s="49" t="n">
        <f aca="false">$J$2</f>
        <v>0.25</v>
      </c>
      <c r="K285" s="12" t="str">
        <f aca="false">IFERROR(IF($B285="","",$E285+$J285),"")</f>
        <v/>
      </c>
      <c r="L285" s="11" t="str">
        <f aca="false">IFERROR(IF(OR($B285="",$C285=0,$C285=""),"",$I285+ROW()*0.0000001),"")</f>
        <v/>
      </c>
      <c r="M285" s="50" t="n">
        <f aca="false">$M$2</f>
        <v>0.9319</v>
      </c>
      <c r="N285" s="13" t="str">
        <f aca="false">IFERROR(IF($B285="","",$C285+$M285),"")</f>
        <v/>
      </c>
    </row>
    <row r="286" customFormat="false" ht="15" hidden="false" customHeight="true" outlineLevel="0" collapsed="false">
      <c r="A286" s="43" t="str">
        <f aca="false">IFERROR(IF(المنيو!$B286="","",المنيو!$A286),"")</f>
        <v/>
      </c>
      <c r="B286" s="43" t="n">
        <f aca="false">IFERROR(المنيو!$B286,"")</f>
        <v>0</v>
      </c>
      <c r="C286" s="13" t="str">
        <f aca="false">IFERROR(IF($B286="","",SUMIFS(الريسبي!$F$2:$F$1800,الريسبي!$A$2:$A$1800,$B286)),"")</f>
        <v/>
      </c>
      <c r="D286" s="44" t="str">
        <f aca="false">IFERROR(IF($B286="","",المنيو!$C286),"")</f>
        <v/>
      </c>
      <c r="E286" s="12" t="str">
        <f aca="false">IFERROR(IF(OR($B286="",$D286=0,$D286=""),"",$N286/$D286),"")</f>
        <v/>
      </c>
      <c r="F286" s="49" t="n">
        <f aca="false">$F$2</f>
        <v>0.375</v>
      </c>
      <c r="G286" s="13" t="str">
        <f aca="false">IFERROR(IF($B286="","",$N286/$F286),"")</f>
        <v/>
      </c>
      <c r="H286" s="13" t="str">
        <f aca="false">IFERROR(IF($B286="","",$D286-$N286),"")</f>
        <v/>
      </c>
      <c r="I286" s="12" t="str">
        <f aca="false">IFERROR(IF(OR($B286="",$D286=0,$D286=""),"",$H286/$D286),"")</f>
        <v/>
      </c>
      <c r="J286" s="49" t="n">
        <f aca="false">$J$2</f>
        <v>0.25</v>
      </c>
      <c r="K286" s="12" t="str">
        <f aca="false">IFERROR(IF($B286="","",$E286+$J286),"")</f>
        <v/>
      </c>
      <c r="L286" s="11" t="str">
        <f aca="false">IFERROR(IF(OR($B286="",$C286=0,$C286=""),"",$I286+ROW()*0.0000001),"")</f>
        <v/>
      </c>
      <c r="M286" s="50" t="n">
        <f aca="false">$M$2</f>
        <v>0.9319</v>
      </c>
      <c r="N286" s="13" t="str">
        <f aca="false">IFERROR(IF($B286="","",$C286+$M286),"")</f>
        <v/>
      </c>
    </row>
    <row r="287" customFormat="false" ht="15" hidden="false" customHeight="true" outlineLevel="0" collapsed="false">
      <c r="A287" s="43" t="str">
        <f aca="false">IFERROR(IF(المنيو!$B287="","",المنيو!$A287),"")</f>
        <v/>
      </c>
      <c r="B287" s="43" t="n">
        <f aca="false">IFERROR(المنيو!$B287,"")</f>
        <v>0</v>
      </c>
      <c r="C287" s="13" t="str">
        <f aca="false">IFERROR(IF($B287="","",SUMIFS(الريسبي!$F$2:$F$1800,الريسبي!$A$2:$A$1800,$B287)),"")</f>
        <v/>
      </c>
      <c r="D287" s="44" t="str">
        <f aca="false">IFERROR(IF($B287="","",المنيو!$C287),"")</f>
        <v/>
      </c>
      <c r="E287" s="12" t="str">
        <f aca="false">IFERROR(IF(OR($B287="",$D287=0,$D287=""),"",$N287/$D287),"")</f>
        <v/>
      </c>
      <c r="F287" s="49" t="n">
        <f aca="false">$F$2</f>
        <v>0.375</v>
      </c>
      <c r="G287" s="13" t="str">
        <f aca="false">IFERROR(IF($B287="","",$N287/$F287),"")</f>
        <v/>
      </c>
      <c r="H287" s="13" t="str">
        <f aca="false">IFERROR(IF($B287="","",$D287-$N287),"")</f>
        <v/>
      </c>
      <c r="I287" s="12" t="str">
        <f aca="false">IFERROR(IF(OR($B287="",$D287=0,$D287=""),"",$H287/$D287),"")</f>
        <v/>
      </c>
      <c r="J287" s="49" t="n">
        <f aca="false">$J$2</f>
        <v>0.25</v>
      </c>
      <c r="K287" s="12" t="str">
        <f aca="false">IFERROR(IF($B287="","",$E287+$J287),"")</f>
        <v/>
      </c>
      <c r="L287" s="11" t="str">
        <f aca="false">IFERROR(IF(OR($B287="",$C287=0,$C287=""),"",$I287+ROW()*0.0000001),"")</f>
        <v/>
      </c>
      <c r="M287" s="50" t="n">
        <f aca="false">$M$2</f>
        <v>0.9319</v>
      </c>
      <c r="N287" s="13" t="str">
        <f aca="false">IFERROR(IF($B287="","",$C287+$M287),"")</f>
        <v/>
      </c>
    </row>
    <row r="288" customFormat="false" ht="15" hidden="false" customHeight="true" outlineLevel="0" collapsed="false">
      <c r="A288" s="43" t="str">
        <f aca="false">IFERROR(IF(المنيو!$B288="","",المنيو!$A288),"")</f>
        <v/>
      </c>
      <c r="B288" s="43" t="n">
        <f aca="false">IFERROR(المنيو!$B288,"")</f>
        <v>0</v>
      </c>
      <c r="C288" s="13" t="str">
        <f aca="false">IFERROR(IF($B288="","",SUMIFS(الريسبي!$F$2:$F$1800,الريسبي!$A$2:$A$1800,$B288)),"")</f>
        <v/>
      </c>
      <c r="D288" s="44" t="str">
        <f aca="false">IFERROR(IF($B288="","",المنيو!$C288),"")</f>
        <v/>
      </c>
      <c r="E288" s="12" t="str">
        <f aca="false">IFERROR(IF(OR($B288="",$D288=0,$D288=""),"",$N288/$D288),"")</f>
        <v/>
      </c>
      <c r="F288" s="49" t="n">
        <f aca="false">$F$2</f>
        <v>0.375</v>
      </c>
      <c r="G288" s="13" t="str">
        <f aca="false">IFERROR(IF($B288="","",$N288/$F288),"")</f>
        <v/>
      </c>
      <c r="H288" s="13" t="str">
        <f aca="false">IFERROR(IF($B288="","",$D288-$N288),"")</f>
        <v/>
      </c>
      <c r="I288" s="12" t="str">
        <f aca="false">IFERROR(IF(OR($B288="",$D288=0,$D288=""),"",$H288/$D288),"")</f>
        <v/>
      </c>
      <c r="J288" s="49" t="n">
        <f aca="false">$J$2</f>
        <v>0.25</v>
      </c>
      <c r="K288" s="12" t="str">
        <f aca="false">IFERROR(IF($B288="","",$E288+$J288),"")</f>
        <v/>
      </c>
      <c r="L288" s="11" t="str">
        <f aca="false">IFERROR(IF(OR($B288="",$C288=0,$C288=""),"",$I288+ROW()*0.0000001),"")</f>
        <v/>
      </c>
      <c r="M288" s="50" t="n">
        <f aca="false">$M$2</f>
        <v>0.9319</v>
      </c>
      <c r="N288" s="13" t="str">
        <f aca="false">IFERROR(IF($B288="","",$C288+$M288),"")</f>
        <v/>
      </c>
    </row>
    <row r="289" customFormat="false" ht="15" hidden="false" customHeight="true" outlineLevel="0" collapsed="false">
      <c r="A289" s="43" t="str">
        <f aca="false">IFERROR(IF(المنيو!$B289="","",المنيو!$A289),"")</f>
        <v/>
      </c>
      <c r="B289" s="43" t="n">
        <f aca="false">IFERROR(المنيو!$B289,"")</f>
        <v>0</v>
      </c>
      <c r="C289" s="13" t="str">
        <f aca="false">IFERROR(IF($B289="","",SUMIFS(الريسبي!$F$2:$F$1800,الريسبي!$A$2:$A$1800,$B289)),"")</f>
        <v/>
      </c>
      <c r="D289" s="44" t="str">
        <f aca="false">IFERROR(IF($B289="","",المنيو!$C289),"")</f>
        <v/>
      </c>
      <c r="E289" s="12" t="str">
        <f aca="false">IFERROR(IF(OR($B289="",$D289=0,$D289=""),"",$N289/$D289),"")</f>
        <v/>
      </c>
      <c r="F289" s="49" t="n">
        <f aca="false">$F$2</f>
        <v>0.375</v>
      </c>
      <c r="G289" s="13" t="str">
        <f aca="false">IFERROR(IF($B289="","",$N289/$F289),"")</f>
        <v/>
      </c>
      <c r="H289" s="13" t="str">
        <f aca="false">IFERROR(IF($B289="","",$D289-$N289),"")</f>
        <v/>
      </c>
      <c r="I289" s="12" t="str">
        <f aca="false">IFERROR(IF(OR($B289="",$D289=0,$D289=""),"",$H289/$D289),"")</f>
        <v/>
      </c>
      <c r="J289" s="49" t="n">
        <f aca="false">$J$2</f>
        <v>0.25</v>
      </c>
      <c r="K289" s="12" t="str">
        <f aca="false">IFERROR(IF($B289="","",$E289+$J289),"")</f>
        <v/>
      </c>
      <c r="L289" s="11" t="str">
        <f aca="false">IFERROR(IF(OR($B289="",$C289=0,$C289=""),"",$I289+ROW()*0.0000001),"")</f>
        <v/>
      </c>
      <c r="M289" s="50" t="n">
        <f aca="false">$M$2</f>
        <v>0.9319</v>
      </c>
      <c r="N289" s="13" t="str">
        <f aca="false">IFERROR(IF($B289="","",$C289+$M289),"")</f>
        <v/>
      </c>
    </row>
    <row r="290" customFormat="false" ht="15" hidden="false" customHeight="true" outlineLevel="0" collapsed="false">
      <c r="A290" s="43" t="str">
        <f aca="false">IFERROR(IF(المنيو!$B290="","",المنيو!$A290),"")</f>
        <v/>
      </c>
      <c r="B290" s="43" t="n">
        <f aca="false">IFERROR(المنيو!$B290,"")</f>
        <v>0</v>
      </c>
      <c r="C290" s="13" t="str">
        <f aca="false">IFERROR(IF($B290="","",SUMIFS(الريسبي!$F$2:$F$1800,الريسبي!$A$2:$A$1800,$B290)),"")</f>
        <v/>
      </c>
      <c r="D290" s="44" t="str">
        <f aca="false">IFERROR(IF($B290="","",المنيو!$C290),"")</f>
        <v/>
      </c>
      <c r="E290" s="12" t="str">
        <f aca="false">IFERROR(IF(OR($B290="",$D290=0,$D290=""),"",$N290/$D290),"")</f>
        <v/>
      </c>
      <c r="F290" s="49" t="n">
        <f aca="false">$F$2</f>
        <v>0.375</v>
      </c>
      <c r="G290" s="13" t="str">
        <f aca="false">IFERROR(IF($B290="","",$N290/$F290),"")</f>
        <v/>
      </c>
      <c r="H290" s="13" t="str">
        <f aca="false">IFERROR(IF($B290="","",$D290-$N290),"")</f>
        <v/>
      </c>
      <c r="I290" s="12" t="str">
        <f aca="false">IFERROR(IF(OR($B290="",$D290=0,$D290=""),"",$H290/$D290),"")</f>
        <v/>
      </c>
      <c r="J290" s="49" t="n">
        <f aca="false">$J$2</f>
        <v>0.25</v>
      </c>
      <c r="K290" s="12" t="str">
        <f aca="false">IFERROR(IF($B290="","",$E290+$J290),"")</f>
        <v/>
      </c>
      <c r="L290" s="11" t="str">
        <f aca="false">IFERROR(IF(OR($B290="",$C290=0,$C290=""),"",$I290+ROW()*0.0000001),"")</f>
        <v/>
      </c>
      <c r="M290" s="50" t="n">
        <f aca="false">$M$2</f>
        <v>0.9319</v>
      </c>
      <c r="N290" s="13" t="str">
        <f aca="false">IFERROR(IF($B290="","",$C290+$M290),"")</f>
        <v/>
      </c>
    </row>
    <row r="291" customFormat="false" ht="15" hidden="false" customHeight="true" outlineLevel="0" collapsed="false">
      <c r="A291" s="43" t="str">
        <f aca="false">IFERROR(IF(المنيو!$B291="","",المنيو!$A291),"")</f>
        <v/>
      </c>
      <c r="B291" s="43" t="n">
        <f aca="false">IFERROR(المنيو!$B291,"")</f>
        <v>0</v>
      </c>
      <c r="C291" s="13" t="str">
        <f aca="false">IFERROR(IF($B291="","",SUMIFS(الريسبي!$F$2:$F$1800,الريسبي!$A$2:$A$1800,$B291)),"")</f>
        <v/>
      </c>
      <c r="D291" s="44" t="str">
        <f aca="false">IFERROR(IF($B291="","",المنيو!$C291),"")</f>
        <v/>
      </c>
      <c r="E291" s="12" t="str">
        <f aca="false">IFERROR(IF(OR($B291="",$D291=0,$D291=""),"",$N291/$D291),"")</f>
        <v/>
      </c>
      <c r="F291" s="49" t="n">
        <f aca="false">$F$2</f>
        <v>0.375</v>
      </c>
      <c r="G291" s="13" t="str">
        <f aca="false">IFERROR(IF($B291="","",$N291/$F291),"")</f>
        <v/>
      </c>
      <c r="H291" s="13" t="str">
        <f aca="false">IFERROR(IF($B291="","",$D291-$N291),"")</f>
        <v/>
      </c>
      <c r="I291" s="12" t="str">
        <f aca="false">IFERROR(IF(OR($B291="",$D291=0,$D291=""),"",$H291/$D291),"")</f>
        <v/>
      </c>
      <c r="J291" s="49" t="n">
        <f aca="false">$J$2</f>
        <v>0.25</v>
      </c>
      <c r="K291" s="12" t="str">
        <f aca="false">IFERROR(IF($B291="","",$E291+$J291),"")</f>
        <v/>
      </c>
      <c r="L291" s="11" t="str">
        <f aca="false">IFERROR(IF(OR($B291="",$C291=0,$C291=""),"",$I291+ROW()*0.0000001),"")</f>
        <v/>
      </c>
      <c r="M291" s="50" t="n">
        <f aca="false">$M$2</f>
        <v>0.9319</v>
      </c>
      <c r="N291" s="13" t="str">
        <f aca="false">IFERROR(IF($B291="","",$C291+$M291),"")</f>
        <v/>
      </c>
    </row>
    <row r="292" customFormat="false" ht="15" hidden="false" customHeight="true" outlineLevel="0" collapsed="false">
      <c r="A292" s="43" t="str">
        <f aca="false">IFERROR(IF(المنيو!$B292="","",المنيو!$A292),"")</f>
        <v/>
      </c>
      <c r="B292" s="43" t="n">
        <f aca="false">IFERROR(المنيو!$B292,"")</f>
        <v>0</v>
      </c>
      <c r="C292" s="13" t="str">
        <f aca="false">IFERROR(IF($B292="","",SUMIFS(الريسبي!$F$2:$F$1800,الريسبي!$A$2:$A$1800,$B292)),"")</f>
        <v/>
      </c>
      <c r="D292" s="44" t="str">
        <f aca="false">IFERROR(IF($B292="","",المنيو!$C292),"")</f>
        <v/>
      </c>
      <c r="E292" s="12" t="str">
        <f aca="false">IFERROR(IF(OR($B292="",$D292=0,$D292=""),"",$N292/$D292),"")</f>
        <v/>
      </c>
      <c r="F292" s="49" t="n">
        <f aca="false">$F$2</f>
        <v>0.375</v>
      </c>
      <c r="G292" s="13" t="str">
        <f aca="false">IFERROR(IF($B292="","",$N292/$F292),"")</f>
        <v/>
      </c>
      <c r="H292" s="13" t="str">
        <f aca="false">IFERROR(IF($B292="","",$D292-$N292),"")</f>
        <v/>
      </c>
      <c r="I292" s="12" t="str">
        <f aca="false">IFERROR(IF(OR($B292="",$D292=0,$D292=""),"",$H292/$D292),"")</f>
        <v/>
      </c>
      <c r="J292" s="49" t="n">
        <f aca="false">$J$2</f>
        <v>0.25</v>
      </c>
      <c r="K292" s="12" t="str">
        <f aca="false">IFERROR(IF($B292="","",$E292+$J292),"")</f>
        <v/>
      </c>
      <c r="L292" s="11" t="str">
        <f aca="false">IFERROR(IF(OR($B292="",$C292=0,$C292=""),"",$I292+ROW()*0.0000001),"")</f>
        <v/>
      </c>
      <c r="M292" s="50" t="n">
        <f aca="false">$M$2</f>
        <v>0.9319</v>
      </c>
      <c r="N292" s="13" t="str">
        <f aca="false">IFERROR(IF($B292="","",$C292+$M292),"")</f>
        <v/>
      </c>
    </row>
    <row r="293" customFormat="false" ht="15" hidden="false" customHeight="true" outlineLevel="0" collapsed="false">
      <c r="A293" s="43" t="str">
        <f aca="false">IFERROR(IF(المنيو!$B293="","",المنيو!$A293),"")</f>
        <v/>
      </c>
      <c r="B293" s="43" t="n">
        <f aca="false">IFERROR(المنيو!$B293,"")</f>
        <v>0</v>
      </c>
      <c r="C293" s="13" t="str">
        <f aca="false">IFERROR(IF($B293="","",SUMIFS(الريسبي!$F$2:$F$1800,الريسبي!$A$2:$A$1800,$B293)),"")</f>
        <v/>
      </c>
      <c r="D293" s="44" t="str">
        <f aca="false">IFERROR(IF($B293="","",المنيو!$C293),"")</f>
        <v/>
      </c>
      <c r="E293" s="12" t="str">
        <f aca="false">IFERROR(IF(OR($B293="",$D293=0,$D293=""),"",$N293/$D293),"")</f>
        <v/>
      </c>
      <c r="F293" s="49" t="n">
        <f aca="false">$F$2</f>
        <v>0.375</v>
      </c>
      <c r="G293" s="13" t="str">
        <f aca="false">IFERROR(IF($B293="","",$N293/$F293),"")</f>
        <v/>
      </c>
      <c r="H293" s="13" t="str">
        <f aca="false">IFERROR(IF($B293="","",$D293-$N293),"")</f>
        <v/>
      </c>
      <c r="I293" s="12" t="str">
        <f aca="false">IFERROR(IF(OR($B293="",$D293=0,$D293=""),"",$H293/$D293),"")</f>
        <v/>
      </c>
      <c r="J293" s="49" t="n">
        <f aca="false">$J$2</f>
        <v>0.25</v>
      </c>
      <c r="K293" s="12" t="str">
        <f aca="false">IFERROR(IF($B293="","",$E293+$J293),"")</f>
        <v/>
      </c>
      <c r="L293" s="11" t="str">
        <f aca="false">IFERROR(IF(OR($B293="",$C293=0,$C293=""),"",$I293+ROW()*0.0000001),"")</f>
        <v/>
      </c>
      <c r="M293" s="50" t="n">
        <f aca="false">$M$2</f>
        <v>0.9319</v>
      </c>
      <c r="N293" s="13" t="str">
        <f aca="false">IFERROR(IF($B293="","",$C293+$M293),"")</f>
        <v/>
      </c>
    </row>
    <row r="294" customFormat="false" ht="15" hidden="false" customHeight="true" outlineLevel="0" collapsed="false">
      <c r="A294" s="43" t="str">
        <f aca="false">IFERROR(IF(المنيو!$B294="","",المنيو!$A294),"")</f>
        <v/>
      </c>
      <c r="B294" s="43" t="n">
        <f aca="false">IFERROR(المنيو!$B294,"")</f>
        <v>0</v>
      </c>
      <c r="C294" s="13" t="str">
        <f aca="false">IFERROR(IF($B294="","",SUMIFS(الريسبي!$F$2:$F$1800,الريسبي!$A$2:$A$1800,$B294)),"")</f>
        <v/>
      </c>
      <c r="D294" s="44" t="str">
        <f aca="false">IFERROR(IF($B294="","",المنيو!$C294),"")</f>
        <v/>
      </c>
      <c r="E294" s="12" t="str">
        <f aca="false">IFERROR(IF(OR($B294="",$D294=0,$D294=""),"",$N294/$D294),"")</f>
        <v/>
      </c>
      <c r="F294" s="49" t="n">
        <f aca="false">$F$2</f>
        <v>0.375</v>
      </c>
      <c r="G294" s="13" t="str">
        <f aca="false">IFERROR(IF($B294="","",$N294/$F294),"")</f>
        <v/>
      </c>
      <c r="H294" s="13" t="str">
        <f aca="false">IFERROR(IF($B294="","",$D294-$N294),"")</f>
        <v/>
      </c>
      <c r="I294" s="12" t="str">
        <f aca="false">IFERROR(IF(OR($B294="",$D294=0,$D294=""),"",$H294/$D294),"")</f>
        <v/>
      </c>
      <c r="J294" s="49" t="n">
        <f aca="false">$J$2</f>
        <v>0.25</v>
      </c>
      <c r="K294" s="12" t="str">
        <f aca="false">IFERROR(IF($B294="","",$E294+$J294),"")</f>
        <v/>
      </c>
      <c r="L294" s="11" t="str">
        <f aca="false">IFERROR(IF(OR($B294="",$C294=0,$C294=""),"",$I294+ROW()*0.0000001),"")</f>
        <v/>
      </c>
      <c r="M294" s="50" t="n">
        <f aca="false">$M$2</f>
        <v>0.9319</v>
      </c>
      <c r="N294" s="13" t="str">
        <f aca="false">IFERROR(IF($B294="","",$C294+$M294),"")</f>
        <v/>
      </c>
    </row>
    <row r="295" customFormat="false" ht="15" hidden="false" customHeight="true" outlineLevel="0" collapsed="false">
      <c r="A295" s="43" t="str">
        <f aca="false">IFERROR(IF(المنيو!$B295="","",المنيو!$A295),"")</f>
        <v/>
      </c>
      <c r="B295" s="43" t="n">
        <f aca="false">IFERROR(المنيو!$B295,"")</f>
        <v>0</v>
      </c>
      <c r="C295" s="13" t="str">
        <f aca="false">IFERROR(IF($B295="","",SUMIFS(الريسبي!$F$2:$F$1800,الريسبي!$A$2:$A$1800,$B295)),"")</f>
        <v/>
      </c>
      <c r="D295" s="44" t="str">
        <f aca="false">IFERROR(IF($B295="","",المنيو!$C295),"")</f>
        <v/>
      </c>
      <c r="E295" s="12" t="str">
        <f aca="false">IFERROR(IF(OR($B295="",$D295=0,$D295=""),"",$N295/$D295),"")</f>
        <v/>
      </c>
      <c r="F295" s="49" t="n">
        <f aca="false">$F$2</f>
        <v>0.375</v>
      </c>
      <c r="G295" s="13" t="str">
        <f aca="false">IFERROR(IF($B295="","",$N295/$F295),"")</f>
        <v/>
      </c>
      <c r="H295" s="13" t="str">
        <f aca="false">IFERROR(IF($B295="","",$D295-$N295),"")</f>
        <v/>
      </c>
      <c r="I295" s="12" t="str">
        <f aca="false">IFERROR(IF(OR($B295="",$D295=0,$D295=""),"",$H295/$D295),"")</f>
        <v/>
      </c>
      <c r="J295" s="49" t="n">
        <f aca="false">$J$2</f>
        <v>0.25</v>
      </c>
      <c r="K295" s="12" t="str">
        <f aca="false">IFERROR(IF($B295="","",$E295+$J295),"")</f>
        <v/>
      </c>
      <c r="L295" s="11" t="str">
        <f aca="false">IFERROR(IF(OR($B295="",$C295=0,$C295=""),"",$I295+ROW()*0.0000001),"")</f>
        <v/>
      </c>
      <c r="M295" s="50" t="n">
        <f aca="false">$M$2</f>
        <v>0.9319</v>
      </c>
      <c r="N295" s="13" t="str">
        <f aca="false">IFERROR(IF($B295="","",$C295+$M295),"")</f>
        <v/>
      </c>
    </row>
    <row r="296" customFormat="false" ht="15" hidden="false" customHeight="true" outlineLevel="0" collapsed="false">
      <c r="A296" s="43" t="str">
        <f aca="false">IFERROR(IF(المنيو!$B296="","",المنيو!$A296),"")</f>
        <v/>
      </c>
      <c r="B296" s="43" t="n">
        <f aca="false">IFERROR(المنيو!$B296,"")</f>
        <v>0</v>
      </c>
      <c r="C296" s="13" t="str">
        <f aca="false">IFERROR(IF($B296="","",SUMIFS(الريسبي!$F$2:$F$1800,الريسبي!$A$2:$A$1800,$B296)),"")</f>
        <v/>
      </c>
      <c r="D296" s="44" t="str">
        <f aca="false">IFERROR(IF($B296="","",المنيو!$C296),"")</f>
        <v/>
      </c>
      <c r="E296" s="12" t="str">
        <f aca="false">IFERROR(IF(OR($B296="",$D296=0,$D296=""),"",$N296/$D296),"")</f>
        <v/>
      </c>
      <c r="F296" s="49" t="n">
        <f aca="false">$F$2</f>
        <v>0.375</v>
      </c>
      <c r="G296" s="13" t="str">
        <f aca="false">IFERROR(IF($B296="","",$N296/$F296),"")</f>
        <v/>
      </c>
      <c r="H296" s="13" t="str">
        <f aca="false">IFERROR(IF($B296="","",$D296-$N296),"")</f>
        <v/>
      </c>
      <c r="I296" s="12" t="str">
        <f aca="false">IFERROR(IF(OR($B296="",$D296=0,$D296=""),"",$H296/$D296),"")</f>
        <v/>
      </c>
      <c r="J296" s="49" t="n">
        <f aca="false">$J$2</f>
        <v>0.25</v>
      </c>
      <c r="K296" s="12" t="str">
        <f aca="false">IFERROR(IF($B296="","",$E296+$J296),"")</f>
        <v/>
      </c>
      <c r="L296" s="11" t="str">
        <f aca="false">IFERROR(IF(OR($B296="",$C296=0,$C296=""),"",$I296+ROW()*0.0000001),"")</f>
        <v/>
      </c>
      <c r="M296" s="50" t="n">
        <f aca="false">$M$2</f>
        <v>0.9319</v>
      </c>
      <c r="N296" s="13" t="str">
        <f aca="false">IFERROR(IF($B296="","",$C296+$M296),"")</f>
        <v/>
      </c>
    </row>
    <row r="297" customFormat="false" ht="15" hidden="false" customHeight="true" outlineLevel="0" collapsed="false">
      <c r="A297" s="43" t="str">
        <f aca="false">IFERROR(IF(المنيو!$B297="","",المنيو!$A297),"")</f>
        <v/>
      </c>
      <c r="B297" s="43" t="n">
        <f aca="false">IFERROR(المنيو!$B297,"")</f>
        <v>0</v>
      </c>
      <c r="C297" s="13" t="str">
        <f aca="false">IFERROR(IF($B297="","",SUMIFS(الريسبي!$F$2:$F$1800,الريسبي!$A$2:$A$1800,$B297)),"")</f>
        <v/>
      </c>
      <c r="D297" s="44" t="str">
        <f aca="false">IFERROR(IF($B297="","",المنيو!$C297),"")</f>
        <v/>
      </c>
      <c r="E297" s="12" t="str">
        <f aca="false">IFERROR(IF(OR($B297="",$D297=0,$D297=""),"",$N297/$D297),"")</f>
        <v/>
      </c>
      <c r="F297" s="49" t="n">
        <f aca="false">$F$2</f>
        <v>0.375</v>
      </c>
      <c r="G297" s="13" t="str">
        <f aca="false">IFERROR(IF($B297="","",$N297/$F297),"")</f>
        <v/>
      </c>
      <c r="H297" s="13" t="str">
        <f aca="false">IFERROR(IF($B297="","",$D297-$N297),"")</f>
        <v/>
      </c>
      <c r="I297" s="12" t="str">
        <f aca="false">IFERROR(IF(OR($B297="",$D297=0,$D297=""),"",$H297/$D297),"")</f>
        <v/>
      </c>
      <c r="J297" s="49" t="n">
        <f aca="false">$J$2</f>
        <v>0.25</v>
      </c>
      <c r="K297" s="12" t="str">
        <f aca="false">IFERROR(IF($B297="","",$E297+$J297),"")</f>
        <v/>
      </c>
      <c r="L297" s="11" t="str">
        <f aca="false">IFERROR(IF(OR($B297="",$C297=0,$C297=""),"",$I297+ROW()*0.0000001),"")</f>
        <v/>
      </c>
      <c r="M297" s="50" t="n">
        <f aca="false">$M$2</f>
        <v>0.9319</v>
      </c>
      <c r="N297" s="13" t="str">
        <f aca="false">IFERROR(IF($B297="","",$C297+$M297),"")</f>
        <v/>
      </c>
    </row>
    <row r="298" customFormat="false" ht="15" hidden="false" customHeight="true" outlineLevel="0" collapsed="false">
      <c r="A298" s="43" t="str">
        <f aca="false">IFERROR(IF(المنيو!$B298="","",المنيو!$A298),"")</f>
        <v/>
      </c>
      <c r="B298" s="43" t="n">
        <f aca="false">IFERROR(المنيو!$B298,"")</f>
        <v>0</v>
      </c>
      <c r="C298" s="13" t="str">
        <f aca="false">IFERROR(IF($B298="","",SUMIFS(الريسبي!$F$2:$F$1800,الريسبي!$A$2:$A$1800,$B298)),"")</f>
        <v/>
      </c>
      <c r="D298" s="44" t="str">
        <f aca="false">IFERROR(IF($B298="","",المنيو!$C298),"")</f>
        <v/>
      </c>
      <c r="E298" s="12" t="str">
        <f aca="false">IFERROR(IF(OR($B298="",$D298=0,$D298=""),"",$N298/$D298),"")</f>
        <v/>
      </c>
      <c r="F298" s="49" t="n">
        <f aca="false">$F$2</f>
        <v>0.375</v>
      </c>
      <c r="G298" s="13" t="str">
        <f aca="false">IFERROR(IF($B298="","",$N298/$F298),"")</f>
        <v/>
      </c>
      <c r="H298" s="13" t="str">
        <f aca="false">IFERROR(IF($B298="","",$D298-$N298),"")</f>
        <v/>
      </c>
      <c r="I298" s="12" t="str">
        <f aca="false">IFERROR(IF(OR($B298="",$D298=0,$D298=""),"",$H298/$D298),"")</f>
        <v/>
      </c>
      <c r="J298" s="49" t="n">
        <f aca="false">$J$2</f>
        <v>0.25</v>
      </c>
      <c r="K298" s="12" t="str">
        <f aca="false">IFERROR(IF($B298="","",$E298+$J298),"")</f>
        <v/>
      </c>
      <c r="L298" s="11" t="str">
        <f aca="false">IFERROR(IF(OR($B298="",$C298=0,$C298=""),"",$I298+ROW()*0.0000001),"")</f>
        <v/>
      </c>
      <c r="M298" s="50" t="n">
        <f aca="false">$M$2</f>
        <v>0.9319</v>
      </c>
      <c r="N298" s="13" t="str">
        <f aca="false">IFERROR(IF($B298="","",$C298+$M298),"")</f>
        <v/>
      </c>
    </row>
    <row r="299" customFormat="false" ht="15" hidden="false" customHeight="true" outlineLevel="0" collapsed="false">
      <c r="A299" s="43" t="str">
        <f aca="false">IFERROR(IF(المنيو!$B299="","",المنيو!$A299),"")</f>
        <v/>
      </c>
      <c r="B299" s="43" t="n">
        <f aca="false">IFERROR(المنيو!$B299,"")</f>
        <v>0</v>
      </c>
      <c r="C299" s="13" t="str">
        <f aca="false">IFERROR(IF($B299="","",SUMIFS(الريسبي!$F$2:$F$1800,الريسبي!$A$2:$A$1800,$B299)),"")</f>
        <v/>
      </c>
      <c r="D299" s="44" t="str">
        <f aca="false">IFERROR(IF($B299="","",المنيو!$C299),"")</f>
        <v/>
      </c>
      <c r="E299" s="12" t="str">
        <f aca="false">IFERROR(IF(OR($B299="",$D299=0,$D299=""),"",$N299/$D299),"")</f>
        <v/>
      </c>
      <c r="F299" s="49" t="n">
        <f aca="false">$F$2</f>
        <v>0.375</v>
      </c>
      <c r="G299" s="13" t="str">
        <f aca="false">IFERROR(IF($B299="","",$N299/$F299),"")</f>
        <v/>
      </c>
      <c r="H299" s="13" t="str">
        <f aca="false">IFERROR(IF($B299="","",$D299-$N299),"")</f>
        <v/>
      </c>
      <c r="I299" s="12" t="str">
        <f aca="false">IFERROR(IF(OR($B299="",$D299=0,$D299=""),"",$H299/$D299),"")</f>
        <v/>
      </c>
      <c r="J299" s="49" t="n">
        <f aca="false">$J$2</f>
        <v>0.25</v>
      </c>
      <c r="K299" s="12" t="str">
        <f aca="false">IFERROR(IF($B299="","",$E299+$J299),"")</f>
        <v/>
      </c>
      <c r="L299" s="11" t="str">
        <f aca="false">IFERROR(IF(OR($B299="",$C299=0,$C299=""),"",$I299+ROW()*0.0000001),"")</f>
        <v/>
      </c>
      <c r="M299" s="50" t="n">
        <f aca="false">$M$2</f>
        <v>0.9319</v>
      </c>
      <c r="N299" s="13" t="str">
        <f aca="false">IFERROR(IF($B299="","",$C299+$M299),"")</f>
        <v/>
      </c>
    </row>
  </sheetData>
  <conditionalFormatting sqref="E2:E299">
    <cfRule type="expression" priority="2" aboveAverage="0" equalAverage="0" bottom="0" percent="0" rank="0" text="" dxfId="7">
      <formula>AND($C2&gt;0,$E2&lt;=$F2)</formula>
    </cfRule>
    <cfRule type="expression" priority="3" aboveAverage="0" equalAverage="0" bottom="0" percent="0" rank="0" text="" dxfId="8">
      <formula>AND($C2&gt;0,$E2&gt;$F2,$E2&lt;=$F2+0.05)</formula>
    </cfRule>
    <cfRule type="expression" priority="4" aboveAverage="0" equalAverage="0" bottom="0" percent="0" rank="0" text="" dxfId="9">
      <formula>AND($C2&gt;0,$E2&gt;$F2+0.05)</formula>
    </cfRule>
  </conditionalFormatting>
  <conditionalFormatting sqref="K2:K299">
    <cfRule type="expression" priority="5" aboveAverage="0" equalAverage="0" bottom="0" percent="0" rank="0" text="" dxfId="7">
      <formula>AND($C2&gt;0,$K2&lt;=0.65)</formula>
    </cfRule>
    <cfRule type="expression" priority="6" aboveAverage="0" equalAverage="0" bottom="0" percent="0" rank="0" text="" dxfId="8">
      <formula>AND($C2&gt;0,$K2&gt;0.65,$K2&lt;=0.7)</formula>
    </cfRule>
    <cfRule type="expression" priority="7" aboveAverage="0" equalAverage="0" bottom="0" percent="0" rank="0" text="" dxfId="9">
      <formula>AND($C2&gt;0,$K2&gt;0.7)</formula>
    </cfRule>
  </conditionalFormatting>
  <conditionalFormatting sqref="E2:E700">
    <cfRule type="expression" priority="8" aboveAverage="0" equalAverage="0" bottom="0" percent="0" rank="0" text="" dxfId="10">
      <formula>AND($B2&lt;&gt;"",$E2&lt;=$F2)</formula>
    </cfRule>
    <cfRule type="expression" priority="9" aboveAverage="0" equalAverage="0" bottom="0" percent="0" rank="0" text="" dxfId="11">
      <formula>AND($B2&lt;&gt;"",$E2&gt;$F2,$E2&lt;=$F2*1.15)</formula>
    </cfRule>
    <cfRule type="expression" priority="10" aboveAverage="0" equalAverage="0" bottom="0" percent="0" rank="0" text="" dxfId="12">
      <formula>AND($B2&lt;&gt;"",$E2&gt;$F2*1.15)</formula>
    </cfRule>
  </conditionalFormatting>
  <conditionalFormatting sqref="K2:K700">
    <cfRule type="expression" priority="11" aboveAverage="0" equalAverage="0" bottom="0" percent="0" rank="0" text="" dxfId="10">
      <formula>AND($B2&lt;&gt;"",$K2&lt;=0.65)</formula>
    </cfRule>
    <cfRule type="expression" priority="12" aboveAverage="0" equalAverage="0" bottom="0" percent="0" rank="0" text="" dxfId="11">
      <formula>AND($B2&lt;&gt;"",$K2&gt;0.65,$K2&lt;=0.7)</formula>
    </cfRule>
    <cfRule type="expression" priority="13" aboveAverage="0" equalAverage="0" bottom="0" percent="0" rank="0" text="" dxfId="12">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496</v>
      </c>
      <c r="B1" s="9"/>
      <c r="C1" s="9"/>
      <c r="D1" s="9"/>
      <c r="E1" s="9"/>
    </row>
    <row r="2" customFormat="false" ht="27.75" hidden="false" customHeight="true" outlineLevel="0" collapsed="false">
      <c r="A2" s="10" t="s">
        <v>497</v>
      </c>
      <c r="B2" s="10" t="s">
        <v>498</v>
      </c>
      <c r="C2" s="10" t="s">
        <v>499</v>
      </c>
      <c r="D2" s="10" t="s">
        <v>52</v>
      </c>
      <c r="E2" s="10" t="s">
        <v>486</v>
      </c>
    </row>
    <row r="3" customFormat="false" ht="26.25" hidden="false" customHeight="true" outlineLevel="0" collapsed="false">
      <c r="A3" s="39" t="s">
        <v>500</v>
      </c>
      <c r="B3" s="39" t="s">
        <v>403</v>
      </c>
      <c r="C3" s="39" t="n">
        <v>1</v>
      </c>
      <c r="D3" s="41" t="n">
        <f aca="false">IFERROR(INDEX('تحليل التكلفة والسعر'!$N$2:$N$300,MATCH($B3,'تحليل التكلفة والسعر'!$B$2:$B$300,0)),IFERROR(INDEX(المكونات!$C$2:$C$500,MATCH($B3,المكونات!$A$2:$A$500,0)),""))</f>
        <v>38.8479</v>
      </c>
      <c r="E3" s="42" t="n">
        <f aca="false">IFERROR($C3*$D3,"")</f>
        <v>38.8479</v>
      </c>
    </row>
    <row r="4" customFormat="false" ht="26.25" hidden="false" customHeight="true" outlineLevel="0" collapsed="false">
      <c r="A4" s="39" t="s">
        <v>500</v>
      </c>
      <c r="B4" s="39" t="s">
        <v>368</v>
      </c>
      <c r="C4" s="39" t="n">
        <v>1</v>
      </c>
      <c r="D4" s="41" t="n">
        <f aca="false">IFERROR(INDEX('تحليل التكلفة والسعر'!$N$2:$N$300,MATCH($B4,'تحليل التكلفة والسعر'!$B$2:$B$300,0)),IFERROR(INDEX(المكونات!$C$2:$C$500,MATCH($B4,المكونات!$A$2:$A$500,0)),""))</f>
        <v>52.4337625</v>
      </c>
      <c r="E4" s="42" t="n">
        <f aca="false">IFERROR($C4*$D4,"")</f>
        <v>52.4337625</v>
      </c>
    </row>
    <row r="5" customFormat="false" ht="26.25" hidden="false" customHeight="true" outlineLevel="0" collapsed="false">
      <c r="A5" s="39" t="s">
        <v>501</v>
      </c>
      <c r="B5" s="39" t="s">
        <v>80</v>
      </c>
      <c r="C5" s="39" t="n">
        <v>1</v>
      </c>
      <c r="D5" s="41" t="n">
        <f aca="false">IFERROR(INDEX('تحليل التكلفة والسعر'!$N$2:$N$300,MATCH($B5,'تحليل التكلفة والسعر'!$B$2:$B$300,0)),IFERROR(INDEX(المكونات!$C$2:$C$500,MATCH($B5,المكونات!$A$2:$A$500,0)),""))</f>
        <v>5.65</v>
      </c>
      <c r="E5" s="42" t="n">
        <f aca="false">IFERROR($C5*$D5,"")</f>
        <v>5.65</v>
      </c>
    </row>
    <row r="6" customFormat="false" ht="26.25" hidden="false" customHeight="true" outlineLevel="0" collapsed="false">
      <c r="A6" s="39" t="s">
        <v>501</v>
      </c>
      <c r="B6" s="39" t="s">
        <v>134</v>
      </c>
      <c r="C6" s="39" t="n">
        <v>1</v>
      </c>
      <c r="D6" s="41" t="n">
        <f aca="false">IFERROR(INDEX('تحليل التكلفة والسعر'!$N$2:$N$300,MATCH($B6,'تحليل التكلفة والسعر'!$B$2:$B$300,0)),IFERROR(INDEX(المكونات!$C$2:$C$500,MATCH($B6,المكونات!$A$2:$A$500,0)),""))</f>
        <v>6.09</v>
      </c>
      <c r="E6" s="42" t="n">
        <f aca="false">IFERROR($C6*$D6,"")</f>
        <v>6.09</v>
      </c>
    </row>
    <row r="7" customFormat="false" ht="15" hidden="false" customHeight="true" outlineLevel="0" collapsed="false">
      <c r="A7" s="39" t="s">
        <v>502</v>
      </c>
      <c r="B7" s="39" t="s">
        <v>200</v>
      </c>
      <c r="C7" s="39" t="n">
        <v>0.5</v>
      </c>
      <c r="D7" s="41" t="n">
        <f aca="false">IFERROR(INDEX('تحليل التكلفة والسعر'!$N$2:$N$300,MATCH($B7,'تحليل التكلفة والسعر'!$B$2:$B$300,0)),IFERROR(INDEX(المكونات!$C$2:$C$500,MATCH($B7,المكونات!$A$2:$A$500,0)),""))</f>
        <v>4</v>
      </c>
      <c r="E7" s="42" t="n">
        <f aca="false">IFERROR($C7*$D7,"")</f>
        <v>2</v>
      </c>
    </row>
    <row r="8" customFormat="false" ht="15" hidden="false" customHeight="true" outlineLevel="0" collapsed="false">
      <c r="A8" s="39" t="s">
        <v>502</v>
      </c>
      <c r="B8" s="39" t="s">
        <v>260</v>
      </c>
      <c r="C8" s="39" t="n">
        <v>0.075</v>
      </c>
      <c r="D8" s="41" t="n">
        <f aca="false">IFERROR(INDEX('تحليل التكلفة والسعر'!$N$2:$N$300,MATCH($B8,'تحليل التكلفة والسعر'!$B$2:$B$300,0)),IFERROR(INDEX(المكونات!$C$2:$C$500,MATCH($B8,المكونات!$A$2:$A$500,0)),""))</f>
        <v>23.40908</v>
      </c>
      <c r="E8" s="42" t="n">
        <f aca="false">IFERROR($C8*$D8,"")</f>
        <v>1.755681</v>
      </c>
    </row>
    <row r="9" customFormat="false" ht="15" hidden="false" customHeight="true" outlineLevel="0" collapsed="false">
      <c r="A9" s="39" t="s">
        <v>502</v>
      </c>
      <c r="B9" s="39" t="s">
        <v>164</v>
      </c>
      <c r="C9" s="39" t="n">
        <v>0.025</v>
      </c>
      <c r="D9" s="41" t="n">
        <f aca="false">IFERROR(INDEX('تحليل التكلفة والسعر'!$N$2:$N$300,MATCH($B9,'تحليل التكلفة والسعر'!$B$2:$B$300,0)),IFERROR(INDEX(المكونات!$C$2:$C$500,MATCH($B9,المكونات!$A$2:$A$500,0)),""))</f>
        <v>30.2614</v>
      </c>
      <c r="E9" s="42" t="n">
        <f aca="false">IFERROR($C9*$D9,"")</f>
        <v>0.756535</v>
      </c>
    </row>
    <row r="10" customFormat="false" ht="15" hidden="false" customHeight="true" outlineLevel="0" collapsed="false">
      <c r="A10" s="39" t="s">
        <v>502</v>
      </c>
      <c r="B10" s="39" t="s">
        <v>233</v>
      </c>
      <c r="C10" s="39" t="n">
        <v>0.075</v>
      </c>
      <c r="D10" s="41" t="n">
        <f aca="false">IFERROR(INDEX('تحليل التكلفة والسعر'!$N$2:$N$300,MATCH($B10,'تحليل التكلفة والسعر'!$B$2:$B$300,0)),IFERROR(INDEX(المكونات!$C$2:$C$500,MATCH($B10,المكونات!$A$2:$A$500,0)),""))</f>
        <v>20.2727</v>
      </c>
      <c r="E10" s="42" t="n">
        <f aca="false">IFERROR($C10*$D10,"")</f>
        <v>1.5204525</v>
      </c>
    </row>
    <row r="11" customFormat="false" ht="15" hidden="false" customHeight="true" outlineLevel="0" collapsed="false">
      <c r="A11" s="39" t="s">
        <v>502</v>
      </c>
      <c r="B11" s="39" t="s">
        <v>61</v>
      </c>
      <c r="C11" s="39" t="n">
        <v>1</v>
      </c>
      <c r="D11" s="41" t="n">
        <f aca="false">IFERROR(INDEX('تحليل التكلفة والسعر'!$N$2:$N$300,MATCH($B11,'تحليل التكلفة والسعر'!$B$2:$B$300,0)),IFERROR(INDEX(المكونات!$C$2:$C$500,MATCH($B11,المكونات!$A$2:$A$500,0)),""))</f>
        <v>0.5</v>
      </c>
      <c r="E11" s="42" t="n">
        <f aca="false">IFERROR($C11*$D11,"")</f>
        <v>0.5</v>
      </c>
    </row>
    <row r="12" customFormat="false" ht="15" hidden="false" customHeight="true" outlineLevel="0" collapsed="false">
      <c r="A12" s="39" t="s">
        <v>502</v>
      </c>
      <c r="B12" s="39" t="s">
        <v>126</v>
      </c>
      <c r="C12" s="39" t="n">
        <v>1</v>
      </c>
      <c r="D12" s="41" t="n">
        <f aca="false">IFERROR(INDEX('تحليل التكلفة والسعر'!$N$2:$N$300,MATCH($B12,'تحليل التكلفة والسعر'!$B$2:$B$300,0)),IFERROR(INDEX(المكونات!$C$2:$C$500,MATCH($B12,المكونات!$A$2:$A$500,0)),""))</f>
        <v>3.566</v>
      </c>
      <c r="E12" s="42" t="n">
        <f aca="false">IFERROR($C12*$D12,"")</f>
        <v>3.566</v>
      </c>
    </row>
    <row r="13" customFormat="false" ht="15" hidden="false" customHeight="true" outlineLevel="0" collapsed="false">
      <c r="A13" s="39" t="s">
        <v>502</v>
      </c>
      <c r="B13" s="39" t="s">
        <v>178</v>
      </c>
      <c r="C13" s="39" t="n">
        <v>1</v>
      </c>
      <c r="D13" s="41" t="n">
        <f aca="false">IFERROR(INDEX('تحليل التكلفة والسعر'!$N$2:$N$300,MATCH($B13,'تحليل التكلفة والسعر'!$B$2:$B$300,0)),IFERROR(INDEX(المكونات!$C$2:$C$500,MATCH($B13,المكونات!$A$2:$A$500,0)),""))</f>
        <v>0.3</v>
      </c>
      <c r="E13" s="42" t="n">
        <f aca="false">IFERROR($C13*$D13,"")</f>
        <v>0.3</v>
      </c>
    </row>
    <row r="14" customFormat="false" ht="15" hidden="false" customHeight="true" outlineLevel="0" collapsed="false">
      <c r="A14" s="39" t="s">
        <v>502</v>
      </c>
      <c r="B14" s="39" t="s">
        <v>145</v>
      </c>
      <c r="C14" s="39" t="n">
        <v>1</v>
      </c>
      <c r="D14" s="41" t="n">
        <f aca="false">IFERROR(INDEX('تحليل التكلفة والسعر'!$N$2:$N$300,MATCH($B14,'تحليل التكلفة والسعر'!$B$2:$B$300,0)),IFERROR(INDEX(المكونات!$C$2:$C$500,MATCH($B14,المكونات!$A$2:$A$500,0)),""))</f>
        <v>0.18</v>
      </c>
      <c r="E14" s="42" t="n">
        <f aca="false">IFERROR($C14*$D14,"")</f>
        <v>0.18</v>
      </c>
    </row>
    <row r="15" customFormat="false" ht="15" hidden="false" customHeight="true" outlineLevel="0" collapsed="false">
      <c r="A15" s="39" t="s">
        <v>503</v>
      </c>
      <c r="B15" s="39" t="s">
        <v>200</v>
      </c>
      <c r="C15" s="39" t="n">
        <v>0.5</v>
      </c>
      <c r="D15" s="41" t="n">
        <f aca="false">IFERROR(INDEX('تحليل التكلفة والسعر'!$N$2:$N$300,MATCH($B15,'تحليل التكلفة والسعر'!$B$2:$B$300,0)),IFERROR(INDEX(المكونات!$C$2:$C$500,MATCH($B15,المكونات!$A$2:$A$500,0)),""))</f>
        <v>4</v>
      </c>
      <c r="E15" s="42" t="n">
        <f aca="false">IFERROR($C15*$D15,"")</f>
        <v>2</v>
      </c>
    </row>
    <row r="16" customFormat="false" ht="15" hidden="false" customHeight="true" outlineLevel="0" collapsed="false">
      <c r="A16" s="39" t="s">
        <v>503</v>
      </c>
      <c r="B16" s="39" t="s">
        <v>260</v>
      </c>
      <c r="C16" s="39" t="n">
        <v>0.075</v>
      </c>
      <c r="D16" s="41" t="n">
        <f aca="false">IFERROR(INDEX('تحليل التكلفة والسعر'!$N$2:$N$300,MATCH($B16,'تحليل التكلفة والسعر'!$B$2:$B$300,0)),IFERROR(INDEX(المكونات!$C$2:$C$500,MATCH($B16,المكونات!$A$2:$A$500,0)),""))</f>
        <v>23.40908</v>
      </c>
      <c r="E16" s="42" t="n">
        <f aca="false">IFERROR($C16*$D16,"")</f>
        <v>1.755681</v>
      </c>
    </row>
    <row r="17" customFormat="false" ht="15" hidden="false" customHeight="true" outlineLevel="0" collapsed="false">
      <c r="A17" s="39" t="s">
        <v>503</v>
      </c>
      <c r="B17" s="39" t="s">
        <v>180</v>
      </c>
      <c r="C17" s="39" t="n">
        <v>0.08</v>
      </c>
      <c r="D17" s="41" t="n">
        <f aca="false">IFERROR(INDEX('تحليل التكلفة والسعر'!$N$2:$N$300,MATCH($B17,'تحليل التكلفة والسعر'!$B$2:$B$300,0)),IFERROR(INDEX(المكونات!$C$2:$C$500,MATCH($B17,المكونات!$A$2:$A$500,0)),""))</f>
        <v>130</v>
      </c>
      <c r="E17" s="42" t="n">
        <f aca="false">IFERROR($C17*$D17,"")</f>
        <v>10.4</v>
      </c>
    </row>
    <row r="18" customFormat="false" ht="15" hidden="false" customHeight="true" outlineLevel="0" collapsed="false">
      <c r="A18" s="39" t="s">
        <v>503</v>
      </c>
      <c r="B18" s="39" t="s">
        <v>182</v>
      </c>
      <c r="C18" s="39" t="n">
        <v>0.015</v>
      </c>
      <c r="D18" s="41" t="n">
        <f aca="false">IFERROR(INDEX('تحليل التكلفة والسعر'!$N$2:$N$300,MATCH($B18,'تحليل التكلفة والسعر'!$B$2:$B$300,0)),IFERROR(INDEX(المكونات!$C$2:$C$500,MATCH($B18,المكونات!$A$2:$A$500,0)),""))</f>
        <v>100</v>
      </c>
      <c r="E18" s="42" t="n">
        <f aca="false">IFERROR($C18*$D18,"")</f>
        <v>1.5</v>
      </c>
    </row>
    <row r="19" customFormat="false" ht="15" hidden="false" customHeight="true" outlineLevel="0" collapsed="false">
      <c r="A19" s="39" t="s">
        <v>503</v>
      </c>
      <c r="B19" s="39" t="s">
        <v>61</v>
      </c>
      <c r="C19" s="39" t="n">
        <v>1</v>
      </c>
      <c r="D19" s="41" t="n">
        <f aca="false">IFERROR(INDEX('تحليل التكلفة والسعر'!$N$2:$N$300,MATCH($B19,'تحليل التكلفة والسعر'!$B$2:$B$300,0)),IFERROR(INDEX(المكونات!$C$2:$C$500,MATCH($B19,المكونات!$A$2:$A$500,0)),""))</f>
        <v>0.5</v>
      </c>
      <c r="E19" s="42" t="n">
        <f aca="false">IFERROR($C19*$D19,"")</f>
        <v>0.5</v>
      </c>
    </row>
    <row r="20" customFormat="false" ht="15" hidden="false" customHeight="true" outlineLevel="0" collapsed="false">
      <c r="A20" s="39" t="s">
        <v>503</v>
      </c>
      <c r="B20" s="39" t="s">
        <v>126</v>
      </c>
      <c r="C20" s="39" t="n">
        <v>1</v>
      </c>
      <c r="D20" s="41" t="n">
        <f aca="false">IFERROR(INDEX('تحليل التكلفة والسعر'!$N$2:$N$300,MATCH($B20,'تحليل التكلفة والسعر'!$B$2:$B$300,0)),IFERROR(INDEX(المكونات!$C$2:$C$500,MATCH($B20,المكونات!$A$2:$A$500,0)),""))</f>
        <v>3.566</v>
      </c>
      <c r="E20" s="42" t="n">
        <f aca="false">IFERROR($C20*$D20,"")</f>
        <v>3.566</v>
      </c>
    </row>
    <row r="21" customFormat="false" ht="15" hidden="false" customHeight="true" outlineLevel="0" collapsed="false">
      <c r="A21" s="39" t="s">
        <v>503</v>
      </c>
      <c r="B21" s="39" t="s">
        <v>178</v>
      </c>
      <c r="C21" s="39" t="n">
        <v>1</v>
      </c>
      <c r="D21" s="41" t="n">
        <f aca="false">IFERROR(INDEX('تحليل التكلفة والسعر'!$N$2:$N$300,MATCH($B21,'تحليل التكلفة والسعر'!$B$2:$B$300,0)),IFERROR(INDEX(المكونات!$C$2:$C$500,MATCH($B21,المكونات!$A$2:$A$500,0)),""))</f>
        <v>0.3</v>
      </c>
      <c r="E21" s="42" t="n">
        <f aca="false">IFERROR($C21*$D21,"")</f>
        <v>0.3</v>
      </c>
    </row>
    <row r="22" customFormat="false" ht="15" hidden="false" customHeight="true" outlineLevel="0" collapsed="false">
      <c r="A22" s="39" t="s">
        <v>503</v>
      </c>
      <c r="B22" s="39" t="s">
        <v>145</v>
      </c>
      <c r="C22" s="39" t="n">
        <v>1</v>
      </c>
      <c r="D22" s="41" t="n">
        <f aca="false">IFERROR(INDEX('تحليل التكلفة والسعر'!$N$2:$N$300,MATCH($B22,'تحليل التكلفة والسعر'!$B$2:$B$300,0)),IFERROR(INDEX(المكونات!$C$2:$C$500,MATCH($B22,المكونات!$A$2:$A$500,0)),""))</f>
        <v>0.18</v>
      </c>
      <c r="E22" s="42" t="n">
        <f aca="false">IFERROR($C22*$D22,"")</f>
        <v>0.18</v>
      </c>
    </row>
    <row r="23" customFormat="false" ht="26.25" hidden="false" customHeight="true" outlineLevel="0" collapsed="false">
      <c r="A23" s="39" t="s">
        <v>504</v>
      </c>
      <c r="B23" s="39" t="s">
        <v>403</v>
      </c>
      <c r="C23" s="39" t="n">
        <v>1</v>
      </c>
      <c r="D23" s="41" t="n">
        <f aca="false">IFERROR(INDEX('تحليل التكلفة والسعر'!$N$2:$N$300,MATCH($B23,'تحليل التكلفة والسعر'!$B$2:$B$300,0)),IFERROR(INDEX(المكونات!$C$2:$C$500,MATCH($B23,المكونات!$A$2:$A$500,0)),""))</f>
        <v>38.8479</v>
      </c>
      <c r="E23" s="42" t="n">
        <f aca="false">IFERROR($C23*$D23,"")</f>
        <v>38.8479</v>
      </c>
    </row>
    <row r="24" customFormat="false" ht="26.25" hidden="false" customHeight="true" outlineLevel="0" collapsed="false">
      <c r="A24" s="39" t="s">
        <v>504</v>
      </c>
      <c r="B24" s="39" t="s">
        <v>424</v>
      </c>
      <c r="C24" s="39" t="n">
        <v>1</v>
      </c>
      <c r="D24" s="41" t="n">
        <f aca="false">IFERROR(INDEX('تحليل التكلفة والسعر'!$N$2:$N$300,MATCH($B24,'تحليل التكلفة والسعر'!$B$2:$B$300,0)),IFERROR(INDEX(المكونات!$C$2:$C$500,MATCH($B24,المكونات!$A$2:$A$500,0)),""))</f>
        <v>72.8479</v>
      </c>
      <c r="E24" s="42" t="n">
        <f aca="false">IFERROR($C24*$D24,"")</f>
        <v>72.8479</v>
      </c>
    </row>
    <row r="25" customFormat="false" ht="26.25" hidden="false" customHeight="true" outlineLevel="0" collapsed="false">
      <c r="A25" s="39" t="s">
        <v>504</v>
      </c>
      <c r="B25" s="39" t="s">
        <v>373</v>
      </c>
      <c r="C25" s="39" t="n">
        <v>1</v>
      </c>
      <c r="D25" s="41" t="n">
        <f aca="false">IFERROR(INDEX('تحليل التكلفة والسعر'!$N$2:$N$300,MATCH($B25,'تحليل التكلفة والسعر'!$B$2:$B$300,0)),IFERROR(INDEX(المكونات!$C$2:$C$500,MATCH($B25,المكونات!$A$2:$A$500,0)),""))</f>
        <v>73.8479</v>
      </c>
      <c r="E25" s="42" t="n">
        <f aca="false">IFERROR($C25*$D25,"")</f>
        <v>73.8479</v>
      </c>
    </row>
    <row r="26" customFormat="false" ht="26.25" hidden="false" customHeight="true" outlineLevel="0" collapsed="false">
      <c r="A26" s="39" t="s">
        <v>505</v>
      </c>
      <c r="B26" s="39" t="s">
        <v>453</v>
      </c>
      <c r="C26" s="39" t="n">
        <v>1</v>
      </c>
      <c r="D26" s="41" t="n">
        <f aca="false">IFERROR(INDEX('تحليل التكلفة والسعر'!$N$2:$N$300,MATCH($B26,'تحليل التكلفة والسعر'!$B$2:$B$300,0)),IFERROR(INDEX(المكونات!$C$2:$C$500,MATCH($B26,المكونات!$A$2:$A$500,0)),""))</f>
        <v>77.2279</v>
      </c>
      <c r="E26" s="42" t="n">
        <f aca="false">IFERROR($C26*$D26,"")</f>
        <v>77.2279</v>
      </c>
    </row>
    <row r="27" customFormat="false" ht="26.25" hidden="false" customHeight="true" outlineLevel="0" collapsed="false">
      <c r="A27" s="39" t="s">
        <v>505</v>
      </c>
      <c r="B27" s="39" t="s">
        <v>383</v>
      </c>
      <c r="C27" s="39" t="n">
        <v>1</v>
      </c>
      <c r="D27" s="41" t="n">
        <f aca="false">IFERROR(INDEX('تحليل التكلفة والسعر'!$N$2:$N$300,MATCH($B27,'تحليل التكلفة والسعر'!$B$2:$B$300,0)),IFERROR(INDEX(المكونات!$C$2:$C$500,MATCH($B27,المكونات!$A$2:$A$500,0)),""))</f>
        <v>69.2279</v>
      </c>
      <c r="E27" s="42" t="n">
        <f aca="false">IFERROR($C27*$D27,"")</f>
        <v>69.2279</v>
      </c>
    </row>
    <row r="28" customFormat="false" ht="26.25" hidden="false" customHeight="true" outlineLevel="0" collapsed="false">
      <c r="A28" s="39" t="s">
        <v>505</v>
      </c>
      <c r="B28" s="39" t="s">
        <v>365</v>
      </c>
      <c r="C28" s="39" t="n">
        <v>1</v>
      </c>
      <c r="D28" s="41" t="n">
        <f aca="false">IFERROR(INDEX('تحليل التكلفة والسعر'!$N$2:$N$300,MATCH($B28,'تحليل التكلفة والسعر'!$B$2:$B$300,0)),IFERROR(INDEX(المكونات!$C$2:$C$500,MATCH($B28,المكونات!$A$2:$A$500,0)),""))</f>
        <v>20.097637</v>
      </c>
      <c r="E28" s="42" t="n">
        <f aca="false">IFERROR($C28*$D28,"")</f>
        <v>20.097637</v>
      </c>
    </row>
    <row r="29" customFormat="false" ht="26.25" hidden="false" customHeight="true" outlineLevel="0" collapsed="false">
      <c r="A29" s="39" t="s">
        <v>506</v>
      </c>
      <c r="B29" s="39" t="s">
        <v>460</v>
      </c>
      <c r="C29" s="39" t="n">
        <v>1</v>
      </c>
      <c r="D29" s="41" t="n">
        <f aca="false">IFERROR(INDEX('تحليل التكلفة والسعر'!$N$2:$N$300,MATCH($B29,'تحليل التكلفة والسعر'!$B$2:$B$300,0)),IFERROR(INDEX(المكونات!$C$2:$C$500,MATCH($B29,المكونات!$A$2:$A$500,0)),""))</f>
        <v>80.1579</v>
      </c>
      <c r="E29" s="42" t="n">
        <f aca="false">IFERROR($C29*$D29,"")</f>
        <v>80.1579</v>
      </c>
    </row>
    <row r="30" customFormat="false" ht="26.25" hidden="false" customHeight="true" outlineLevel="0" collapsed="false">
      <c r="A30" s="39" t="s">
        <v>506</v>
      </c>
      <c r="B30" s="39" t="s">
        <v>80</v>
      </c>
      <c r="C30" s="39" t="n">
        <v>1</v>
      </c>
      <c r="D30" s="41" t="n">
        <f aca="false">IFERROR(INDEX('تحليل التكلفة والسعر'!$N$2:$N$300,MATCH($B30,'تحليل التكلفة والسعر'!$B$2:$B$300,0)),IFERROR(INDEX(المكونات!$C$2:$C$500,MATCH($B30,المكونات!$A$2:$A$500,0)),""))</f>
        <v>5.65</v>
      </c>
      <c r="E30" s="42" t="n">
        <f aca="false">IFERROR($C30*$D30,"")</f>
        <v>5.65</v>
      </c>
    </row>
    <row r="31" customFormat="false" ht="26.25" hidden="false" customHeight="true" outlineLevel="0" collapsed="false">
      <c r="A31" s="39" t="s">
        <v>506</v>
      </c>
      <c r="B31" s="39" t="s">
        <v>134</v>
      </c>
      <c r="C31" s="39" t="n">
        <v>1</v>
      </c>
      <c r="D31" s="41" t="n">
        <f aca="false">IFERROR(INDEX('تحليل التكلفة والسعر'!$N$2:$N$300,MATCH($B31,'تحليل التكلفة والسعر'!$B$2:$B$300,0)),IFERROR(INDEX(المكونات!$C$2:$C$500,MATCH($B31,المكونات!$A$2:$A$500,0)),""))</f>
        <v>6.09</v>
      </c>
      <c r="E31" s="42" t="n">
        <f aca="false">IFERROR($C31*$D31,"")</f>
        <v>6.09</v>
      </c>
    </row>
    <row r="32" customFormat="false" ht="26.25" hidden="false" customHeight="true" outlineLevel="0" collapsed="false">
      <c r="A32" s="39" t="s">
        <v>507</v>
      </c>
      <c r="B32" s="39" t="s">
        <v>403</v>
      </c>
      <c r="C32" s="39" t="n">
        <v>1</v>
      </c>
      <c r="D32" s="41" t="n">
        <f aca="false">IFERROR(INDEX('تحليل التكلفة والسعر'!$N$2:$N$300,MATCH($B32,'تحليل التكلفة والسعر'!$B$2:$B$300,0)),IFERROR(INDEX(المكونات!$C$2:$C$500,MATCH($B32,المكونات!$A$2:$A$500,0)),""))</f>
        <v>38.8479</v>
      </c>
      <c r="E32" s="42" t="n">
        <f aca="false">IFERROR($C32*$D32,"")</f>
        <v>38.8479</v>
      </c>
    </row>
    <row r="33" customFormat="false" ht="26.25" hidden="false" customHeight="true" outlineLevel="0" collapsed="false">
      <c r="A33" s="39" t="s">
        <v>507</v>
      </c>
      <c r="B33" s="39" t="s">
        <v>371</v>
      </c>
      <c r="C33" s="39" t="n">
        <v>1</v>
      </c>
      <c r="D33" s="41" t="n">
        <f aca="false">IFERROR(INDEX('تحليل التكلفة والسعر'!$N$2:$N$300,MATCH($B33,'تحليل التكلفة والسعر'!$B$2:$B$300,0)),IFERROR(INDEX(المكونات!$C$2:$C$500,MATCH($B33,المكونات!$A$2:$A$500,0)),""))</f>
        <v>65.9921</v>
      </c>
      <c r="E33" s="42" t="n">
        <f aca="false">IFERROR($C33*$D33,"")</f>
        <v>65.9921</v>
      </c>
    </row>
    <row r="34" customFormat="false" ht="15" hidden="false" customHeight="true" outlineLevel="0" collapsed="false">
      <c r="A34" s="21"/>
      <c r="B34" s="21"/>
      <c r="C34" s="21"/>
      <c r="D34" s="44"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21"/>
      <c r="B35" s="21"/>
      <c r="C35" s="21"/>
      <c r="D35" s="44"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21"/>
      <c r="B36" s="21"/>
      <c r="C36" s="21"/>
      <c r="D36" s="44"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21"/>
      <c r="B37" s="21"/>
      <c r="C37" s="21"/>
      <c r="D37" s="44"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21"/>
      <c r="B38" s="21"/>
      <c r="C38" s="21"/>
      <c r="D38" s="44"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21"/>
      <c r="B39" s="21"/>
      <c r="C39" s="21"/>
      <c r="D39" s="44"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21"/>
      <c r="B40" s="21"/>
      <c r="C40" s="21"/>
      <c r="D40" s="44"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21"/>
      <c r="B41" s="21"/>
      <c r="C41" s="21"/>
      <c r="D41" s="44"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21"/>
      <c r="B42" s="21"/>
      <c r="C42" s="21"/>
      <c r="D42" s="44"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21"/>
      <c r="B43" s="21"/>
      <c r="C43" s="21"/>
      <c r="D43" s="44"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21"/>
      <c r="B44" s="21"/>
      <c r="C44" s="21"/>
      <c r="D44" s="44"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21"/>
      <c r="B45" s="21"/>
      <c r="C45" s="21"/>
      <c r="D45" s="44"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21"/>
      <c r="B46" s="21"/>
      <c r="C46" s="21"/>
      <c r="D46" s="44"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21"/>
      <c r="B47" s="21"/>
      <c r="C47" s="21"/>
      <c r="D47" s="44"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21"/>
      <c r="B48" s="21"/>
      <c r="C48" s="21"/>
      <c r="D48" s="44"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21"/>
      <c r="B49" s="21"/>
      <c r="C49" s="21"/>
      <c r="D49" s="44"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21"/>
      <c r="B50" s="21"/>
      <c r="C50" s="21"/>
      <c r="D50" s="44"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21"/>
      <c r="B51" s="21"/>
      <c r="C51" s="21"/>
      <c r="D51" s="44"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21"/>
      <c r="B52" s="21"/>
      <c r="C52" s="21"/>
      <c r="D52" s="44"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21"/>
      <c r="B53" s="21"/>
      <c r="C53" s="21"/>
      <c r="D53" s="44"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21"/>
      <c r="B54" s="21"/>
      <c r="C54" s="21"/>
      <c r="D54" s="44"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21"/>
      <c r="B55" s="21"/>
      <c r="C55" s="21"/>
      <c r="D55" s="44"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21"/>
      <c r="B56" s="21"/>
      <c r="C56" s="21"/>
      <c r="D56" s="44"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21"/>
      <c r="B57" s="21"/>
      <c r="C57" s="21"/>
      <c r="D57" s="44"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21"/>
      <c r="B58" s="21"/>
      <c r="C58" s="21"/>
      <c r="D58" s="44"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21"/>
      <c r="B59" s="21"/>
      <c r="C59" s="21"/>
      <c r="D59" s="44"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21"/>
      <c r="B60" s="21"/>
      <c r="C60" s="21"/>
      <c r="D60" s="44"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21"/>
      <c r="B61" s="21"/>
      <c r="C61" s="21"/>
      <c r="D61" s="44"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21"/>
      <c r="B62" s="21"/>
      <c r="C62" s="21"/>
      <c r="D62" s="44"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21"/>
      <c r="B63" s="21"/>
      <c r="C63" s="21"/>
      <c r="D63" s="44"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21"/>
      <c r="B64" s="21"/>
      <c r="C64" s="21"/>
      <c r="D64" s="44"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21"/>
      <c r="B65" s="21"/>
      <c r="C65" s="21"/>
      <c r="D65" s="44"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21"/>
      <c r="B66" s="21"/>
      <c r="C66" s="21"/>
      <c r="D66" s="44"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21"/>
      <c r="B67" s="21"/>
      <c r="C67" s="21"/>
      <c r="D67" s="44"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21"/>
      <c r="B68" s="21"/>
      <c r="C68" s="21"/>
      <c r="D68" s="44"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21"/>
      <c r="B69" s="21"/>
      <c r="C69" s="21"/>
      <c r="D69" s="44"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21"/>
      <c r="B70" s="21"/>
      <c r="C70" s="21"/>
      <c r="D70" s="44"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21"/>
      <c r="B71" s="21"/>
      <c r="C71" s="21"/>
      <c r="D71" s="44"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21"/>
      <c r="B72" s="21"/>
      <c r="C72" s="21"/>
      <c r="D72" s="44"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21"/>
      <c r="B73" s="21"/>
      <c r="C73" s="21"/>
      <c r="D73" s="44"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21"/>
      <c r="B74" s="21"/>
      <c r="C74" s="21"/>
      <c r="D74" s="44"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21"/>
      <c r="B75" s="21"/>
      <c r="C75" s="21"/>
      <c r="D75" s="44"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21"/>
      <c r="B76" s="21"/>
      <c r="C76" s="21"/>
      <c r="D76" s="44"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21"/>
      <c r="B77" s="21"/>
      <c r="C77" s="21"/>
      <c r="D77" s="44"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21"/>
      <c r="B78" s="21"/>
      <c r="C78" s="21"/>
      <c r="D78" s="44"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21"/>
      <c r="B79" s="21"/>
      <c r="C79" s="21"/>
      <c r="D79" s="44"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21"/>
      <c r="B80" s="21"/>
      <c r="C80" s="21"/>
      <c r="D80" s="44"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21"/>
      <c r="B81" s="21"/>
      <c r="C81" s="21"/>
      <c r="D81" s="44"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21"/>
      <c r="B82" s="21"/>
      <c r="C82" s="21"/>
      <c r="D82" s="44"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21"/>
      <c r="B83" s="21"/>
      <c r="C83" s="21"/>
      <c r="D83" s="44"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21"/>
      <c r="B84" s="21"/>
      <c r="C84" s="21"/>
      <c r="D84" s="44"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21"/>
      <c r="B85" s="21"/>
      <c r="C85" s="21"/>
      <c r="D85" s="44"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21"/>
      <c r="B86" s="21"/>
      <c r="C86" s="21"/>
      <c r="D86" s="44"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21"/>
      <c r="B87" s="21"/>
      <c r="C87" s="21"/>
      <c r="D87" s="44"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21"/>
      <c r="B88" s="21"/>
      <c r="C88" s="21"/>
      <c r="D88" s="44"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21"/>
      <c r="B89" s="21"/>
      <c r="C89" s="21"/>
      <c r="D89" s="44"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21"/>
      <c r="B90" s="21"/>
      <c r="C90" s="21"/>
      <c r="D90" s="44"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21"/>
      <c r="B91" s="21"/>
      <c r="C91" s="21"/>
      <c r="D91" s="44"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21"/>
      <c r="B92" s="21"/>
      <c r="C92" s="21"/>
      <c r="D92" s="44"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21"/>
      <c r="B93" s="21"/>
      <c r="C93" s="21"/>
      <c r="D93" s="44"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21"/>
      <c r="B94" s="21"/>
      <c r="C94" s="21"/>
      <c r="D94" s="44"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21"/>
      <c r="B95" s="21"/>
      <c r="C95" s="21"/>
      <c r="D95" s="44"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21"/>
      <c r="B96" s="21"/>
      <c r="C96" s="21"/>
      <c r="D96" s="44"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21"/>
      <c r="B97" s="21"/>
      <c r="C97" s="21"/>
      <c r="D97" s="44"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21"/>
      <c r="B98" s="21"/>
      <c r="C98" s="21"/>
      <c r="D98" s="44"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21"/>
      <c r="B99" s="21"/>
      <c r="C99" s="21"/>
      <c r="D99" s="44"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21"/>
      <c r="B100" s="21"/>
      <c r="C100" s="21"/>
      <c r="D100" s="44"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21"/>
      <c r="B101" s="21"/>
      <c r="C101" s="21"/>
      <c r="D101" s="44"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21"/>
      <c r="B102" s="21"/>
      <c r="C102" s="21"/>
      <c r="D102" s="44"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21"/>
      <c r="B103" s="21"/>
      <c r="C103" s="21"/>
      <c r="D103" s="44"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21"/>
      <c r="B104" s="21"/>
      <c r="C104" s="21"/>
      <c r="D104" s="44"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21"/>
      <c r="B105" s="21"/>
      <c r="C105" s="21"/>
      <c r="D105" s="44"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21"/>
      <c r="B106" s="21"/>
      <c r="C106" s="21"/>
      <c r="D106" s="44"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21"/>
      <c r="B107" s="21"/>
      <c r="C107" s="21"/>
      <c r="D107" s="44"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21"/>
      <c r="B108" s="21"/>
      <c r="C108" s="21"/>
      <c r="D108" s="44"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21"/>
      <c r="B109" s="21"/>
      <c r="C109" s="21"/>
      <c r="D109" s="44"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21"/>
      <c r="B110" s="21"/>
      <c r="C110" s="21"/>
      <c r="D110" s="44"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21"/>
      <c r="B111" s="21"/>
      <c r="C111" s="21"/>
      <c r="D111" s="44"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21"/>
      <c r="B112" s="21"/>
      <c r="C112" s="21"/>
      <c r="D112" s="44"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21"/>
      <c r="B113" s="21"/>
      <c r="C113" s="21"/>
      <c r="D113" s="44"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21"/>
      <c r="B114" s="21"/>
      <c r="C114" s="21"/>
      <c r="D114" s="44"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21"/>
      <c r="B115" s="21"/>
      <c r="C115" s="21"/>
      <c r="D115" s="44"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21"/>
      <c r="B116" s="21"/>
      <c r="C116" s="21"/>
      <c r="D116" s="44"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21"/>
      <c r="B117" s="21"/>
      <c r="C117" s="21"/>
      <c r="D117" s="44"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21"/>
      <c r="B118" s="21"/>
      <c r="C118" s="21"/>
      <c r="D118" s="44"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21"/>
      <c r="B119" s="21"/>
      <c r="C119" s="21"/>
      <c r="D119" s="44"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21"/>
      <c r="B120" s="21"/>
      <c r="C120" s="21"/>
      <c r="D120" s="44"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21"/>
      <c r="B121" s="21"/>
      <c r="C121" s="21"/>
      <c r="D121" s="44"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21"/>
      <c r="B122" s="21"/>
      <c r="C122" s="21"/>
      <c r="D122" s="44"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21"/>
      <c r="B123" s="21"/>
      <c r="C123" s="21"/>
      <c r="D123" s="44"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21"/>
      <c r="B124" s="21"/>
      <c r="C124" s="21"/>
      <c r="D124" s="44"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21"/>
      <c r="B125" s="21"/>
      <c r="C125" s="21"/>
      <c r="D125" s="44"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21"/>
      <c r="B126" s="21"/>
      <c r="C126" s="21"/>
      <c r="D126" s="44"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21"/>
      <c r="B127" s="21"/>
      <c r="C127" s="21"/>
      <c r="D127" s="44"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21"/>
      <c r="B128" s="21"/>
      <c r="C128" s="21"/>
      <c r="D128" s="44"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21"/>
      <c r="B129" s="21"/>
      <c r="C129" s="21"/>
      <c r="D129" s="44"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21"/>
      <c r="B130" s="21"/>
      <c r="C130" s="21"/>
      <c r="D130" s="44"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21"/>
      <c r="B131" s="21"/>
      <c r="C131" s="21"/>
      <c r="D131" s="44"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21"/>
      <c r="B132" s="21"/>
      <c r="C132" s="21"/>
      <c r="D132" s="44"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21"/>
      <c r="B133" s="21"/>
      <c r="C133" s="21"/>
      <c r="D133" s="44"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21"/>
      <c r="B134" s="21"/>
      <c r="C134" s="21"/>
      <c r="D134" s="44"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21"/>
      <c r="B135" s="21"/>
      <c r="C135" s="21"/>
      <c r="D135" s="44"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21"/>
      <c r="B136" s="21"/>
      <c r="C136" s="21"/>
      <c r="D136" s="44"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21"/>
      <c r="B137" s="21"/>
      <c r="C137" s="21"/>
      <c r="D137" s="44"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21"/>
      <c r="B138" s="21"/>
      <c r="C138" s="21"/>
      <c r="D138" s="44"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21"/>
      <c r="B139" s="21"/>
      <c r="C139" s="21"/>
      <c r="D139" s="44"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21"/>
      <c r="B140" s="21"/>
      <c r="C140" s="21"/>
      <c r="D140" s="44"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21"/>
      <c r="B141" s="21"/>
      <c r="C141" s="21"/>
      <c r="D141" s="44"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21"/>
      <c r="B142" s="21"/>
      <c r="C142" s="21"/>
      <c r="D142" s="44"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21"/>
      <c r="B143" s="21"/>
      <c r="C143" s="21"/>
      <c r="D143" s="44"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21"/>
      <c r="B144" s="21"/>
      <c r="C144" s="21"/>
      <c r="D144" s="44"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21"/>
      <c r="B145" s="21"/>
      <c r="C145" s="21"/>
      <c r="D145" s="44"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21"/>
      <c r="B146" s="21"/>
      <c r="C146" s="21"/>
      <c r="D146" s="44"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21"/>
      <c r="B147" s="21"/>
      <c r="C147" s="21"/>
      <c r="D147" s="44"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21"/>
      <c r="B148" s="21"/>
      <c r="C148" s="21"/>
      <c r="D148" s="44"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21"/>
      <c r="B149" s="21"/>
      <c r="C149" s="21"/>
      <c r="D149" s="44"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21"/>
      <c r="B150" s="21"/>
      <c r="C150" s="21"/>
      <c r="D150" s="44"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21"/>
      <c r="B151" s="21"/>
      <c r="C151" s="21"/>
      <c r="D151" s="44"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21"/>
      <c r="B152" s="21"/>
      <c r="C152" s="21"/>
      <c r="D152" s="44"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21"/>
      <c r="B153" s="21"/>
      <c r="C153" s="21"/>
      <c r="D153" s="44"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21"/>
      <c r="B154" s="21"/>
      <c r="C154" s="21"/>
      <c r="D154" s="44"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21"/>
      <c r="B155" s="21"/>
      <c r="C155" s="21"/>
      <c r="D155" s="44"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21"/>
      <c r="B156" s="21"/>
      <c r="C156" s="21"/>
      <c r="D156" s="44"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21"/>
      <c r="B157" s="21"/>
      <c r="C157" s="21"/>
      <c r="D157" s="44"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21"/>
      <c r="B158" s="21"/>
      <c r="C158" s="21"/>
      <c r="D158" s="44"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21"/>
      <c r="B159" s="21"/>
      <c r="C159" s="21"/>
      <c r="D159" s="44"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21"/>
      <c r="B160" s="21"/>
      <c r="C160" s="21"/>
      <c r="D160" s="44"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21"/>
      <c r="B161" s="21"/>
      <c r="C161" s="21"/>
      <c r="D161" s="44"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21"/>
      <c r="B162" s="21"/>
      <c r="C162" s="21"/>
      <c r="D162" s="44"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21"/>
      <c r="B163" s="21"/>
      <c r="C163" s="21"/>
      <c r="D163" s="44"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21"/>
      <c r="B164" s="21"/>
      <c r="C164" s="21"/>
      <c r="D164" s="44"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21"/>
      <c r="B165" s="21"/>
      <c r="C165" s="21"/>
      <c r="D165" s="44"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21"/>
      <c r="B166" s="21"/>
      <c r="C166" s="21"/>
      <c r="D166" s="44"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21"/>
      <c r="B167" s="21"/>
      <c r="C167" s="21"/>
      <c r="D167" s="44"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21"/>
      <c r="B168" s="21"/>
      <c r="C168" s="21"/>
      <c r="D168" s="44"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21"/>
      <c r="B169" s="21"/>
      <c r="C169" s="21"/>
      <c r="D169" s="44"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21"/>
      <c r="B170" s="21"/>
      <c r="C170" s="21"/>
      <c r="D170" s="44"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21"/>
      <c r="B171" s="21"/>
      <c r="C171" s="21"/>
      <c r="D171" s="44"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21"/>
      <c r="B172" s="21"/>
      <c r="C172" s="21"/>
      <c r="D172" s="44"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21"/>
      <c r="B173" s="21"/>
      <c r="C173" s="21"/>
      <c r="D173" s="44"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21"/>
      <c r="B174" s="21"/>
      <c r="C174" s="21"/>
      <c r="D174" s="44"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21"/>
      <c r="B175" s="21"/>
      <c r="C175" s="21"/>
      <c r="D175" s="44"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21"/>
      <c r="B176" s="21"/>
      <c r="C176" s="21"/>
      <c r="D176" s="44"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21"/>
      <c r="B177" s="21"/>
      <c r="C177" s="21"/>
      <c r="D177" s="44"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21"/>
      <c r="B178" s="21"/>
      <c r="C178" s="21"/>
      <c r="D178" s="44"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21"/>
      <c r="B179" s="21"/>
      <c r="C179" s="21"/>
      <c r="D179" s="44"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21"/>
      <c r="B180" s="21"/>
      <c r="C180" s="21"/>
      <c r="D180" s="44"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21"/>
      <c r="B181" s="21"/>
      <c r="C181" s="21"/>
      <c r="D181" s="44"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21"/>
      <c r="B182" s="21"/>
      <c r="C182" s="21"/>
      <c r="D182" s="44"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21"/>
      <c r="B183" s="21"/>
      <c r="C183" s="21"/>
      <c r="D183" s="44"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21"/>
      <c r="B184" s="21"/>
      <c r="C184" s="21"/>
      <c r="D184" s="44"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21"/>
      <c r="B185" s="21"/>
      <c r="C185" s="21"/>
      <c r="D185" s="44"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21"/>
      <c r="B186" s="21"/>
      <c r="C186" s="21"/>
      <c r="D186" s="44"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21"/>
      <c r="B187" s="21"/>
      <c r="C187" s="21"/>
      <c r="D187" s="44"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21"/>
      <c r="B188" s="21"/>
      <c r="C188" s="21"/>
      <c r="D188" s="44"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21"/>
      <c r="B189" s="21"/>
      <c r="C189" s="21"/>
      <c r="D189" s="44"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21"/>
      <c r="B190" s="21"/>
      <c r="C190" s="21"/>
      <c r="D190" s="44"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21"/>
      <c r="B191" s="21"/>
      <c r="C191" s="21"/>
      <c r="D191" s="44"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21"/>
      <c r="B192" s="21"/>
      <c r="C192" s="21"/>
      <c r="D192" s="44"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21"/>
      <c r="B193" s="21"/>
      <c r="C193" s="21"/>
      <c r="D193" s="44"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21"/>
      <c r="B194" s="21"/>
      <c r="C194" s="21"/>
      <c r="D194" s="44"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21"/>
      <c r="B195" s="21"/>
      <c r="C195" s="21"/>
      <c r="D195" s="44"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21"/>
      <c r="B196" s="21"/>
      <c r="C196" s="21"/>
      <c r="D196" s="44"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21"/>
      <c r="B197" s="21"/>
      <c r="C197" s="21"/>
      <c r="D197" s="44"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21"/>
      <c r="B198" s="21"/>
      <c r="C198" s="21"/>
      <c r="D198" s="44"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21"/>
      <c r="B199" s="21"/>
      <c r="C199" s="21"/>
      <c r="D199" s="44"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21"/>
      <c r="B200" s="21"/>
      <c r="C200" s="21"/>
      <c r="D200" s="44"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21"/>
      <c r="B201" s="21"/>
      <c r="C201" s="21"/>
      <c r="D201" s="44"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21"/>
      <c r="B202" s="21"/>
      <c r="C202" s="21"/>
      <c r="D202" s="44"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508</v>
      </c>
      <c r="B204" s="9"/>
      <c r="C204" s="9"/>
      <c r="D204" s="9"/>
      <c r="E204" s="9"/>
      <c r="F204" s="9"/>
    </row>
    <row r="205" customFormat="false" ht="39.75" hidden="false" customHeight="true" outlineLevel="0" collapsed="false">
      <c r="A205" s="10" t="s">
        <v>497</v>
      </c>
      <c r="B205" s="10" t="s">
        <v>509</v>
      </c>
      <c r="C205" s="10" t="s">
        <v>510</v>
      </c>
      <c r="D205" s="10" t="s">
        <v>511</v>
      </c>
      <c r="E205" s="10" t="s">
        <v>512</v>
      </c>
      <c r="F205" s="10" t="s">
        <v>513</v>
      </c>
    </row>
    <row r="206" customFormat="false" ht="26.25" hidden="false" customHeight="true" outlineLevel="0" collapsed="false">
      <c r="A206" s="39" t="s">
        <v>500</v>
      </c>
      <c r="B206" s="42" t="n">
        <f aca="false">IFERROR(IF($A206="","",SUMIFS($E$3:$E$202,$A$3:$A$202,$A206)),"")</f>
        <v>91.2816625</v>
      </c>
      <c r="C206" s="51" t="n">
        <v>160</v>
      </c>
      <c r="D206" s="52" t="n">
        <f aca="false">IFERROR(IF(OR($A206="",$C206=0,$C206=""),"",$B206/$C206),"")</f>
        <v>0.570510390625</v>
      </c>
      <c r="E206" s="41" t="n">
        <f aca="false">IFERROR(IF($A206="","",$B206/'تحليل التكلفة والسعر'!$F$2),"")</f>
        <v>243.417766666667</v>
      </c>
      <c r="F206" s="42" t="n">
        <f aca="false">IFERROR(IF($A206="","",$C206-$B206),"")</f>
        <v>68.7183375</v>
      </c>
    </row>
    <row r="207" customFormat="false" ht="26.25" hidden="false" customHeight="true" outlineLevel="0" collapsed="false">
      <c r="A207" s="39" t="s">
        <v>501</v>
      </c>
      <c r="B207" s="42" t="n">
        <f aca="false">IFERROR(IF($A207="","",SUMIFS($E$3:$E$202,$A$3:$A$202,$A207)),"")</f>
        <v>11.74</v>
      </c>
      <c r="C207" s="51" t="n">
        <v>0</v>
      </c>
      <c r="D207" s="52" t="str">
        <f aca="false">IFERROR(IF(OR($A207="",$C207=0,$C207=""),"",$B207/$C207),"")</f>
        <v/>
      </c>
      <c r="E207" s="41" t="n">
        <f aca="false">IFERROR(IF($A207="","",$B207/'تحليل التكلفة والسعر'!$F$2),"")</f>
        <v>31.3066666666667</v>
      </c>
      <c r="F207" s="42" t="n">
        <f aca="false">IFERROR(IF($A207="","",$C207-$B207),"")</f>
        <v>-11.74</v>
      </c>
    </row>
    <row r="208" customFormat="false" ht="15" hidden="false" customHeight="true" outlineLevel="0" collapsed="false">
      <c r="A208" s="39" t="s">
        <v>502</v>
      </c>
      <c r="B208" s="42" t="n">
        <f aca="false">IFERROR(IF($A208="","",SUMIFS($E$3:$E$202,$A$3:$A$202,$A208)),"")</f>
        <v>10.5786685</v>
      </c>
      <c r="C208" s="51" t="n">
        <v>0</v>
      </c>
      <c r="D208" s="52" t="str">
        <f aca="false">IFERROR(IF(OR($A208="",$C208=0,$C208=""),"",$B208/$C208),"")</f>
        <v/>
      </c>
      <c r="E208" s="41" t="n">
        <f aca="false">IFERROR(IF($A208="","",$B208/'تحليل التكلفة والسعر'!$F$2),"")</f>
        <v>28.2097826666667</v>
      </c>
      <c r="F208" s="42" t="n">
        <f aca="false">IFERROR(IF($A208="","",$C208-$B208),"")</f>
        <v>-10.5786685</v>
      </c>
    </row>
    <row r="209" customFormat="false" ht="15" hidden="false" customHeight="true" outlineLevel="0" collapsed="false">
      <c r="A209" s="39" t="s">
        <v>503</v>
      </c>
      <c r="B209" s="42" t="n">
        <f aca="false">IFERROR(IF($A209="","",SUMIFS($E$3:$E$202,$A$3:$A$202,$A209)),"")</f>
        <v>20.201681</v>
      </c>
      <c r="C209" s="51" t="n">
        <v>0</v>
      </c>
      <c r="D209" s="52" t="str">
        <f aca="false">IFERROR(IF(OR($A209="",$C209=0,$C209=""),"",$B209/$C209),"")</f>
        <v/>
      </c>
      <c r="E209" s="41" t="n">
        <f aca="false">IFERROR(IF($A209="","",$B209/'تحليل التكلفة والسعر'!$F$2),"")</f>
        <v>53.8711493333333</v>
      </c>
      <c r="F209" s="42" t="n">
        <f aca="false">IFERROR(IF($A209="","",$C209-$B209),"")</f>
        <v>-20.201681</v>
      </c>
    </row>
    <row r="210" customFormat="false" ht="26.25" hidden="false" customHeight="true" outlineLevel="0" collapsed="false">
      <c r="A210" s="39" t="s">
        <v>504</v>
      </c>
      <c r="B210" s="42" t="n">
        <f aca="false">IFERROR(IF($A210="","",SUMIFS($E$3:$E$202,$A$3:$A$202,$A210)),"")</f>
        <v>185.5437</v>
      </c>
      <c r="C210" s="51" t="n">
        <v>250</v>
      </c>
      <c r="D210" s="52" t="n">
        <f aca="false">IFERROR(IF(OR($A210="",$C210=0,$C210=""),"",$B210/$C210),"")</f>
        <v>0.7421748</v>
      </c>
      <c r="E210" s="41" t="n">
        <f aca="false">IFERROR(IF($A210="","",$B210/'تحليل التكلفة والسعر'!$F$2),"")</f>
        <v>494.7832</v>
      </c>
      <c r="F210" s="42" t="n">
        <f aca="false">IFERROR(IF($A210="","",$C210-$B210),"")</f>
        <v>64.4563</v>
      </c>
    </row>
    <row r="211" customFormat="false" ht="26.25" hidden="false" customHeight="true" outlineLevel="0" collapsed="false">
      <c r="A211" s="39" t="s">
        <v>505</v>
      </c>
      <c r="B211" s="42" t="n">
        <f aca="false">IFERROR(IF($A211="","",SUMIFS($E$3:$E$202,$A$3:$A$202,$A211)),"")</f>
        <v>166.553437</v>
      </c>
      <c r="C211" s="51" t="n">
        <v>250</v>
      </c>
      <c r="D211" s="52" t="n">
        <f aca="false">IFERROR(IF(OR($A211="",$C211=0,$C211=""),"",$B211/$C211),"")</f>
        <v>0.666213748</v>
      </c>
      <c r="E211" s="41" t="n">
        <f aca="false">IFERROR(IF($A211="","",$B211/'تحليل التكلفة والسعر'!$F$2),"")</f>
        <v>444.142498666667</v>
      </c>
      <c r="F211" s="42" t="n">
        <f aca="false">IFERROR(IF($A211="","",$C211-$B211),"")</f>
        <v>83.446563</v>
      </c>
    </row>
    <row r="212" customFormat="false" ht="26.25" hidden="false" customHeight="true" outlineLevel="0" collapsed="false">
      <c r="A212" s="39" t="s">
        <v>506</v>
      </c>
      <c r="B212" s="42" t="n">
        <f aca="false">IFERROR(IF($A212="","",SUMIFS($E$3:$E$202,$A$3:$A$202,$A212)),"")</f>
        <v>91.8979</v>
      </c>
      <c r="C212" s="51" t="n">
        <v>150</v>
      </c>
      <c r="D212" s="52" t="n">
        <f aca="false">IFERROR(IF(OR($A212="",$C212=0,$C212=""),"",$B212/$C212),"")</f>
        <v>0.612652666666667</v>
      </c>
      <c r="E212" s="41" t="n">
        <f aca="false">IFERROR(IF($A212="","",$B212/'تحليل التكلفة والسعر'!$F$2),"")</f>
        <v>245.061066666667</v>
      </c>
      <c r="F212" s="42" t="n">
        <f aca="false">IFERROR(IF($A212="","",$C212-$B212),"")</f>
        <v>58.1021</v>
      </c>
    </row>
    <row r="213" customFormat="false" ht="26.25" hidden="false" customHeight="true" outlineLevel="0" collapsed="false">
      <c r="A213" s="39" t="s">
        <v>507</v>
      </c>
      <c r="B213" s="42" t="n">
        <f aca="false">IFERROR(IF($A213="","",SUMIFS($E$3:$E$202,$A$3:$A$202,$A213)),"")</f>
        <v>104.84</v>
      </c>
      <c r="C213" s="51" t="n">
        <v>200</v>
      </c>
      <c r="D213" s="52" t="n">
        <f aca="false">IFERROR(IF(OR($A213="",$C213=0,$C213=""),"",$B213/$C213),"")</f>
        <v>0.5242</v>
      </c>
      <c r="E213" s="41" t="n">
        <f aca="false">IFERROR(IF($A213="","",$B213/'تحليل التكلفة والسعر'!$F$2),"")</f>
        <v>279.573333333333</v>
      </c>
      <c r="F213" s="42" t="n">
        <f aca="false">IFERROR(IF($A213="","",$C213-$B213),"")</f>
        <v>95.16</v>
      </c>
    </row>
    <row r="214" customFormat="false" ht="15" hidden="false" customHeight="true" outlineLevel="0" collapsed="false">
      <c r="A214" s="21"/>
      <c r="B214" s="13" t="str">
        <f aca="false">IFERROR(IF($A214="","",SUMIFS($E$3:$E$202,$A$3:$A$202,$A214)),"")</f>
        <v/>
      </c>
      <c r="C214" s="23"/>
      <c r="D214" s="12" t="str">
        <f aca="false">IFERROR(IF(OR($A214="",$C214=0,$C214=""),"",$B214/$C214),"")</f>
        <v/>
      </c>
      <c r="E214" s="44" t="str">
        <f aca="false">IFERROR(IF($A214="","",$B214/'تحليل التكلفة والسعر'!$F$2),"")</f>
        <v/>
      </c>
      <c r="F214" s="13" t="str">
        <f aca="false">IFERROR(IF($A214="","",$C214-$B214),"")</f>
        <v/>
      </c>
    </row>
    <row r="215" customFormat="false" ht="15" hidden="false" customHeight="true" outlineLevel="0" collapsed="false">
      <c r="A215" s="21"/>
      <c r="B215" s="13" t="str">
        <f aca="false">IFERROR(IF($A215="","",SUMIFS($E$3:$E$202,$A$3:$A$202,$A215)),"")</f>
        <v/>
      </c>
      <c r="C215" s="23"/>
      <c r="D215" s="12" t="str">
        <f aca="false">IFERROR(IF(OR($A215="",$C215=0,$C215=""),"",$B215/$C215),"")</f>
        <v/>
      </c>
      <c r="E215" s="44" t="str">
        <f aca="false">IFERROR(IF($A215="","",$B215/'تحليل التكلفة والسعر'!$F$2),"")</f>
        <v/>
      </c>
      <c r="F215" s="13" t="str">
        <f aca="false">IFERROR(IF($A215="","",$C215-$B215),"")</f>
        <v/>
      </c>
    </row>
    <row r="216" customFormat="false" ht="15" hidden="false" customHeight="true" outlineLevel="0" collapsed="false">
      <c r="A216" s="21"/>
      <c r="B216" s="13" t="str">
        <f aca="false">IFERROR(IF($A216="","",SUMIFS($E$3:$E$202,$A$3:$A$202,$A216)),"")</f>
        <v/>
      </c>
      <c r="C216" s="23"/>
      <c r="D216" s="12" t="str">
        <f aca="false">IFERROR(IF(OR($A216="",$C216=0,$C216=""),"",$B216/$C216),"")</f>
        <v/>
      </c>
      <c r="E216" s="44" t="str">
        <f aca="false">IFERROR(IF($A216="","",$B216/'تحليل التكلفة والسعر'!$F$2),"")</f>
        <v/>
      </c>
      <c r="F216" s="13" t="str">
        <f aca="false">IFERROR(IF($A216="","",$C216-$B216),"")</f>
        <v/>
      </c>
    </row>
    <row r="217" customFormat="false" ht="15" hidden="false" customHeight="true" outlineLevel="0" collapsed="false">
      <c r="A217" s="21"/>
      <c r="B217" s="13" t="str">
        <f aca="false">IFERROR(IF($A217="","",SUMIFS($E$3:$E$202,$A$3:$A$202,$A217)),"")</f>
        <v/>
      </c>
      <c r="C217" s="23"/>
      <c r="D217" s="12" t="str">
        <f aca="false">IFERROR(IF(OR($A217="",$C217=0,$C217=""),"",$B217/$C217),"")</f>
        <v/>
      </c>
      <c r="E217" s="44" t="str">
        <f aca="false">IFERROR(IF($A217="","",$B217/'تحليل التكلفة والسعر'!$F$2),"")</f>
        <v/>
      </c>
      <c r="F217" s="13" t="str">
        <f aca="false">IFERROR(IF($A217="","",$C217-$B217),"")</f>
        <v/>
      </c>
    </row>
    <row r="218" customFormat="false" ht="15" hidden="false" customHeight="true" outlineLevel="0" collapsed="false">
      <c r="A218" s="21"/>
      <c r="B218" s="13" t="str">
        <f aca="false">IFERROR(IF($A218="","",SUMIFS($E$3:$E$202,$A$3:$A$202,$A218)),"")</f>
        <v/>
      </c>
      <c r="C218" s="23"/>
      <c r="D218" s="12" t="str">
        <f aca="false">IFERROR(IF(OR($A218="",$C218=0,$C218=""),"",$B218/$C218),"")</f>
        <v/>
      </c>
      <c r="E218" s="44" t="str">
        <f aca="false">IFERROR(IF($A218="","",$B218/'تحليل التكلفة والسعر'!$F$2),"")</f>
        <v/>
      </c>
      <c r="F218" s="13" t="str">
        <f aca="false">IFERROR(IF($A218="","",$C218-$B218),"")</f>
        <v/>
      </c>
    </row>
    <row r="219" customFormat="false" ht="15" hidden="false" customHeight="true" outlineLevel="0" collapsed="false">
      <c r="A219" s="21"/>
      <c r="B219" s="13" t="str">
        <f aca="false">IFERROR(IF($A219="","",SUMIFS($E$3:$E$202,$A$3:$A$202,$A219)),"")</f>
        <v/>
      </c>
      <c r="C219" s="23"/>
      <c r="D219" s="12" t="str">
        <f aca="false">IFERROR(IF(OR($A219="",$C219=0,$C219=""),"",$B219/$C219),"")</f>
        <v/>
      </c>
      <c r="E219" s="44" t="str">
        <f aca="false">IFERROR(IF($A219="","",$B219/'تحليل التكلفة والسعر'!$F$2),"")</f>
        <v/>
      </c>
      <c r="F219" s="13" t="str">
        <f aca="false">IFERROR(IF($A219="","",$C219-$B219),"")</f>
        <v/>
      </c>
    </row>
    <row r="220" customFormat="false" ht="15" hidden="false" customHeight="true" outlineLevel="0" collapsed="false">
      <c r="A220" s="21"/>
      <c r="B220" s="13" t="str">
        <f aca="false">IFERROR(IF($A220="","",SUMIFS($E$3:$E$202,$A$3:$A$202,$A220)),"")</f>
        <v/>
      </c>
      <c r="C220" s="23"/>
      <c r="D220" s="12" t="str">
        <f aca="false">IFERROR(IF(OR($A220="",$C220=0,$C220=""),"",$B220/$C220),"")</f>
        <v/>
      </c>
      <c r="E220" s="44" t="str">
        <f aca="false">IFERROR(IF($A220="","",$B220/'تحليل التكلفة والسعر'!$F$2),"")</f>
        <v/>
      </c>
      <c r="F220" s="13" t="str">
        <f aca="false">IFERROR(IF($A220="","",$C220-$B220),"")</f>
        <v/>
      </c>
    </row>
    <row r="221" customFormat="false" ht="15" hidden="false" customHeight="true" outlineLevel="0" collapsed="false">
      <c r="A221" s="21"/>
      <c r="B221" s="13" t="str">
        <f aca="false">IFERROR(IF($A221="","",SUMIFS($E$3:$E$202,$A$3:$A$202,$A221)),"")</f>
        <v/>
      </c>
      <c r="C221" s="23"/>
      <c r="D221" s="12" t="str">
        <f aca="false">IFERROR(IF(OR($A221="",$C221=0,$C221=""),"",$B221/$C221),"")</f>
        <v/>
      </c>
      <c r="E221" s="44" t="str">
        <f aca="false">IFERROR(IF($A221="","",$B221/'تحليل التكلفة والسعر'!$F$2),"")</f>
        <v/>
      </c>
      <c r="F221" s="13" t="str">
        <f aca="false">IFERROR(IF($A221="","",$C221-$B221),"")</f>
        <v/>
      </c>
    </row>
    <row r="222" customFormat="false" ht="15" hidden="false" customHeight="true" outlineLevel="0" collapsed="false">
      <c r="A222" s="21"/>
      <c r="B222" s="13" t="str">
        <f aca="false">IFERROR(IF($A222="","",SUMIFS($E$3:$E$202,$A$3:$A$202,$A222)),"")</f>
        <v/>
      </c>
      <c r="C222" s="23"/>
      <c r="D222" s="12" t="str">
        <f aca="false">IFERROR(IF(OR($A222="",$C222=0,$C222=""),"",$B222/$C222),"")</f>
        <v/>
      </c>
      <c r="E222" s="44" t="str">
        <f aca="false">IFERROR(IF($A222="","",$B222/'تحليل التكلفة والسعر'!$F$2),"")</f>
        <v/>
      </c>
      <c r="F222" s="13" t="str">
        <f aca="false">IFERROR(IF($A222="","",$C222-$B222),"")</f>
        <v/>
      </c>
    </row>
    <row r="223" customFormat="false" ht="15" hidden="false" customHeight="true" outlineLevel="0" collapsed="false">
      <c r="A223" s="21"/>
      <c r="B223" s="13" t="str">
        <f aca="false">IFERROR(IF($A223="","",SUMIFS($E$3:$E$202,$A$3:$A$202,$A223)),"")</f>
        <v/>
      </c>
      <c r="C223" s="23"/>
      <c r="D223" s="12" t="str">
        <f aca="false">IFERROR(IF(OR($A223="",$C223=0,$C223=""),"",$B223/$C223),"")</f>
        <v/>
      </c>
      <c r="E223" s="44" t="str">
        <f aca="false">IFERROR(IF($A223="","",$B223/'تحليل التكلفة والسعر'!$F$2),"")</f>
        <v/>
      </c>
      <c r="F223" s="13" t="str">
        <f aca="false">IFERROR(IF($A223="","",$C223-$B223),"")</f>
        <v/>
      </c>
    </row>
    <row r="224" customFormat="false" ht="15" hidden="false" customHeight="true" outlineLevel="0" collapsed="false">
      <c r="A224" s="21"/>
      <c r="B224" s="13" t="str">
        <f aca="false">IFERROR(IF($A224="","",SUMIFS($E$3:$E$202,$A$3:$A$202,$A224)),"")</f>
        <v/>
      </c>
      <c r="C224" s="23"/>
      <c r="D224" s="12" t="str">
        <f aca="false">IFERROR(IF(OR($A224="",$C224=0,$C224=""),"",$B224/$C224),"")</f>
        <v/>
      </c>
      <c r="E224" s="44" t="str">
        <f aca="false">IFERROR(IF($A224="","",$B224/'تحليل التكلفة والسعر'!$F$2),"")</f>
        <v/>
      </c>
      <c r="F224" s="13" t="str">
        <f aca="false">IFERROR(IF($A224="","",$C224-$B224),"")</f>
        <v/>
      </c>
    </row>
    <row r="225" customFormat="false" ht="15" hidden="false" customHeight="true" outlineLevel="0" collapsed="false">
      <c r="A225" s="21"/>
      <c r="B225" s="13" t="str">
        <f aca="false">IFERROR(IF($A225="","",SUMIFS($E$3:$E$202,$A$3:$A$202,$A225)),"")</f>
        <v/>
      </c>
      <c r="C225" s="23"/>
      <c r="D225" s="12" t="str">
        <f aca="false">IFERROR(IF(OR($A225="",$C225=0,$C225=""),"",$B225/$C225),"")</f>
        <v/>
      </c>
      <c r="E225" s="44" t="str">
        <f aca="false">IFERROR(IF($A225="","",$B225/'تحليل التكلفة والسعر'!$F$2),"")</f>
        <v/>
      </c>
      <c r="F225" s="13" t="str">
        <f aca="false">IFERROR(IF($A225="","",$C225-$B225),"")</f>
        <v/>
      </c>
    </row>
    <row r="226" customFormat="false" ht="15" hidden="false" customHeight="true" outlineLevel="0" collapsed="false">
      <c r="A226" s="21"/>
      <c r="B226" s="13" t="str">
        <f aca="false">IFERROR(IF($A226="","",SUMIFS($E$3:$E$202,$A$3:$A$202,$A226)),"")</f>
        <v/>
      </c>
      <c r="C226" s="23"/>
      <c r="D226" s="12" t="str">
        <f aca="false">IFERROR(IF(OR($A226="",$C226=0,$C226=""),"",$B226/$C226),"")</f>
        <v/>
      </c>
      <c r="E226" s="44" t="str">
        <f aca="false">IFERROR(IF($A226="","",$B226/'تحليل التكلفة والسعر'!$F$2),"")</f>
        <v/>
      </c>
      <c r="F226" s="13" t="str">
        <f aca="false">IFERROR(IF($A226="","",$C226-$B226),"")</f>
        <v/>
      </c>
    </row>
    <row r="227" customFormat="false" ht="15" hidden="false" customHeight="true" outlineLevel="0" collapsed="false">
      <c r="A227" s="21"/>
      <c r="B227" s="13" t="str">
        <f aca="false">IFERROR(IF($A227="","",SUMIFS($E$3:$E$202,$A$3:$A$202,$A227)),"")</f>
        <v/>
      </c>
      <c r="C227" s="23"/>
      <c r="D227" s="12" t="str">
        <f aca="false">IFERROR(IF(OR($A227="",$C227=0,$C227=""),"",$B227/$C227),"")</f>
        <v/>
      </c>
      <c r="E227" s="44" t="str">
        <f aca="false">IFERROR(IF($A227="","",$B227/'تحليل التكلفة والسعر'!$F$2),"")</f>
        <v/>
      </c>
      <c r="F227" s="13" t="str">
        <f aca="false">IFERROR(IF($A227="","",$C227-$B227),"")</f>
        <v/>
      </c>
    </row>
    <row r="228" customFormat="false" ht="15" hidden="false" customHeight="true" outlineLevel="0" collapsed="false">
      <c r="A228" s="21"/>
      <c r="B228" s="13" t="str">
        <f aca="false">IFERROR(IF($A228="","",SUMIFS($E$3:$E$202,$A$3:$A$202,$A228)),"")</f>
        <v/>
      </c>
      <c r="C228" s="23"/>
      <c r="D228" s="12" t="str">
        <f aca="false">IFERROR(IF(OR($A228="",$C228=0,$C228=""),"",$B228/$C228),"")</f>
        <v/>
      </c>
      <c r="E228" s="44" t="str">
        <f aca="false">IFERROR(IF($A228="","",$B228/'تحليل التكلفة والسعر'!$F$2),"")</f>
        <v/>
      </c>
      <c r="F228" s="13" t="str">
        <f aca="false">IFERROR(IF($A228="","",$C228-$B228),"")</f>
        <v/>
      </c>
    </row>
    <row r="229" customFormat="false" ht="15" hidden="false" customHeight="true" outlineLevel="0" collapsed="false">
      <c r="A229" s="21"/>
      <c r="B229" s="13" t="str">
        <f aca="false">IFERROR(IF($A229="","",SUMIFS($E$3:$E$202,$A$3:$A$202,$A229)),"")</f>
        <v/>
      </c>
      <c r="C229" s="23"/>
      <c r="D229" s="12" t="str">
        <f aca="false">IFERROR(IF(OR($A229="",$C229=0,$C229=""),"",$B229/$C229),"")</f>
        <v/>
      </c>
      <c r="E229" s="44" t="str">
        <f aca="false">IFERROR(IF($A229="","",$B229/'تحليل التكلفة والسعر'!$F$2),"")</f>
        <v/>
      </c>
      <c r="F229" s="13" t="str">
        <f aca="false">IFERROR(IF($A229="","",$C229-$B229),"")</f>
        <v/>
      </c>
    </row>
    <row r="230" customFormat="false" ht="15" hidden="false" customHeight="true" outlineLevel="0" collapsed="false">
      <c r="A230" s="21"/>
      <c r="B230" s="13" t="str">
        <f aca="false">IFERROR(IF($A230="","",SUMIFS($E$3:$E$202,$A$3:$A$202,$A230)),"")</f>
        <v/>
      </c>
      <c r="C230" s="23"/>
      <c r="D230" s="12" t="str">
        <f aca="false">IFERROR(IF(OR($A230="",$C230=0,$C230=""),"",$B230/$C230),"")</f>
        <v/>
      </c>
      <c r="E230" s="44" t="str">
        <f aca="false">IFERROR(IF($A230="","",$B230/'تحليل التكلفة والسعر'!$F$2),"")</f>
        <v/>
      </c>
      <c r="F230" s="13" t="str">
        <f aca="false">IFERROR(IF($A230="","",$C230-$B230),"")</f>
        <v/>
      </c>
    </row>
    <row r="231" customFormat="false" ht="15" hidden="false" customHeight="true" outlineLevel="0" collapsed="false">
      <c r="A231" s="21"/>
      <c r="B231" s="13" t="str">
        <f aca="false">IFERROR(IF($A231="","",SUMIFS($E$3:$E$202,$A$3:$A$202,$A231)),"")</f>
        <v/>
      </c>
      <c r="C231" s="23"/>
      <c r="D231" s="12" t="str">
        <f aca="false">IFERROR(IF(OR($A231="",$C231=0,$C231=""),"",$B231/$C231),"")</f>
        <v/>
      </c>
      <c r="E231" s="44" t="str">
        <f aca="false">IFERROR(IF($A231="","",$B231/'تحليل التكلفة والسعر'!$F$2),"")</f>
        <v/>
      </c>
      <c r="F231" s="13" t="str">
        <f aca="false">IFERROR(IF($A231="","",$C231-$B231),"")</f>
        <v/>
      </c>
    </row>
    <row r="232" customFormat="false" ht="15" hidden="false" customHeight="true" outlineLevel="0" collapsed="false">
      <c r="A232" s="21"/>
      <c r="B232" s="13" t="str">
        <f aca="false">IFERROR(IF($A232="","",SUMIFS($E$3:$E$202,$A$3:$A$202,$A232)),"")</f>
        <v/>
      </c>
      <c r="C232" s="23"/>
      <c r="D232" s="12" t="str">
        <f aca="false">IFERROR(IF(OR($A232="",$C232=0,$C232=""),"",$B232/$C232),"")</f>
        <v/>
      </c>
      <c r="E232" s="44" t="str">
        <f aca="false">IFERROR(IF($A232="","",$B232/'تحليل التكلفة والسعر'!$F$2),"")</f>
        <v/>
      </c>
      <c r="F232" s="13" t="str">
        <f aca="false">IFERROR(IF($A232="","",$C232-$B232),"")</f>
        <v/>
      </c>
    </row>
    <row r="233" customFormat="false" ht="15" hidden="false" customHeight="true" outlineLevel="0" collapsed="false">
      <c r="A233" s="21"/>
      <c r="B233" s="13" t="str">
        <f aca="false">IFERROR(IF($A233="","",SUMIFS($E$3:$E$202,$A$3:$A$202,$A233)),"")</f>
        <v/>
      </c>
      <c r="C233" s="23"/>
      <c r="D233" s="12" t="str">
        <f aca="false">IFERROR(IF(OR($A233="",$C233=0,$C233=""),"",$B233/$C233),"")</f>
        <v/>
      </c>
      <c r="E233" s="44" t="str">
        <f aca="false">IFERROR(IF($A233="","",$B233/'تحليل التكلفة والسعر'!$F$2),"")</f>
        <v/>
      </c>
      <c r="F233" s="13" t="str">
        <f aca="false">IFERROR(IF($A233="","",$C233-$B233),"")</f>
        <v/>
      </c>
    </row>
    <row r="234" customFormat="false" ht="15" hidden="false" customHeight="true" outlineLevel="0" collapsed="false">
      <c r="A234" s="21"/>
      <c r="B234" s="13" t="str">
        <f aca="false">IFERROR(IF($A234="","",SUMIFS($E$3:$E$202,$A$3:$A$202,$A234)),"")</f>
        <v/>
      </c>
      <c r="C234" s="23"/>
      <c r="D234" s="12" t="str">
        <f aca="false">IFERROR(IF(OR($A234="",$C234=0,$C234=""),"",$B234/$C234),"")</f>
        <v/>
      </c>
      <c r="E234" s="44" t="str">
        <f aca="false">IFERROR(IF($A234="","",$B234/'تحليل التكلفة والسعر'!$F$2),"")</f>
        <v/>
      </c>
      <c r="F234" s="13" t="str">
        <f aca="false">IFERROR(IF($A234="","",$C234-$B234),"")</f>
        <v/>
      </c>
    </row>
    <row r="235" customFormat="false" ht="15" hidden="false" customHeight="true" outlineLevel="0" collapsed="false">
      <c r="A235" s="21"/>
      <c r="B235" s="13" t="str">
        <f aca="false">IFERROR(IF($A235="","",SUMIFS($E$3:$E$202,$A$3:$A$202,$A235)),"")</f>
        <v/>
      </c>
      <c r="C235" s="23"/>
      <c r="D235" s="12" t="str">
        <f aca="false">IFERROR(IF(OR($A235="",$C235=0,$C235=""),"",$B235/$C235),"")</f>
        <v/>
      </c>
      <c r="E235" s="44" t="str">
        <f aca="false">IFERROR(IF($A235="","",$B235/'تحليل التكلفة والسعر'!$F$2),"")</f>
        <v/>
      </c>
      <c r="F235" s="13" t="str">
        <f aca="false">IFERROR(IF($A235="","",$C235-$B235),"")</f>
        <v/>
      </c>
    </row>
    <row r="236" customFormat="false" ht="15" hidden="false" customHeight="true" outlineLevel="0" collapsed="false">
      <c r="A236" s="21"/>
      <c r="B236" s="13" t="str">
        <f aca="false">IFERROR(IF($A236="","",SUMIFS($E$3:$E$202,$A$3:$A$202,$A236)),"")</f>
        <v/>
      </c>
      <c r="C236" s="23"/>
      <c r="D236" s="12" t="str">
        <f aca="false">IFERROR(IF(OR($A236="",$C236=0,$C236=""),"",$B236/$C236),"")</f>
        <v/>
      </c>
      <c r="E236" s="44" t="str">
        <f aca="false">IFERROR(IF($A236="","",$B236/'تحليل التكلفة والسعر'!$F$2),"")</f>
        <v/>
      </c>
      <c r="F236" s="13" t="str">
        <f aca="false">IFERROR(IF($A236="","",$C236-$B236),"")</f>
        <v/>
      </c>
    </row>
    <row r="237" customFormat="false" ht="15" hidden="false" customHeight="true" outlineLevel="0" collapsed="false">
      <c r="A237" s="21"/>
      <c r="B237" s="13" t="str">
        <f aca="false">IFERROR(IF($A237="","",SUMIFS($E$3:$E$202,$A$3:$A$202,$A237)),"")</f>
        <v/>
      </c>
      <c r="C237" s="23"/>
      <c r="D237" s="12" t="str">
        <f aca="false">IFERROR(IF(OR($A237="",$C237=0,$C237=""),"",$B237/$C237),"")</f>
        <v/>
      </c>
      <c r="E237" s="44" t="str">
        <f aca="false">IFERROR(IF($A237="","",$B237/'تحليل التكلفة والسعر'!$F$2),"")</f>
        <v/>
      </c>
      <c r="F237" s="13" t="str">
        <f aca="false">IFERROR(IF($A237="","",$C237-$B237),"")</f>
        <v/>
      </c>
    </row>
    <row r="238" customFormat="false" ht="15" hidden="false" customHeight="true" outlineLevel="0" collapsed="false">
      <c r="A238" s="21"/>
      <c r="B238" s="13" t="str">
        <f aca="false">IFERROR(IF($A238="","",SUMIFS($E$3:$E$202,$A$3:$A$202,$A238)),"")</f>
        <v/>
      </c>
      <c r="C238" s="23"/>
      <c r="D238" s="12" t="str">
        <f aca="false">IFERROR(IF(OR($A238="",$C238=0,$C238=""),"",$B238/$C238),"")</f>
        <v/>
      </c>
      <c r="E238" s="44" t="str">
        <f aca="false">IFERROR(IF($A238="","",$B238/'تحليل التكلفة والسعر'!$F$2),"")</f>
        <v/>
      </c>
      <c r="F238" s="13" t="str">
        <f aca="false">IFERROR(IF($A238="","",$C238-$B238),"")</f>
        <v/>
      </c>
    </row>
    <row r="239" customFormat="false" ht="15" hidden="false" customHeight="true" outlineLevel="0" collapsed="false">
      <c r="A239" s="21"/>
      <c r="B239" s="13" t="str">
        <f aca="false">IFERROR(IF($A239="","",SUMIFS($E$3:$E$202,$A$3:$A$202,$A239)),"")</f>
        <v/>
      </c>
      <c r="C239" s="23"/>
      <c r="D239" s="12" t="str">
        <f aca="false">IFERROR(IF(OR($A239="",$C239=0,$C239=""),"",$B239/$C239),"")</f>
        <v/>
      </c>
      <c r="E239" s="44" t="str">
        <f aca="false">IFERROR(IF($A239="","",$B239/'تحليل التكلفة والسعر'!$F$2),"")</f>
        <v/>
      </c>
      <c r="F239" s="13" t="str">
        <f aca="false">IFERROR(IF($A239="","",$C239-$B239),"")</f>
        <v/>
      </c>
    </row>
    <row r="240" customFormat="false" ht="15" hidden="false" customHeight="true" outlineLevel="0" collapsed="false">
      <c r="A240" s="21"/>
      <c r="B240" s="13" t="str">
        <f aca="false">IFERROR(IF($A240="","",SUMIFS($E$3:$E$202,$A$3:$A$202,$A240)),"")</f>
        <v/>
      </c>
      <c r="C240" s="23"/>
      <c r="D240" s="12" t="str">
        <f aca="false">IFERROR(IF(OR($A240="",$C240=0,$C240=""),"",$B240/$C240),"")</f>
        <v/>
      </c>
      <c r="E240" s="44" t="str">
        <f aca="false">IFERROR(IF($A240="","",$B240/'تحليل التكلفة والسعر'!$F$2),"")</f>
        <v/>
      </c>
      <c r="F240" s="13" t="str">
        <f aca="false">IFERROR(IF($A240="","",$C240-$B240),"")</f>
        <v/>
      </c>
    </row>
    <row r="241" customFormat="false" ht="15" hidden="false" customHeight="true" outlineLevel="0" collapsed="false">
      <c r="A241" s="21"/>
      <c r="B241" s="13" t="str">
        <f aca="false">IFERROR(IF($A241="","",SUMIFS($E$3:$E$202,$A$3:$A$202,$A241)),"")</f>
        <v/>
      </c>
      <c r="C241" s="23"/>
      <c r="D241" s="12" t="str">
        <f aca="false">IFERROR(IF(OR($A241="",$C241=0,$C241=""),"",$B241/$C241),"")</f>
        <v/>
      </c>
      <c r="E241" s="44" t="str">
        <f aca="false">IFERROR(IF($A241="","",$B241/'تحليل التكلفة والسعر'!$F$2),"")</f>
        <v/>
      </c>
      <c r="F241" s="13" t="str">
        <f aca="false">IFERROR(IF($A241="","",$C241-$B241),"")</f>
        <v/>
      </c>
    </row>
    <row r="242" customFormat="false" ht="15" hidden="false" customHeight="true" outlineLevel="0" collapsed="false">
      <c r="A242" s="21"/>
      <c r="B242" s="13" t="str">
        <f aca="false">IFERROR(IF($A242="","",SUMIFS($E$3:$E$202,$A$3:$A$202,$A242)),"")</f>
        <v/>
      </c>
      <c r="C242" s="23"/>
      <c r="D242" s="12" t="str">
        <f aca="false">IFERROR(IF(OR($A242="",$C242=0,$C242=""),"",$B242/$C242),"")</f>
        <v/>
      </c>
      <c r="E242" s="44" t="str">
        <f aca="false">IFERROR(IF($A242="","",$B242/'تحليل التكلفة والسعر'!$F$2),"")</f>
        <v/>
      </c>
      <c r="F242" s="13" t="str">
        <f aca="false">IFERROR(IF($A242="","",$C242-$B242),"")</f>
        <v/>
      </c>
    </row>
    <row r="243" customFormat="false" ht="15" hidden="false" customHeight="true" outlineLevel="0" collapsed="false">
      <c r="A243" s="21"/>
      <c r="B243" s="13" t="str">
        <f aca="false">IFERROR(IF($A243="","",SUMIFS($E$3:$E$202,$A$3:$A$202,$A243)),"")</f>
        <v/>
      </c>
      <c r="C243" s="23"/>
      <c r="D243" s="12" t="str">
        <f aca="false">IFERROR(IF(OR($A243="",$C243=0,$C243=""),"",$B243/$C243),"")</f>
        <v/>
      </c>
      <c r="E243" s="44" t="str">
        <f aca="false">IFERROR(IF($A243="","",$B243/'تحليل التكلفة والسعر'!$F$2),"")</f>
        <v/>
      </c>
      <c r="F243" s="13" t="str">
        <f aca="false">IFERROR(IF($A243="","",$C243-$B243),"")</f>
        <v/>
      </c>
    </row>
    <row r="244" customFormat="false" ht="15" hidden="false" customHeight="true" outlineLevel="0" collapsed="false">
      <c r="A244" s="21"/>
      <c r="B244" s="13" t="str">
        <f aca="false">IFERROR(IF($A244="","",SUMIFS($E$3:$E$202,$A$3:$A$202,$A244)),"")</f>
        <v/>
      </c>
      <c r="C244" s="23"/>
      <c r="D244" s="12" t="str">
        <f aca="false">IFERROR(IF(OR($A244="",$C244=0,$C244=""),"",$B244/$C244),"")</f>
        <v/>
      </c>
      <c r="E244" s="44" t="str">
        <f aca="false">IFERROR(IF($A244="","",$B244/'تحليل التكلفة والسعر'!$F$2),"")</f>
        <v/>
      </c>
      <c r="F244" s="13" t="str">
        <f aca="false">IFERROR(IF($A244="","",$C244-$B244),"")</f>
        <v/>
      </c>
    </row>
    <row r="245" customFormat="false" ht="15" hidden="false" customHeight="true" outlineLevel="0" collapsed="false">
      <c r="A245" s="21"/>
      <c r="B245" s="13" t="str">
        <f aca="false">IFERROR(IF($A245="","",SUMIFS($E$3:$E$202,$A$3:$A$202,$A245)),"")</f>
        <v/>
      </c>
      <c r="C245" s="23"/>
      <c r="D245" s="12" t="str">
        <f aca="false">IFERROR(IF(OR($A245="",$C245=0,$C245=""),"",$B245/$C245),"")</f>
        <v/>
      </c>
      <c r="E245" s="44" t="str">
        <f aca="false">IFERROR(IF($A245="","",$B245/'تحليل التكلفة والسعر'!$F$2),"")</f>
        <v/>
      </c>
      <c r="F245" s="13" t="str">
        <f aca="false">IFERROR(IF($A245="","",$C245-$B245),"")</f>
        <v/>
      </c>
    </row>
    <row r="246" customFormat="false" ht="15" hidden="false" customHeight="true" outlineLevel="0" collapsed="false">
      <c r="A246" s="21"/>
      <c r="B246" s="13" t="str">
        <f aca="false">IFERROR(IF($A246="","",SUMIFS($E$3:$E$202,$A$3:$A$202,$A246)),"")</f>
        <v/>
      </c>
      <c r="C246" s="23"/>
      <c r="D246" s="12" t="str">
        <f aca="false">IFERROR(IF(OR($A246="",$C246=0,$C246=""),"",$B246/$C246),"")</f>
        <v/>
      </c>
      <c r="E246" s="44" t="str">
        <f aca="false">IFERROR(IF($A246="","",$B246/'تحليل التكلفة والسعر'!$F$2),"")</f>
        <v/>
      </c>
      <c r="F246" s="13" t="str">
        <f aca="false">IFERROR(IF($A246="","",$C246-$B246),"")</f>
        <v/>
      </c>
    </row>
    <row r="247" customFormat="false" ht="15" hidden="false" customHeight="true" outlineLevel="0" collapsed="false">
      <c r="A247" s="21"/>
      <c r="B247" s="13" t="str">
        <f aca="false">IFERROR(IF($A247="","",SUMIFS($E$3:$E$202,$A$3:$A$202,$A247)),"")</f>
        <v/>
      </c>
      <c r="C247" s="23"/>
      <c r="D247" s="12" t="str">
        <f aca="false">IFERROR(IF(OR($A247="",$C247=0,$C247=""),"",$B247/$C247),"")</f>
        <v/>
      </c>
      <c r="E247" s="44" t="str">
        <f aca="false">IFERROR(IF($A247="","",$B247/'تحليل التكلفة والسعر'!$F$2),"")</f>
        <v/>
      </c>
      <c r="F247" s="13" t="str">
        <f aca="false">IFERROR(IF($A247="","",$C247-$B247),"")</f>
        <v/>
      </c>
    </row>
    <row r="248" customFormat="false" ht="15" hidden="false" customHeight="true" outlineLevel="0" collapsed="false">
      <c r="A248" s="21"/>
      <c r="B248" s="13" t="str">
        <f aca="false">IFERROR(IF($A248="","",SUMIFS($E$3:$E$202,$A$3:$A$202,$A248)),"")</f>
        <v/>
      </c>
      <c r="C248" s="23"/>
      <c r="D248" s="12" t="str">
        <f aca="false">IFERROR(IF(OR($A248="",$C248=0,$C248=""),"",$B248/$C248),"")</f>
        <v/>
      </c>
      <c r="E248" s="44" t="str">
        <f aca="false">IFERROR(IF($A248="","",$B248/'تحليل التكلفة والسعر'!$F$2),"")</f>
        <v/>
      </c>
      <c r="F248" s="13" t="str">
        <f aca="false">IFERROR(IF($A248="","",$C248-$B248),"")</f>
        <v/>
      </c>
    </row>
    <row r="249" customFormat="false" ht="15" hidden="false" customHeight="true" outlineLevel="0" collapsed="false">
      <c r="A249" s="21"/>
      <c r="B249" s="13" t="str">
        <f aca="false">IFERROR(IF($A249="","",SUMIFS($E$3:$E$202,$A$3:$A$202,$A249)),"")</f>
        <v/>
      </c>
      <c r="C249" s="23"/>
      <c r="D249" s="12" t="str">
        <f aca="false">IFERROR(IF(OR($A249="",$C249=0,$C249=""),"",$B249/$C249),"")</f>
        <v/>
      </c>
      <c r="E249" s="44" t="str">
        <f aca="false">IFERROR(IF($A249="","",$B249/'تحليل التكلفة والسعر'!$F$2),"")</f>
        <v/>
      </c>
      <c r="F249" s="13" t="str">
        <f aca="false">IFERROR(IF($A249="","",$C249-$B249),"")</f>
        <v/>
      </c>
    </row>
    <row r="250" customFormat="false" ht="15" hidden="false" customHeight="true" outlineLevel="0" collapsed="false">
      <c r="A250" s="21"/>
      <c r="B250" s="13" t="str">
        <f aca="false">IFERROR(IF($A250="","",SUMIFS($E$3:$E$202,$A$3:$A$202,$A250)),"")</f>
        <v/>
      </c>
      <c r="C250" s="23"/>
      <c r="D250" s="12" t="str">
        <f aca="false">IFERROR(IF(OR($A250="",$C250=0,$C250=""),"",$B250/$C250),"")</f>
        <v/>
      </c>
      <c r="E250" s="44" t="str">
        <f aca="false">IFERROR(IF($A250="","",$B250/'تحليل التكلفة والسعر'!$F$2),"")</f>
        <v/>
      </c>
      <c r="F250" s="13" t="str">
        <f aca="false">IFERROR(IF($A250="","",$C250-$B250),"")</f>
        <v/>
      </c>
    </row>
    <row r="251" customFormat="false" ht="15" hidden="false" customHeight="true" outlineLevel="0" collapsed="false">
      <c r="A251" s="21"/>
      <c r="B251" s="13" t="str">
        <f aca="false">IFERROR(IF($A251="","",SUMIFS($E$3:$E$202,$A$3:$A$202,$A251)),"")</f>
        <v/>
      </c>
      <c r="C251" s="23"/>
      <c r="D251" s="12" t="str">
        <f aca="false">IFERROR(IF(OR($A251="",$C251=0,$C251=""),"",$B251/$C251),"")</f>
        <v/>
      </c>
      <c r="E251" s="44" t="str">
        <f aca="false">IFERROR(IF($A251="","",$B251/'تحليل التكلفة والسعر'!$F$2),"")</f>
        <v/>
      </c>
      <c r="F251" s="13" t="str">
        <f aca="false">IFERROR(IF($A251="","",$C251-$B251),"")</f>
        <v/>
      </c>
    </row>
    <row r="252" customFormat="false" ht="15" hidden="false" customHeight="true" outlineLevel="0" collapsed="false">
      <c r="A252" s="21"/>
      <c r="B252" s="13" t="str">
        <f aca="false">IFERROR(IF($A252="","",SUMIFS($E$3:$E$202,$A$3:$A$202,$A252)),"")</f>
        <v/>
      </c>
      <c r="C252" s="23"/>
      <c r="D252" s="12" t="str">
        <f aca="false">IFERROR(IF(OR($A252="",$C252=0,$C252=""),"",$B252/$C252),"")</f>
        <v/>
      </c>
      <c r="E252" s="44" t="str">
        <f aca="false">IFERROR(IF($A252="","",$B252/'تحليل التكلفة والسعر'!$F$2),"")</f>
        <v/>
      </c>
      <c r="F252" s="13" t="str">
        <f aca="false">IFERROR(IF($A252="","",$C252-$B252),"")</f>
        <v/>
      </c>
    </row>
    <row r="253" customFormat="false" ht="15" hidden="false" customHeight="true" outlineLevel="0" collapsed="false">
      <c r="A253" s="21"/>
      <c r="B253" s="13" t="str">
        <f aca="false">IFERROR(IF($A253="","",SUMIFS($E$3:$E$202,$A$3:$A$202,$A253)),"")</f>
        <v/>
      </c>
      <c r="C253" s="23"/>
      <c r="D253" s="12" t="str">
        <f aca="false">IFERROR(IF(OR($A253="",$C253=0,$C253=""),"",$B253/$C253),"")</f>
        <v/>
      </c>
      <c r="E253" s="44" t="str">
        <f aca="false">IFERROR(IF($A253="","",$B253/'تحليل التكلفة والسعر'!$F$2),"")</f>
        <v/>
      </c>
      <c r="F253" s="13" t="str">
        <f aca="false">IFERROR(IF($A253="","",$C253-$B253),"")</f>
        <v/>
      </c>
    </row>
    <row r="254" customFormat="false" ht="15" hidden="false" customHeight="true" outlineLevel="0" collapsed="false">
      <c r="A254" s="21"/>
      <c r="B254" s="13" t="str">
        <f aca="false">IFERROR(IF($A254="","",SUMIFS($E$3:$E$202,$A$3:$A$202,$A254)),"")</f>
        <v/>
      </c>
      <c r="C254" s="23"/>
      <c r="D254" s="12" t="str">
        <f aca="false">IFERROR(IF(OR($A254="",$C254=0,$C254=""),"",$B254/$C254),"")</f>
        <v/>
      </c>
      <c r="E254" s="44" t="str">
        <f aca="false">IFERROR(IF($A254="","",$B254/'تحليل التكلفة والسعر'!$F$2),"")</f>
        <v/>
      </c>
      <c r="F254" s="13" t="str">
        <f aca="false">IFERROR(IF($A254="","",$C254-$B254),"")</f>
        <v/>
      </c>
    </row>
    <row r="255" customFormat="false" ht="15" hidden="false" customHeight="true" outlineLevel="0" collapsed="false">
      <c r="A255" s="21"/>
      <c r="B255" s="13" t="str">
        <f aca="false">IFERROR(IF($A255="","",SUMIFS($E$3:$E$202,$A$3:$A$202,$A255)),"")</f>
        <v/>
      </c>
      <c r="C255" s="23"/>
      <c r="D255" s="12" t="str">
        <f aca="false">IFERROR(IF(OR($A255="",$C255=0,$C255=""),"",$B255/$C255),"")</f>
        <v/>
      </c>
      <c r="E255" s="44" t="str">
        <f aca="false">IFERROR(IF($A255="","",$B255/'تحليل التكلفة والسعر'!$F$2),"")</f>
        <v/>
      </c>
      <c r="F255" s="13" t="str">
        <f aca="false">IFERROR(IF($A255="","",$C255-$B255),"")</f>
        <v/>
      </c>
    </row>
    <row r="256" customFormat="false" ht="15" hidden="false" customHeight="true" outlineLevel="0" collapsed="false">
      <c r="A256" s="21"/>
      <c r="B256" s="13" t="str">
        <f aca="false">IFERROR(IF($A256="","",SUMIFS($E$3:$E$202,$A$3:$A$202,$A256)),"")</f>
        <v/>
      </c>
      <c r="C256" s="23"/>
      <c r="D256" s="12" t="str">
        <f aca="false">IFERROR(IF(OR($A256="",$C256=0,$C256=""),"",$B256/$C256),"")</f>
        <v/>
      </c>
      <c r="E256" s="44" t="str">
        <f aca="false">IFERROR(IF($A256="","",$B256/'تحليل التكلفة والسعر'!$F$2),"")</f>
        <v/>
      </c>
      <c r="F256" s="13" t="str">
        <f aca="false">IFERROR(IF($A256="","",$C256-$B256),"")</f>
        <v/>
      </c>
    </row>
    <row r="257" customFormat="false" ht="15" hidden="false" customHeight="true" outlineLevel="0" collapsed="false">
      <c r="A257" s="21"/>
      <c r="B257" s="13" t="str">
        <f aca="false">IFERROR(IF($A257="","",SUMIFS($E$3:$E$202,$A$3:$A$202,$A257)),"")</f>
        <v/>
      </c>
      <c r="C257" s="23"/>
      <c r="D257" s="12" t="str">
        <f aca="false">IFERROR(IF(OR($A257="",$C257=0,$C257=""),"",$B257/$C257),"")</f>
        <v/>
      </c>
      <c r="E257" s="44" t="str">
        <f aca="false">IFERROR(IF($A257="","",$B257/'تحليل التكلفة والسعر'!$F$2),"")</f>
        <v/>
      </c>
      <c r="F257" s="13" t="str">
        <f aca="false">IFERROR(IF($A257="","",$C257-$B257),"")</f>
        <v/>
      </c>
    </row>
    <row r="258" customFormat="false" ht="15" hidden="false" customHeight="true" outlineLevel="0" collapsed="false">
      <c r="A258" s="21"/>
      <c r="B258" s="13" t="str">
        <f aca="false">IFERROR(IF($A258="","",SUMIFS($E$3:$E$202,$A$3:$A$202,$A258)),"")</f>
        <v/>
      </c>
      <c r="C258" s="23"/>
      <c r="D258" s="12" t="str">
        <f aca="false">IFERROR(IF(OR($A258="",$C258=0,$C258=""),"",$B258/$C258),"")</f>
        <v/>
      </c>
      <c r="E258" s="44" t="str">
        <f aca="false">IFERROR(IF($A258="","",$B258/'تحليل التكلفة والسعر'!$F$2),"")</f>
        <v/>
      </c>
      <c r="F258" s="13" t="str">
        <f aca="false">IFERROR(IF($A258="","",$C258-$B258),"")</f>
        <v/>
      </c>
    </row>
    <row r="259" customFormat="false" ht="15" hidden="false" customHeight="true" outlineLevel="0" collapsed="false">
      <c r="A259" s="21"/>
      <c r="B259" s="13" t="str">
        <f aca="false">IFERROR(IF($A259="","",SUMIFS($E$3:$E$202,$A$3:$A$202,$A259)),"")</f>
        <v/>
      </c>
      <c r="C259" s="23"/>
      <c r="D259" s="12" t="str">
        <f aca="false">IFERROR(IF(OR($A259="",$C259=0,$C259=""),"",$B259/$C259),"")</f>
        <v/>
      </c>
      <c r="E259" s="44" t="str">
        <f aca="false">IFERROR(IF($A259="","",$B259/'تحليل التكلفة والسعر'!$F$2),"")</f>
        <v/>
      </c>
      <c r="F259" s="13" t="str">
        <f aca="false">IFERROR(IF($A259="","",$C259-$B259),"")</f>
        <v/>
      </c>
    </row>
    <row r="260" customFormat="false" ht="15" hidden="false" customHeight="true" outlineLevel="0" collapsed="false">
      <c r="A260" s="21"/>
      <c r="B260" s="13" t="str">
        <f aca="false">IFERROR(IF($A260="","",SUMIFS($E$3:$E$202,$A$3:$A$202,$A260)),"")</f>
        <v/>
      </c>
      <c r="C260" s="23"/>
      <c r="D260" s="12" t="str">
        <f aca="false">IFERROR(IF(OR($A260="",$C260=0,$C260=""),"",$B260/$C260),"")</f>
        <v/>
      </c>
      <c r="E260" s="44" t="str">
        <f aca="false">IFERROR(IF($A260="","",$B260/'تحليل التكلفة والسعر'!$F$2),"")</f>
        <v/>
      </c>
      <c r="F260" s="13" t="str">
        <f aca="false">IFERROR(IF($A260="","",$C260-$B260),"")</f>
        <v/>
      </c>
    </row>
    <row r="261" customFormat="false" ht="15" hidden="false" customHeight="true" outlineLevel="0" collapsed="false">
      <c r="A261" s="21"/>
      <c r="B261" s="13" t="str">
        <f aca="false">IFERROR(IF($A261="","",SUMIFS($E$3:$E$202,$A$3:$A$202,$A261)),"")</f>
        <v/>
      </c>
      <c r="C261" s="23"/>
      <c r="D261" s="12" t="str">
        <f aca="false">IFERROR(IF(OR($A261="",$C261=0,$C261=""),"",$B261/$C261),"")</f>
        <v/>
      </c>
      <c r="E261" s="44" t="str">
        <f aca="false">IFERROR(IF($A261="","",$B261/'تحليل التكلفة والسعر'!$F$2),"")</f>
        <v/>
      </c>
      <c r="F261" s="13" t="str">
        <f aca="false">IFERROR(IF($A261="","",$C261-$B261),"")</f>
        <v/>
      </c>
    </row>
    <row r="262" customFormat="false" ht="15" hidden="false" customHeight="true" outlineLevel="0" collapsed="false">
      <c r="A262" s="21"/>
      <c r="B262" s="13" t="str">
        <f aca="false">IFERROR(IF($A262="","",SUMIFS($E$3:$E$202,$A$3:$A$202,$A262)),"")</f>
        <v/>
      </c>
      <c r="C262" s="23"/>
      <c r="D262" s="12" t="str">
        <f aca="false">IFERROR(IF(OR($A262="",$C262=0,$C262=""),"",$B262/$C262),"")</f>
        <v/>
      </c>
      <c r="E262" s="44" t="str">
        <f aca="false">IFERROR(IF($A262="","",$B262/'تحليل التكلفة والسعر'!$F$2),"")</f>
        <v/>
      </c>
      <c r="F262" s="13" t="str">
        <f aca="false">IFERROR(IF($A262="","",$C262-$B262),"")</f>
        <v/>
      </c>
    </row>
    <row r="263" customFormat="false" ht="15" hidden="false" customHeight="true" outlineLevel="0" collapsed="false">
      <c r="A263" s="21"/>
      <c r="B263" s="13" t="str">
        <f aca="false">IFERROR(IF($A263="","",SUMIFS($E$3:$E$202,$A$3:$A$202,$A263)),"")</f>
        <v/>
      </c>
      <c r="C263" s="23"/>
      <c r="D263" s="12" t="str">
        <f aca="false">IFERROR(IF(OR($A263="",$C263=0,$C263=""),"",$B263/$C263),"")</f>
        <v/>
      </c>
      <c r="E263" s="44" t="str">
        <f aca="false">IFERROR(IF($A263="","",$B263/'تحليل التكلفة والسعر'!$F$2),"")</f>
        <v/>
      </c>
      <c r="F263" s="13" t="str">
        <f aca="false">IFERROR(IF($A263="","",$C263-$B263),"")</f>
        <v/>
      </c>
    </row>
    <row r="264" customFormat="false" ht="15" hidden="false" customHeight="true" outlineLevel="0" collapsed="false">
      <c r="A264" s="21"/>
      <c r="B264" s="13" t="str">
        <f aca="false">IFERROR(IF($A264="","",SUMIFS($E$3:$E$202,$A$3:$A$202,$A264)),"")</f>
        <v/>
      </c>
      <c r="C264" s="23"/>
      <c r="D264" s="12" t="str">
        <f aca="false">IFERROR(IF(OR($A264="",$C264=0,$C264=""),"",$B264/$C264),"")</f>
        <v/>
      </c>
      <c r="E264" s="44" t="str">
        <f aca="false">IFERROR(IF($A264="","",$B264/'تحليل التكلفة والسعر'!$F$2),"")</f>
        <v/>
      </c>
      <c r="F264" s="13" t="str">
        <f aca="false">IFERROR(IF($A264="","",$C264-$B264),"")</f>
        <v/>
      </c>
    </row>
    <row r="265" customFormat="false" ht="15" hidden="false" customHeight="true" outlineLevel="0" collapsed="false">
      <c r="A265" s="21"/>
      <c r="B265" s="13" t="str">
        <f aca="false">IFERROR(IF($A265="","",SUMIFS($E$3:$E$202,$A$3:$A$202,$A265)),"")</f>
        <v/>
      </c>
      <c r="C265" s="23"/>
      <c r="D265" s="12" t="str">
        <f aca="false">IFERROR(IF(OR($A265="",$C265=0,$C265=""),"",$B265/$C265),"")</f>
        <v/>
      </c>
      <c r="E265" s="44"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0">
      <formula>AND($A206&lt;&gt;"",$D206&lt;='تحليل التكلفة والسعر'!$F$2)</formula>
    </cfRule>
    <cfRule type="expression" priority="3" aboveAverage="0" equalAverage="0" bottom="0" percent="0" rank="0" text="" dxfId="11">
      <formula>AND($A206&lt;&gt;"",$D206&gt;'تحليل التكلفة والسعر'!$F$2,$D206&lt;='تحليل التكلفة والسعر'!$F$2*1.15)</formula>
    </cfRule>
    <cfRule type="expression" priority="4" aboveAverage="0" equalAverage="0" bottom="0" percent="0" rank="0" text="" dxfId="12">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53" t="s">
        <v>514</v>
      </c>
      <c r="B1" s="53"/>
      <c r="C1" s="53"/>
      <c r="D1" s="53"/>
      <c r="E1" s="53"/>
      <c r="F1" s="53"/>
      <c r="G1" s="53"/>
      <c r="H1" s="53"/>
    </row>
    <row r="2" customFormat="false" ht="30" hidden="false" customHeight="true" outlineLevel="0" collapsed="false">
      <c r="A2" s="14" t="s">
        <v>515</v>
      </c>
      <c r="B2" s="14"/>
      <c r="C2" s="14"/>
      <c r="D2" s="14"/>
      <c r="E2" s="14"/>
      <c r="F2" s="14"/>
      <c r="G2" s="14"/>
      <c r="H2" s="14"/>
    </row>
    <row r="4" customFormat="false" ht="43.5" hidden="false" customHeight="true" outlineLevel="0" collapsed="false">
      <c r="A4" s="10" t="s">
        <v>516</v>
      </c>
      <c r="B4" s="10" t="s">
        <v>517</v>
      </c>
      <c r="C4" s="10" t="s">
        <v>518</v>
      </c>
      <c r="D4" s="10" t="s">
        <v>519</v>
      </c>
      <c r="E4" s="10" t="s">
        <v>520</v>
      </c>
      <c r="F4" s="10" t="s">
        <v>521</v>
      </c>
      <c r="G4" s="10" t="s">
        <v>522</v>
      </c>
      <c r="H4" s="10" t="s">
        <v>523</v>
      </c>
    </row>
    <row r="5" customFormat="false" ht="15" hidden="false" customHeight="true" outlineLevel="0" collapsed="false">
      <c r="A5" s="21"/>
      <c r="B5" s="21"/>
      <c r="C5" s="21"/>
      <c r="D5" s="54"/>
      <c r="E5" s="54"/>
      <c r="F5" s="55"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21"/>
      <c r="B6" s="21"/>
      <c r="C6" s="21"/>
      <c r="D6" s="54"/>
      <c r="E6" s="54"/>
      <c r="F6" s="55"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21"/>
      <c r="B7" s="21"/>
      <c r="C7" s="21"/>
      <c r="D7" s="54"/>
      <c r="E7" s="54"/>
      <c r="F7" s="55"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21"/>
      <c r="B8" s="21"/>
      <c r="C8" s="21"/>
      <c r="D8" s="54"/>
      <c r="E8" s="54"/>
      <c r="F8" s="55"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21"/>
      <c r="B9" s="21"/>
      <c r="C9" s="21"/>
      <c r="D9" s="54"/>
      <c r="E9" s="54"/>
      <c r="F9" s="55"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21"/>
      <c r="B10" s="21"/>
      <c r="C10" s="21"/>
      <c r="D10" s="54"/>
      <c r="E10" s="54"/>
      <c r="F10" s="55"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21"/>
      <c r="B11" s="21"/>
      <c r="C11" s="21"/>
      <c r="D11" s="54"/>
      <c r="E11" s="54"/>
      <c r="F11" s="55"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21"/>
      <c r="B12" s="21"/>
      <c r="C12" s="21"/>
      <c r="D12" s="54"/>
      <c r="E12" s="54"/>
      <c r="F12" s="55"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21"/>
      <c r="B13" s="21"/>
      <c r="C13" s="21"/>
      <c r="D13" s="54"/>
      <c r="E13" s="54"/>
      <c r="F13" s="55"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21"/>
      <c r="B14" s="21"/>
      <c r="C14" s="21"/>
      <c r="D14" s="54"/>
      <c r="E14" s="54"/>
      <c r="F14" s="55"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21"/>
      <c r="B15" s="21"/>
      <c r="C15" s="21"/>
      <c r="D15" s="54"/>
      <c r="E15" s="54"/>
      <c r="F15" s="55"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21"/>
      <c r="B16" s="21"/>
      <c r="C16" s="21"/>
      <c r="D16" s="54"/>
      <c r="E16" s="54"/>
      <c r="F16" s="55"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21"/>
      <c r="B17" s="21"/>
      <c r="C17" s="21"/>
      <c r="D17" s="54"/>
      <c r="E17" s="54"/>
      <c r="F17" s="55"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21"/>
      <c r="B18" s="21"/>
      <c r="C18" s="21"/>
      <c r="D18" s="54"/>
      <c r="E18" s="54"/>
      <c r="F18" s="55"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21"/>
      <c r="B19" s="21"/>
      <c r="C19" s="21"/>
      <c r="D19" s="54"/>
      <c r="E19" s="54"/>
      <c r="F19" s="55"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21"/>
      <c r="B20" s="21"/>
      <c r="C20" s="21"/>
      <c r="D20" s="54"/>
      <c r="E20" s="54"/>
      <c r="F20" s="55"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21"/>
      <c r="B21" s="21"/>
      <c r="C21" s="21"/>
      <c r="D21" s="54"/>
      <c r="E21" s="54"/>
      <c r="F21" s="55"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21"/>
      <c r="B22" s="21"/>
      <c r="C22" s="21"/>
      <c r="D22" s="54"/>
      <c r="E22" s="54"/>
      <c r="F22" s="55"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21"/>
      <c r="B23" s="21"/>
      <c r="C23" s="21"/>
      <c r="D23" s="54"/>
      <c r="E23" s="54"/>
      <c r="F23" s="55"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21"/>
      <c r="B24" s="21"/>
      <c r="C24" s="21"/>
      <c r="D24" s="54"/>
      <c r="E24" s="54"/>
      <c r="F24" s="55"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21"/>
      <c r="B25" s="21"/>
      <c r="C25" s="21"/>
      <c r="D25" s="54"/>
      <c r="E25" s="54"/>
      <c r="F25" s="55"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21"/>
      <c r="B26" s="21"/>
      <c r="C26" s="21"/>
      <c r="D26" s="54"/>
      <c r="E26" s="54"/>
      <c r="F26" s="55"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21"/>
      <c r="B27" s="21"/>
      <c r="C27" s="21"/>
      <c r="D27" s="54"/>
      <c r="E27" s="54"/>
      <c r="F27" s="55"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21"/>
      <c r="B28" s="21"/>
      <c r="C28" s="21"/>
      <c r="D28" s="54"/>
      <c r="E28" s="54"/>
      <c r="F28" s="55"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21"/>
      <c r="B29" s="21"/>
      <c r="C29" s="21"/>
      <c r="D29" s="54"/>
      <c r="E29" s="54"/>
      <c r="F29" s="55"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21"/>
      <c r="B30" s="21"/>
      <c r="C30" s="21"/>
      <c r="D30" s="54"/>
      <c r="E30" s="54"/>
      <c r="F30" s="55"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21"/>
      <c r="B31" s="21"/>
      <c r="C31" s="21"/>
      <c r="D31" s="54"/>
      <c r="E31" s="54"/>
      <c r="F31" s="55"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21"/>
      <c r="B32" s="21"/>
      <c r="C32" s="21"/>
      <c r="D32" s="54"/>
      <c r="E32" s="54"/>
      <c r="F32" s="55"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21"/>
      <c r="B33" s="21"/>
      <c r="C33" s="21"/>
      <c r="D33" s="54"/>
      <c r="E33" s="54"/>
      <c r="F33" s="55"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21"/>
      <c r="B34" s="21"/>
      <c r="C34" s="21"/>
      <c r="D34" s="54"/>
      <c r="E34" s="54"/>
      <c r="F34" s="55"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21"/>
      <c r="B35" s="21"/>
      <c r="C35" s="21"/>
      <c r="D35" s="54"/>
      <c r="E35" s="54"/>
      <c r="F35" s="55"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21"/>
      <c r="B36" s="21"/>
      <c r="C36" s="21"/>
      <c r="D36" s="54"/>
      <c r="E36" s="54"/>
      <c r="F36" s="55"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21"/>
      <c r="B37" s="21"/>
      <c r="C37" s="21"/>
      <c r="D37" s="54"/>
      <c r="E37" s="54"/>
      <c r="F37" s="55"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21"/>
      <c r="B38" s="21"/>
      <c r="C38" s="21"/>
      <c r="D38" s="54"/>
      <c r="E38" s="54"/>
      <c r="F38" s="55"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21"/>
      <c r="B39" s="21"/>
      <c r="C39" s="21"/>
      <c r="D39" s="54"/>
      <c r="E39" s="54"/>
      <c r="F39" s="55"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21"/>
      <c r="B40" s="21"/>
      <c r="C40" s="21"/>
      <c r="D40" s="54"/>
      <c r="E40" s="54"/>
      <c r="F40" s="55"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21"/>
      <c r="B41" s="21"/>
      <c r="C41" s="21"/>
      <c r="D41" s="54"/>
      <c r="E41" s="54"/>
      <c r="F41" s="55"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21"/>
      <c r="B42" s="21"/>
      <c r="C42" s="21"/>
      <c r="D42" s="54"/>
      <c r="E42" s="54"/>
      <c r="F42" s="55"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21"/>
      <c r="B43" s="21"/>
      <c r="C43" s="21"/>
      <c r="D43" s="54"/>
      <c r="E43" s="54"/>
      <c r="F43" s="55"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21"/>
      <c r="B44" s="21"/>
      <c r="C44" s="21"/>
      <c r="D44" s="54"/>
      <c r="E44" s="54"/>
      <c r="F44" s="55"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21"/>
      <c r="B45" s="21"/>
      <c r="C45" s="21"/>
      <c r="D45" s="54"/>
      <c r="E45" s="54"/>
      <c r="F45" s="55"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21"/>
      <c r="B46" s="21"/>
      <c r="C46" s="21"/>
      <c r="D46" s="54"/>
      <c r="E46" s="54"/>
      <c r="F46" s="55"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21"/>
      <c r="B47" s="21"/>
      <c r="C47" s="21"/>
      <c r="D47" s="54"/>
      <c r="E47" s="54"/>
      <c r="F47" s="55"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21"/>
      <c r="B48" s="21"/>
      <c r="C48" s="21"/>
      <c r="D48" s="54"/>
      <c r="E48" s="54"/>
      <c r="F48" s="55"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21"/>
      <c r="B49" s="21"/>
      <c r="C49" s="21"/>
      <c r="D49" s="54"/>
      <c r="E49" s="54"/>
      <c r="F49" s="55"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21"/>
      <c r="B50" s="21"/>
      <c r="C50" s="21"/>
      <c r="D50" s="54"/>
      <c r="E50" s="54"/>
      <c r="F50" s="55"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21"/>
      <c r="B51" s="21"/>
      <c r="C51" s="21"/>
      <c r="D51" s="54"/>
      <c r="E51" s="54"/>
      <c r="F51" s="55"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21"/>
      <c r="B52" s="21"/>
      <c r="C52" s="21"/>
      <c r="D52" s="54"/>
      <c r="E52" s="54"/>
      <c r="F52" s="55"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21"/>
      <c r="B53" s="21"/>
      <c r="C53" s="21"/>
      <c r="D53" s="54"/>
      <c r="E53" s="54"/>
      <c r="F53" s="55"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21"/>
      <c r="B54" s="21"/>
      <c r="C54" s="21"/>
      <c r="D54" s="54"/>
      <c r="E54" s="54"/>
      <c r="F54" s="55"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21"/>
      <c r="B55" s="21"/>
      <c r="C55" s="21"/>
      <c r="D55" s="54"/>
      <c r="E55" s="54"/>
      <c r="F55" s="55"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21"/>
      <c r="B56" s="21"/>
      <c r="C56" s="21"/>
      <c r="D56" s="54"/>
      <c r="E56" s="54"/>
      <c r="F56" s="55"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21"/>
      <c r="B57" s="21"/>
      <c r="C57" s="21"/>
      <c r="D57" s="54"/>
      <c r="E57" s="54"/>
      <c r="F57" s="55"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21"/>
      <c r="B58" s="21"/>
      <c r="C58" s="21"/>
      <c r="D58" s="54"/>
      <c r="E58" s="54"/>
      <c r="F58" s="55"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21"/>
      <c r="B59" s="21"/>
      <c r="C59" s="21"/>
      <c r="D59" s="54"/>
      <c r="E59" s="54"/>
      <c r="F59" s="55"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21"/>
      <c r="B60" s="21"/>
      <c r="C60" s="21"/>
      <c r="D60" s="54"/>
      <c r="E60" s="54"/>
      <c r="F60" s="55"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21"/>
      <c r="B61" s="21"/>
      <c r="C61" s="21"/>
      <c r="D61" s="54"/>
      <c r="E61" s="54"/>
      <c r="F61" s="55"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21"/>
      <c r="B62" s="21"/>
      <c r="C62" s="21"/>
      <c r="D62" s="54"/>
      <c r="E62" s="54"/>
      <c r="F62" s="55"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21"/>
      <c r="B63" s="21"/>
      <c r="C63" s="21"/>
      <c r="D63" s="54"/>
      <c r="E63" s="54"/>
      <c r="F63" s="55"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21"/>
      <c r="B64" s="21"/>
      <c r="C64" s="21"/>
      <c r="D64" s="54"/>
      <c r="E64" s="54"/>
      <c r="F64" s="55"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21"/>
      <c r="B65" s="21"/>
      <c r="C65" s="21"/>
      <c r="D65" s="54"/>
      <c r="E65" s="54"/>
      <c r="F65" s="55"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21"/>
      <c r="B66" s="21"/>
      <c r="C66" s="21"/>
      <c r="D66" s="54"/>
      <c r="E66" s="54"/>
      <c r="F66" s="55"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21"/>
      <c r="B67" s="21"/>
      <c r="C67" s="21"/>
      <c r="D67" s="54"/>
      <c r="E67" s="54"/>
      <c r="F67" s="55"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21"/>
      <c r="B68" s="21"/>
      <c r="C68" s="21"/>
      <c r="D68" s="54"/>
      <c r="E68" s="54"/>
      <c r="F68" s="55"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21"/>
      <c r="B69" s="21"/>
      <c r="C69" s="21"/>
      <c r="D69" s="54"/>
      <c r="E69" s="54"/>
      <c r="F69" s="55"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21"/>
      <c r="B70" s="21"/>
      <c r="C70" s="21"/>
      <c r="D70" s="54"/>
      <c r="E70" s="54"/>
      <c r="F70" s="55"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21"/>
      <c r="B71" s="21"/>
      <c r="C71" s="21"/>
      <c r="D71" s="54"/>
      <c r="E71" s="54"/>
      <c r="F71" s="55"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21"/>
      <c r="B72" s="21"/>
      <c r="C72" s="21"/>
      <c r="D72" s="54"/>
      <c r="E72" s="54"/>
      <c r="F72" s="55"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21"/>
      <c r="B73" s="21"/>
      <c r="C73" s="21"/>
      <c r="D73" s="54"/>
      <c r="E73" s="54"/>
      <c r="F73" s="55"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21"/>
      <c r="B74" s="21"/>
      <c r="C74" s="21"/>
      <c r="D74" s="54"/>
      <c r="E74" s="54"/>
      <c r="F74" s="55"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21"/>
      <c r="B75" s="21"/>
      <c r="C75" s="21"/>
      <c r="D75" s="54"/>
      <c r="E75" s="54"/>
      <c r="F75" s="55"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21"/>
      <c r="B76" s="21"/>
      <c r="C76" s="21"/>
      <c r="D76" s="54"/>
      <c r="E76" s="54"/>
      <c r="F76" s="55"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21"/>
      <c r="B77" s="21"/>
      <c r="C77" s="21"/>
      <c r="D77" s="54"/>
      <c r="E77" s="54"/>
      <c r="F77" s="55"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21"/>
      <c r="B78" s="21"/>
      <c r="C78" s="21"/>
      <c r="D78" s="54"/>
      <c r="E78" s="54"/>
      <c r="F78" s="55"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21"/>
      <c r="B79" s="21"/>
      <c r="C79" s="21"/>
      <c r="D79" s="54"/>
      <c r="E79" s="54"/>
      <c r="F79" s="55"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21"/>
      <c r="B80" s="21"/>
      <c r="C80" s="21"/>
      <c r="D80" s="54"/>
      <c r="E80" s="54"/>
      <c r="F80" s="55"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21"/>
      <c r="B81" s="21"/>
      <c r="C81" s="21"/>
      <c r="D81" s="54"/>
      <c r="E81" s="54"/>
      <c r="F81" s="55"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21"/>
      <c r="B82" s="21"/>
      <c r="C82" s="21"/>
      <c r="D82" s="54"/>
      <c r="E82" s="54"/>
      <c r="F82" s="55"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21"/>
      <c r="B83" s="21"/>
      <c r="C83" s="21"/>
      <c r="D83" s="54"/>
      <c r="E83" s="54"/>
      <c r="F83" s="55"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21"/>
      <c r="B84" s="21"/>
      <c r="C84" s="21"/>
      <c r="D84" s="54"/>
      <c r="E84" s="54"/>
      <c r="F84" s="55"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21"/>
      <c r="B85" s="21"/>
      <c r="C85" s="21"/>
      <c r="D85" s="54"/>
      <c r="E85" s="54"/>
      <c r="F85" s="55"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21"/>
      <c r="B86" s="21"/>
      <c r="C86" s="21"/>
      <c r="D86" s="54"/>
      <c r="E86" s="54"/>
      <c r="F86" s="55"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21"/>
      <c r="B87" s="21"/>
      <c r="C87" s="21"/>
      <c r="D87" s="54"/>
      <c r="E87" s="54"/>
      <c r="F87" s="55"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21"/>
      <c r="B88" s="21"/>
      <c r="C88" s="21"/>
      <c r="D88" s="54"/>
      <c r="E88" s="54"/>
      <c r="F88" s="55"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21"/>
      <c r="B89" s="21"/>
      <c r="C89" s="21"/>
      <c r="D89" s="54"/>
      <c r="E89" s="54"/>
      <c r="F89" s="55"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21"/>
      <c r="B90" s="21"/>
      <c r="C90" s="21"/>
      <c r="D90" s="54"/>
      <c r="E90" s="54"/>
      <c r="F90" s="55"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21"/>
      <c r="B91" s="21"/>
      <c r="C91" s="21"/>
      <c r="D91" s="54"/>
      <c r="E91" s="54"/>
      <c r="F91" s="55"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21"/>
      <c r="B92" s="21"/>
      <c r="C92" s="21"/>
      <c r="D92" s="54"/>
      <c r="E92" s="54"/>
      <c r="F92" s="55"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21"/>
      <c r="B93" s="21"/>
      <c r="C93" s="21"/>
      <c r="D93" s="54"/>
      <c r="E93" s="54"/>
      <c r="F93" s="55"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21"/>
      <c r="B94" s="21"/>
      <c r="C94" s="21"/>
      <c r="D94" s="54"/>
      <c r="E94" s="54"/>
      <c r="F94" s="55"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21"/>
      <c r="B95" s="21"/>
      <c r="C95" s="21"/>
      <c r="D95" s="54"/>
      <c r="E95" s="54"/>
      <c r="F95" s="55"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21"/>
      <c r="B96" s="21"/>
      <c r="C96" s="21"/>
      <c r="D96" s="54"/>
      <c r="E96" s="54"/>
      <c r="F96" s="55"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21"/>
      <c r="B97" s="21"/>
      <c r="C97" s="21"/>
      <c r="D97" s="54"/>
      <c r="E97" s="54"/>
      <c r="F97" s="55"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21"/>
      <c r="B98" s="21"/>
      <c r="C98" s="21"/>
      <c r="D98" s="54"/>
      <c r="E98" s="54"/>
      <c r="F98" s="55"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21"/>
      <c r="B99" s="21"/>
      <c r="C99" s="21"/>
      <c r="D99" s="54"/>
      <c r="E99" s="54"/>
      <c r="F99" s="55"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21"/>
      <c r="B100" s="21"/>
      <c r="C100" s="21"/>
      <c r="D100" s="54"/>
      <c r="E100" s="54"/>
      <c r="F100" s="55"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21"/>
      <c r="B101" s="21"/>
      <c r="C101" s="21"/>
      <c r="D101" s="54"/>
      <c r="E101" s="54"/>
      <c r="F101" s="55"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21"/>
      <c r="B102" s="21"/>
      <c r="C102" s="21"/>
      <c r="D102" s="54"/>
      <c r="E102" s="54"/>
      <c r="F102" s="55"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21"/>
      <c r="B103" s="21"/>
      <c r="C103" s="21"/>
      <c r="D103" s="54"/>
      <c r="E103" s="54"/>
      <c r="F103" s="55"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21"/>
      <c r="B104" s="21"/>
      <c r="C104" s="21"/>
      <c r="D104" s="54"/>
      <c r="E104" s="54"/>
      <c r="F104" s="55"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21"/>
      <c r="B105" s="21"/>
      <c r="C105" s="21"/>
      <c r="D105" s="54"/>
      <c r="E105" s="54"/>
      <c r="F105" s="55"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21"/>
      <c r="B106" s="21"/>
      <c r="C106" s="21"/>
      <c r="D106" s="54"/>
      <c r="E106" s="54"/>
      <c r="F106" s="55"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21"/>
      <c r="B107" s="21"/>
      <c r="C107" s="21"/>
      <c r="D107" s="54"/>
      <c r="E107" s="54"/>
      <c r="F107" s="55"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21"/>
      <c r="B108" s="21"/>
      <c r="C108" s="21"/>
      <c r="D108" s="54"/>
      <c r="E108" s="54"/>
      <c r="F108" s="55"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21"/>
      <c r="B109" s="21"/>
      <c r="C109" s="21"/>
      <c r="D109" s="54"/>
      <c r="E109" s="54"/>
      <c r="F109" s="55"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21"/>
      <c r="B110" s="21"/>
      <c r="C110" s="21"/>
      <c r="D110" s="54"/>
      <c r="E110" s="54"/>
      <c r="F110" s="55"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21"/>
      <c r="B111" s="21"/>
      <c r="C111" s="21"/>
      <c r="D111" s="54"/>
      <c r="E111" s="54"/>
      <c r="F111" s="55"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21"/>
      <c r="B112" s="21"/>
      <c r="C112" s="21"/>
      <c r="D112" s="54"/>
      <c r="E112" s="54"/>
      <c r="F112" s="55"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21"/>
      <c r="B113" s="21"/>
      <c r="C113" s="21"/>
      <c r="D113" s="54"/>
      <c r="E113" s="54"/>
      <c r="F113" s="55"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21"/>
      <c r="B114" s="21"/>
      <c r="C114" s="21"/>
      <c r="D114" s="54"/>
      <c r="E114" s="54"/>
      <c r="F114" s="55"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21"/>
      <c r="B115" s="21"/>
      <c r="C115" s="21"/>
      <c r="D115" s="54"/>
      <c r="E115" s="54"/>
      <c r="F115" s="55"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21"/>
      <c r="B116" s="21"/>
      <c r="C116" s="21"/>
      <c r="D116" s="54"/>
      <c r="E116" s="54"/>
      <c r="F116" s="55"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21"/>
      <c r="B117" s="21"/>
      <c r="C117" s="21"/>
      <c r="D117" s="54"/>
      <c r="E117" s="54"/>
      <c r="F117" s="55"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21"/>
      <c r="B118" s="21"/>
      <c r="C118" s="21"/>
      <c r="D118" s="54"/>
      <c r="E118" s="54"/>
      <c r="F118" s="55"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21"/>
      <c r="B119" s="21"/>
      <c r="C119" s="21"/>
      <c r="D119" s="54"/>
      <c r="E119" s="54"/>
      <c r="F119" s="55"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21"/>
      <c r="B120" s="21"/>
      <c r="C120" s="21"/>
      <c r="D120" s="54"/>
      <c r="E120" s="54"/>
      <c r="F120" s="55"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21"/>
      <c r="B121" s="21"/>
      <c r="C121" s="21"/>
      <c r="D121" s="54"/>
      <c r="E121" s="54"/>
      <c r="F121" s="55"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21"/>
      <c r="B122" s="21"/>
      <c r="C122" s="21"/>
      <c r="D122" s="54"/>
      <c r="E122" s="54"/>
      <c r="F122" s="55"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21"/>
      <c r="B123" s="21"/>
      <c r="C123" s="21"/>
      <c r="D123" s="54"/>
      <c r="E123" s="54"/>
      <c r="F123" s="55"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21"/>
      <c r="B124" s="21"/>
      <c r="C124" s="21"/>
      <c r="D124" s="54"/>
      <c r="E124" s="54"/>
      <c r="F124" s="55"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21"/>
      <c r="B125" s="21"/>
      <c r="C125" s="21"/>
      <c r="D125" s="54"/>
      <c r="E125" s="54"/>
      <c r="F125" s="55"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21"/>
      <c r="B126" s="21"/>
      <c r="C126" s="21"/>
      <c r="D126" s="54"/>
      <c r="E126" s="54"/>
      <c r="F126" s="55"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21"/>
      <c r="B127" s="21"/>
      <c r="C127" s="21"/>
      <c r="D127" s="54"/>
      <c r="E127" s="54"/>
      <c r="F127" s="55"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21"/>
      <c r="B128" s="21"/>
      <c r="C128" s="21"/>
      <c r="D128" s="54"/>
      <c r="E128" s="54"/>
      <c r="F128" s="55"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21"/>
      <c r="B129" s="21"/>
      <c r="C129" s="21"/>
      <c r="D129" s="54"/>
      <c r="E129" s="54"/>
      <c r="F129" s="55"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21"/>
      <c r="B130" s="21"/>
      <c r="C130" s="21"/>
      <c r="D130" s="54"/>
      <c r="E130" s="54"/>
      <c r="F130" s="55"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21"/>
      <c r="B131" s="21"/>
      <c r="C131" s="21"/>
      <c r="D131" s="54"/>
      <c r="E131" s="54"/>
      <c r="F131" s="55"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21"/>
      <c r="B132" s="21"/>
      <c r="C132" s="21"/>
      <c r="D132" s="54"/>
      <c r="E132" s="54"/>
      <c r="F132" s="55"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21"/>
      <c r="B133" s="21"/>
      <c r="C133" s="21"/>
      <c r="D133" s="54"/>
      <c r="E133" s="54"/>
      <c r="F133" s="55"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21"/>
      <c r="B134" s="21"/>
      <c r="C134" s="21"/>
      <c r="D134" s="54"/>
      <c r="E134" s="54"/>
      <c r="F134" s="55"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21"/>
      <c r="B135" s="21"/>
      <c r="C135" s="21"/>
      <c r="D135" s="54"/>
      <c r="E135" s="54"/>
      <c r="F135" s="55"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21"/>
      <c r="B136" s="21"/>
      <c r="C136" s="21"/>
      <c r="D136" s="54"/>
      <c r="E136" s="54"/>
      <c r="F136" s="55"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21"/>
      <c r="B137" s="21"/>
      <c r="C137" s="21"/>
      <c r="D137" s="54"/>
      <c r="E137" s="54"/>
      <c r="F137" s="55"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21"/>
      <c r="B138" s="21"/>
      <c r="C138" s="21"/>
      <c r="D138" s="54"/>
      <c r="E138" s="54"/>
      <c r="F138" s="55"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21"/>
      <c r="B139" s="21"/>
      <c r="C139" s="21"/>
      <c r="D139" s="54"/>
      <c r="E139" s="54"/>
      <c r="F139" s="55"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21"/>
      <c r="B140" s="21"/>
      <c r="C140" s="21"/>
      <c r="D140" s="54"/>
      <c r="E140" s="54"/>
      <c r="F140" s="55"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21"/>
      <c r="B141" s="21"/>
      <c r="C141" s="21"/>
      <c r="D141" s="54"/>
      <c r="E141" s="54"/>
      <c r="F141" s="55"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21"/>
      <c r="B142" s="21"/>
      <c r="C142" s="21"/>
      <c r="D142" s="54"/>
      <c r="E142" s="54"/>
      <c r="F142" s="55"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21"/>
      <c r="B143" s="21"/>
      <c r="C143" s="21"/>
      <c r="D143" s="54"/>
      <c r="E143" s="54"/>
      <c r="F143" s="55"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21"/>
      <c r="B144" s="21"/>
      <c r="C144" s="21"/>
      <c r="D144" s="54"/>
      <c r="E144" s="54"/>
      <c r="F144" s="55"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21"/>
      <c r="B145" s="21"/>
      <c r="C145" s="21"/>
      <c r="D145" s="54"/>
      <c r="E145" s="54"/>
      <c r="F145" s="55"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21"/>
      <c r="B146" s="21"/>
      <c r="C146" s="21"/>
      <c r="D146" s="54"/>
      <c r="E146" s="54"/>
      <c r="F146" s="55"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21"/>
      <c r="B147" s="21"/>
      <c r="C147" s="21"/>
      <c r="D147" s="54"/>
      <c r="E147" s="54"/>
      <c r="F147" s="55"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21"/>
      <c r="B148" s="21"/>
      <c r="C148" s="21"/>
      <c r="D148" s="54"/>
      <c r="E148" s="54"/>
      <c r="F148" s="55"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21"/>
      <c r="B149" s="21"/>
      <c r="C149" s="21"/>
      <c r="D149" s="54"/>
      <c r="E149" s="54"/>
      <c r="F149" s="55"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21"/>
      <c r="B150" s="21"/>
      <c r="C150" s="21"/>
      <c r="D150" s="54"/>
      <c r="E150" s="54"/>
      <c r="F150" s="55"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21"/>
      <c r="B151" s="21"/>
      <c r="C151" s="21"/>
      <c r="D151" s="54"/>
      <c r="E151" s="54"/>
      <c r="F151" s="55"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21"/>
      <c r="B152" s="21"/>
      <c r="C152" s="21"/>
      <c r="D152" s="54"/>
      <c r="E152" s="54"/>
      <c r="F152" s="55"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21"/>
      <c r="B153" s="21"/>
      <c r="C153" s="21"/>
      <c r="D153" s="54"/>
      <c r="E153" s="54"/>
      <c r="F153" s="55"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21"/>
      <c r="B154" s="21"/>
      <c r="C154" s="21"/>
      <c r="D154" s="54"/>
      <c r="E154" s="54"/>
      <c r="F154" s="55"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21"/>
      <c r="B155" s="21"/>
      <c r="C155" s="21"/>
      <c r="D155" s="54"/>
      <c r="E155" s="54"/>
      <c r="F155" s="55"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21"/>
      <c r="B156" s="21"/>
      <c r="C156" s="21"/>
      <c r="D156" s="54"/>
      <c r="E156" s="54"/>
      <c r="F156" s="55"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21"/>
      <c r="B157" s="21"/>
      <c r="C157" s="21"/>
      <c r="D157" s="54"/>
      <c r="E157" s="54"/>
      <c r="F157" s="55"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21"/>
      <c r="B158" s="21"/>
      <c r="C158" s="21"/>
      <c r="D158" s="54"/>
      <c r="E158" s="54"/>
      <c r="F158" s="55"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21"/>
      <c r="B159" s="21"/>
      <c r="C159" s="21"/>
      <c r="D159" s="54"/>
      <c r="E159" s="54"/>
      <c r="F159" s="55"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21"/>
      <c r="B160" s="21"/>
      <c r="C160" s="21"/>
      <c r="D160" s="54"/>
      <c r="E160" s="54"/>
      <c r="F160" s="55"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21"/>
      <c r="B161" s="21"/>
      <c r="C161" s="21"/>
      <c r="D161" s="54"/>
      <c r="E161" s="54"/>
      <c r="F161" s="55"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21"/>
      <c r="B162" s="21"/>
      <c r="C162" s="21"/>
      <c r="D162" s="54"/>
      <c r="E162" s="54"/>
      <c r="F162" s="55"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21"/>
      <c r="B163" s="21"/>
      <c r="C163" s="21"/>
      <c r="D163" s="54"/>
      <c r="E163" s="54"/>
      <c r="F163" s="55"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21"/>
      <c r="B164" s="21"/>
      <c r="C164" s="21"/>
      <c r="D164" s="54"/>
      <c r="E164" s="54"/>
      <c r="F164" s="55"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21"/>
      <c r="B165" s="21"/>
      <c r="C165" s="21"/>
      <c r="D165" s="54"/>
      <c r="E165" s="54"/>
      <c r="F165" s="55"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21"/>
      <c r="B166" s="21"/>
      <c r="C166" s="21"/>
      <c r="D166" s="54"/>
      <c r="E166" s="54"/>
      <c r="F166" s="55"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21"/>
      <c r="B167" s="21"/>
      <c r="C167" s="21"/>
      <c r="D167" s="54"/>
      <c r="E167" s="54"/>
      <c r="F167" s="55"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21"/>
      <c r="B168" s="21"/>
      <c r="C168" s="21"/>
      <c r="D168" s="54"/>
      <c r="E168" s="54"/>
      <c r="F168" s="55"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21"/>
      <c r="B169" s="21"/>
      <c r="C169" s="21"/>
      <c r="D169" s="54"/>
      <c r="E169" s="54"/>
      <c r="F169" s="55"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21"/>
      <c r="B170" s="21"/>
      <c r="C170" s="21"/>
      <c r="D170" s="54"/>
      <c r="E170" s="54"/>
      <c r="F170" s="55"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21"/>
      <c r="B171" s="21"/>
      <c r="C171" s="21"/>
      <c r="D171" s="54"/>
      <c r="E171" s="54"/>
      <c r="F171" s="55"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21"/>
      <c r="B172" s="21"/>
      <c r="C172" s="21"/>
      <c r="D172" s="54"/>
      <c r="E172" s="54"/>
      <c r="F172" s="55"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21"/>
      <c r="B173" s="21"/>
      <c r="C173" s="21"/>
      <c r="D173" s="54"/>
      <c r="E173" s="54"/>
      <c r="F173" s="55"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21"/>
      <c r="B174" s="21"/>
      <c r="C174" s="21"/>
      <c r="D174" s="54"/>
      <c r="E174" s="54"/>
      <c r="F174" s="55"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21"/>
      <c r="B175" s="21"/>
      <c r="C175" s="21"/>
      <c r="D175" s="54"/>
      <c r="E175" s="54"/>
      <c r="F175" s="55"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21"/>
      <c r="B176" s="21"/>
      <c r="C176" s="21"/>
      <c r="D176" s="54"/>
      <c r="E176" s="54"/>
      <c r="F176" s="55"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21"/>
      <c r="B177" s="21"/>
      <c r="C177" s="21"/>
      <c r="D177" s="54"/>
      <c r="E177" s="54"/>
      <c r="F177" s="55"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21"/>
      <c r="B178" s="21"/>
      <c r="C178" s="21"/>
      <c r="D178" s="54"/>
      <c r="E178" s="54"/>
      <c r="F178" s="55"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21"/>
      <c r="B179" s="21"/>
      <c r="C179" s="21"/>
      <c r="D179" s="54"/>
      <c r="E179" s="54"/>
      <c r="F179" s="55"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21"/>
      <c r="B180" s="21"/>
      <c r="C180" s="21"/>
      <c r="D180" s="54"/>
      <c r="E180" s="54"/>
      <c r="F180" s="55"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21"/>
      <c r="B181" s="21"/>
      <c r="C181" s="21"/>
      <c r="D181" s="54"/>
      <c r="E181" s="54"/>
      <c r="F181" s="55"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21"/>
      <c r="B182" s="21"/>
      <c r="C182" s="21"/>
      <c r="D182" s="54"/>
      <c r="E182" s="54"/>
      <c r="F182" s="55"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21"/>
      <c r="B183" s="21"/>
      <c r="C183" s="21"/>
      <c r="D183" s="54"/>
      <c r="E183" s="54"/>
      <c r="F183" s="55"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21"/>
      <c r="B184" s="21"/>
      <c r="C184" s="21"/>
      <c r="D184" s="54"/>
      <c r="E184" s="54"/>
      <c r="F184" s="55"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21"/>
      <c r="B185" s="21"/>
      <c r="C185" s="21"/>
      <c r="D185" s="54"/>
      <c r="E185" s="54"/>
      <c r="F185" s="55"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21"/>
      <c r="B186" s="21"/>
      <c r="C186" s="21"/>
      <c r="D186" s="54"/>
      <c r="E186" s="54"/>
      <c r="F186" s="55"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21"/>
      <c r="B187" s="21"/>
      <c r="C187" s="21"/>
      <c r="D187" s="54"/>
      <c r="E187" s="54"/>
      <c r="F187" s="55"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21"/>
      <c r="B188" s="21"/>
      <c r="C188" s="21"/>
      <c r="D188" s="54"/>
      <c r="E188" s="54"/>
      <c r="F188" s="55"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21"/>
      <c r="B189" s="21"/>
      <c r="C189" s="21"/>
      <c r="D189" s="54"/>
      <c r="E189" s="54"/>
      <c r="F189" s="55"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21"/>
      <c r="B190" s="21"/>
      <c r="C190" s="21"/>
      <c r="D190" s="54"/>
      <c r="E190" s="54"/>
      <c r="F190" s="55"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21"/>
      <c r="B191" s="21"/>
      <c r="C191" s="21"/>
      <c r="D191" s="54"/>
      <c r="E191" s="54"/>
      <c r="F191" s="55"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21"/>
      <c r="B192" s="21"/>
      <c r="C192" s="21"/>
      <c r="D192" s="54"/>
      <c r="E192" s="54"/>
      <c r="F192" s="55"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21"/>
      <c r="B193" s="21"/>
      <c r="C193" s="21"/>
      <c r="D193" s="54"/>
      <c r="E193" s="54"/>
      <c r="F193" s="55"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21"/>
      <c r="B194" s="21"/>
      <c r="C194" s="21"/>
      <c r="D194" s="54"/>
      <c r="E194" s="54"/>
      <c r="F194" s="55"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21"/>
      <c r="B195" s="21"/>
      <c r="C195" s="21"/>
      <c r="D195" s="54"/>
      <c r="E195" s="54"/>
      <c r="F195" s="55"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21"/>
      <c r="B196" s="21"/>
      <c r="C196" s="21"/>
      <c r="D196" s="54"/>
      <c r="E196" s="54"/>
      <c r="F196" s="55"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21"/>
      <c r="B197" s="21"/>
      <c r="C197" s="21"/>
      <c r="D197" s="54"/>
      <c r="E197" s="54"/>
      <c r="F197" s="55"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21"/>
      <c r="B198" s="21"/>
      <c r="C198" s="21"/>
      <c r="D198" s="54"/>
      <c r="E198" s="54"/>
      <c r="F198" s="55"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21"/>
      <c r="B199" s="21"/>
      <c r="C199" s="21"/>
      <c r="D199" s="54"/>
      <c r="E199" s="54"/>
      <c r="F199" s="55"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21"/>
      <c r="B200" s="21"/>
      <c r="C200" s="21"/>
      <c r="D200" s="54"/>
      <c r="E200" s="54"/>
      <c r="F200" s="55"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21"/>
      <c r="B201" s="21"/>
      <c r="C201" s="21"/>
      <c r="D201" s="54"/>
      <c r="E201" s="54"/>
      <c r="F201" s="55"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21"/>
      <c r="B202" s="21"/>
      <c r="C202" s="21"/>
      <c r="D202" s="54"/>
      <c r="E202" s="54"/>
      <c r="F202" s="55"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21"/>
      <c r="B203" s="21"/>
      <c r="C203" s="21"/>
      <c r="D203" s="54"/>
      <c r="E203" s="54"/>
      <c r="F203" s="55"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21"/>
      <c r="B204" s="21"/>
      <c r="C204" s="21"/>
      <c r="D204" s="54"/>
      <c r="E204" s="54"/>
      <c r="F204" s="55"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21"/>
      <c r="B205" s="21"/>
      <c r="C205" s="21"/>
      <c r="D205" s="54"/>
      <c r="E205" s="54"/>
      <c r="F205" s="55"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21"/>
      <c r="B206" s="21"/>
      <c r="C206" s="21"/>
      <c r="D206" s="54"/>
      <c r="E206" s="54"/>
      <c r="F206" s="55"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21"/>
      <c r="B207" s="21"/>
      <c r="C207" s="21"/>
      <c r="D207" s="54"/>
      <c r="E207" s="54"/>
      <c r="F207" s="55"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21"/>
      <c r="B208" s="21"/>
      <c r="C208" s="21"/>
      <c r="D208" s="54"/>
      <c r="E208" s="54"/>
      <c r="F208" s="55"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21"/>
      <c r="B209" s="21"/>
      <c r="C209" s="21"/>
      <c r="D209" s="54"/>
      <c r="E209" s="54"/>
      <c r="F209" s="55"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21"/>
      <c r="B210" s="21"/>
      <c r="C210" s="21"/>
      <c r="D210" s="54"/>
      <c r="E210" s="54"/>
      <c r="F210" s="55"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21"/>
      <c r="B211" s="21"/>
      <c r="C211" s="21"/>
      <c r="D211" s="54"/>
      <c r="E211" s="54"/>
      <c r="F211" s="55"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21"/>
      <c r="B212" s="21"/>
      <c r="C212" s="21"/>
      <c r="D212" s="54"/>
      <c r="E212" s="54"/>
      <c r="F212" s="55"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21"/>
      <c r="B213" s="21"/>
      <c r="C213" s="21"/>
      <c r="D213" s="54"/>
      <c r="E213" s="54"/>
      <c r="F213" s="55"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21"/>
      <c r="B214" s="21"/>
      <c r="C214" s="21"/>
      <c r="D214" s="54"/>
      <c r="E214" s="54"/>
      <c r="F214" s="55"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21"/>
      <c r="B215" s="21"/>
      <c r="C215" s="21"/>
      <c r="D215" s="54"/>
      <c r="E215" s="54"/>
      <c r="F215" s="55"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21"/>
      <c r="B216" s="21"/>
      <c r="C216" s="21"/>
      <c r="D216" s="54"/>
      <c r="E216" s="54"/>
      <c r="F216" s="55"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21"/>
      <c r="B217" s="21"/>
      <c r="C217" s="21"/>
      <c r="D217" s="54"/>
      <c r="E217" s="54"/>
      <c r="F217" s="55"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21"/>
      <c r="B218" s="21"/>
      <c r="C218" s="21"/>
      <c r="D218" s="54"/>
      <c r="E218" s="54"/>
      <c r="F218" s="55"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21"/>
      <c r="B219" s="21"/>
      <c r="C219" s="21"/>
      <c r="D219" s="54"/>
      <c r="E219" s="54"/>
      <c r="F219" s="55"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21"/>
      <c r="B220" s="21"/>
      <c r="C220" s="21"/>
      <c r="D220" s="54"/>
      <c r="E220" s="54"/>
      <c r="F220" s="55"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21"/>
      <c r="B221" s="21"/>
      <c r="C221" s="21"/>
      <c r="D221" s="54"/>
      <c r="E221" s="54"/>
      <c r="F221" s="55"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21"/>
      <c r="B222" s="21"/>
      <c r="C222" s="21"/>
      <c r="D222" s="54"/>
      <c r="E222" s="54"/>
      <c r="F222" s="55"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21"/>
      <c r="B223" s="21"/>
      <c r="C223" s="21"/>
      <c r="D223" s="54"/>
      <c r="E223" s="54"/>
      <c r="F223" s="55"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21"/>
      <c r="B224" s="21"/>
      <c r="C224" s="21"/>
      <c r="D224" s="54"/>
      <c r="E224" s="54"/>
      <c r="F224" s="55"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21"/>
      <c r="B225" s="21"/>
      <c r="C225" s="21"/>
      <c r="D225" s="54"/>
      <c r="E225" s="54"/>
      <c r="F225" s="55"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21"/>
      <c r="B226" s="21"/>
      <c r="C226" s="21"/>
      <c r="D226" s="54"/>
      <c r="E226" s="54"/>
      <c r="F226" s="55"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21"/>
      <c r="B227" s="21"/>
      <c r="C227" s="21"/>
      <c r="D227" s="54"/>
      <c r="E227" s="54"/>
      <c r="F227" s="55"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21"/>
      <c r="B228" s="21"/>
      <c r="C228" s="21"/>
      <c r="D228" s="54"/>
      <c r="E228" s="54"/>
      <c r="F228" s="55"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21"/>
      <c r="B229" s="21"/>
      <c r="C229" s="21"/>
      <c r="D229" s="54"/>
      <c r="E229" s="54"/>
      <c r="F229" s="55"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21"/>
      <c r="B230" s="21"/>
      <c r="C230" s="21"/>
      <c r="D230" s="54"/>
      <c r="E230" s="54"/>
      <c r="F230" s="55"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21"/>
      <c r="B231" s="21"/>
      <c r="C231" s="21"/>
      <c r="D231" s="54"/>
      <c r="E231" s="54"/>
      <c r="F231" s="55"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21"/>
      <c r="B232" s="21"/>
      <c r="C232" s="21"/>
      <c r="D232" s="54"/>
      <c r="E232" s="54"/>
      <c r="F232" s="55"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21"/>
      <c r="B233" s="21"/>
      <c r="C233" s="21"/>
      <c r="D233" s="54"/>
      <c r="E233" s="54"/>
      <c r="F233" s="55"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21"/>
      <c r="B234" s="21"/>
      <c r="C234" s="21"/>
      <c r="D234" s="54"/>
      <c r="E234" s="54"/>
      <c r="F234" s="55"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21"/>
      <c r="B235" s="21"/>
      <c r="C235" s="21"/>
      <c r="D235" s="54"/>
      <c r="E235" s="54"/>
      <c r="F235" s="55"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21"/>
      <c r="B236" s="21"/>
      <c r="C236" s="21"/>
      <c r="D236" s="54"/>
      <c r="E236" s="54"/>
      <c r="F236" s="55"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21"/>
      <c r="B237" s="21"/>
      <c r="C237" s="21"/>
      <c r="D237" s="54"/>
      <c r="E237" s="54"/>
      <c r="F237" s="55"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21"/>
      <c r="B238" s="21"/>
      <c r="C238" s="21"/>
      <c r="D238" s="54"/>
      <c r="E238" s="54"/>
      <c r="F238" s="55"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21"/>
      <c r="B239" s="21"/>
      <c r="C239" s="21"/>
      <c r="D239" s="54"/>
      <c r="E239" s="54"/>
      <c r="F239" s="55"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21"/>
      <c r="B240" s="21"/>
      <c r="C240" s="21"/>
      <c r="D240" s="54"/>
      <c r="E240" s="54"/>
      <c r="F240" s="55"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21"/>
      <c r="B241" s="21"/>
      <c r="C241" s="21"/>
      <c r="D241" s="54"/>
      <c r="E241" s="54"/>
      <c r="F241" s="55"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21"/>
      <c r="B242" s="21"/>
      <c r="C242" s="21"/>
      <c r="D242" s="54"/>
      <c r="E242" s="54"/>
      <c r="F242" s="55"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21"/>
      <c r="B243" s="21"/>
      <c r="C243" s="21"/>
      <c r="D243" s="54"/>
      <c r="E243" s="54"/>
      <c r="F243" s="55"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21"/>
      <c r="B244" s="21"/>
      <c r="C244" s="21"/>
      <c r="D244" s="54"/>
      <c r="E244" s="54"/>
      <c r="F244" s="55"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21"/>
      <c r="B245" s="21"/>
      <c r="C245" s="21"/>
      <c r="D245" s="54"/>
      <c r="E245" s="54"/>
      <c r="F245" s="55"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21"/>
      <c r="B246" s="21"/>
      <c r="C246" s="21"/>
      <c r="D246" s="54"/>
      <c r="E246" s="54"/>
      <c r="F246" s="55"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21"/>
      <c r="B247" s="21"/>
      <c r="C247" s="21"/>
      <c r="D247" s="54"/>
      <c r="E247" s="54"/>
      <c r="F247" s="55"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21"/>
      <c r="B248" s="21"/>
      <c r="C248" s="21"/>
      <c r="D248" s="54"/>
      <c r="E248" s="54"/>
      <c r="F248" s="55"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21"/>
      <c r="B249" s="21"/>
      <c r="C249" s="21"/>
      <c r="D249" s="54"/>
      <c r="E249" s="54"/>
      <c r="F249" s="55"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21"/>
      <c r="B250" s="21"/>
      <c r="C250" s="21"/>
      <c r="D250" s="54"/>
      <c r="E250" s="54"/>
      <c r="F250" s="55"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21"/>
      <c r="B251" s="21"/>
      <c r="C251" s="21"/>
      <c r="D251" s="54"/>
      <c r="E251" s="54"/>
      <c r="F251" s="55"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21"/>
      <c r="B252" s="21"/>
      <c r="C252" s="21"/>
      <c r="D252" s="54"/>
      <c r="E252" s="54"/>
      <c r="F252" s="55"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21"/>
      <c r="B253" s="21"/>
      <c r="C253" s="21"/>
      <c r="D253" s="54"/>
      <c r="E253" s="54"/>
      <c r="F253" s="55"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21"/>
      <c r="B254" s="21"/>
      <c r="C254" s="21"/>
      <c r="D254" s="54"/>
      <c r="E254" s="54"/>
      <c r="F254" s="55"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21"/>
      <c r="B255" s="21"/>
      <c r="C255" s="21"/>
      <c r="D255" s="54"/>
      <c r="E255" s="54"/>
      <c r="F255" s="55"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21"/>
      <c r="B256" s="21"/>
      <c r="C256" s="21"/>
      <c r="D256" s="54"/>
      <c r="E256" s="54"/>
      <c r="F256" s="55"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21"/>
      <c r="B257" s="21"/>
      <c r="C257" s="21"/>
      <c r="D257" s="54"/>
      <c r="E257" s="54"/>
      <c r="F257" s="55"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21"/>
      <c r="B258" s="21"/>
      <c r="C258" s="21"/>
      <c r="D258" s="54"/>
      <c r="E258" s="54"/>
      <c r="F258" s="55"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21"/>
      <c r="B259" s="21"/>
      <c r="C259" s="21"/>
      <c r="D259" s="54"/>
      <c r="E259" s="54"/>
      <c r="F259" s="55"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21"/>
      <c r="B260" s="21"/>
      <c r="C260" s="21"/>
      <c r="D260" s="54"/>
      <c r="E260" s="54"/>
      <c r="F260" s="55"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21"/>
      <c r="B261" s="21"/>
      <c r="C261" s="21"/>
      <c r="D261" s="54"/>
      <c r="E261" s="54"/>
      <c r="F261" s="55"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21"/>
      <c r="B262" s="21"/>
      <c r="C262" s="21"/>
      <c r="D262" s="54"/>
      <c r="E262" s="54"/>
      <c r="F262" s="55"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21"/>
      <c r="B263" s="21"/>
      <c r="C263" s="21"/>
      <c r="D263" s="54"/>
      <c r="E263" s="54"/>
      <c r="F263" s="55"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21"/>
      <c r="B264" s="21"/>
      <c r="C264" s="21"/>
      <c r="D264" s="54"/>
      <c r="E264" s="54"/>
      <c r="F264" s="55"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21"/>
      <c r="B265" s="21"/>
      <c r="C265" s="21"/>
      <c r="D265" s="54"/>
      <c r="E265" s="54"/>
      <c r="F265" s="55"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21"/>
      <c r="B266" s="21"/>
      <c r="C266" s="21"/>
      <c r="D266" s="54"/>
      <c r="E266" s="54"/>
      <c r="F266" s="55"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21"/>
      <c r="B267" s="21"/>
      <c r="C267" s="21"/>
      <c r="D267" s="54"/>
      <c r="E267" s="54"/>
      <c r="F267" s="55"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21"/>
      <c r="B268" s="21"/>
      <c r="C268" s="21"/>
      <c r="D268" s="54"/>
      <c r="E268" s="54"/>
      <c r="F268" s="55"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21"/>
      <c r="B269" s="21"/>
      <c r="C269" s="21"/>
      <c r="D269" s="54"/>
      <c r="E269" s="54"/>
      <c r="F269" s="55"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21"/>
      <c r="B270" s="21"/>
      <c r="C270" s="21"/>
      <c r="D270" s="54"/>
      <c r="E270" s="54"/>
      <c r="F270" s="55"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21"/>
      <c r="B271" s="21"/>
      <c r="C271" s="21"/>
      <c r="D271" s="54"/>
      <c r="E271" s="54"/>
      <c r="F271" s="55"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21"/>
      <c r="B272" s="21"/>
      <c r="C272" s="21"/>
      <c r="D272" s="54"/>
      <c r="E272" s="54"/>
      <c r="F272" s="55"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21"/>
      <c r="B273" s="21"/>
      <c r="C273" s="21"/>
      <c r="D273" s="54"/>
      <c r="E273" s="54"/>
      <c r="F273" s="55"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21"/>
      <c r="B274" s="21"/>
      <c r="C274" s="21"/>
      <c r="D274" s="54"/>
      <c r="E274" s="54"/>
      <c r="F274" s="55"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21"/>
      <c r="B275" s="21"/>
      <c r="C275" s="21"/>
      <c r="D275" s="54"/>
      <c r="E275" s="54"/>
      <c r="F275" s="55"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21"/>
      <c r="B276" s="21"/>
      <c r="C276" s="21"/>
      <c r="D276" s="54"/>
      <c r="E276" s="54"/>
      <c r="F276" s="55"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21"/>
      <c r="B277" s="21"/>
      <c r="C277" s="21"/>
      <c r="D277" s="54"/>
      <c r="E277" s="54"/>
      <c r="F277" s="55"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21"/>
      <c r="B278" s="21"/>
      <c r="C278" s="21"/>
      <c r="D278" s="54"/>
      <c r="E278" s="54"/>
      <c r="F278" s="55"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21"/>
      <c r="B279" s="21"/>
      <c r="C279" s="21"/>
      <c r="D279" s="54"/>
      <c r="E279" s="54"/>
      <c r="F279" s="55"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21"/>
      <c r="B280" s="21"/>
      <c r="C280" s="21"/>
      <c r="D280" s="54"/>
      <c r="E280" s="54"/>
      <c r="F280" s="55"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21"/>
      <c r="B281" s="21"/>
      <c r="C281" s="21"/>
      <c r="D281" s="54"/>
      <c r="E281" s="54"/>
      <c r="F281" s="55"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21"/>
      <c r="B282" s="21"/>
      <c r="C282" s="21"/>
      <c r="D282" s="54"/>
      <c r="E282" s="54"/>
      <c r="F282" s="55"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21"/>
      <c r="B283" s="21"/>
      <c r="C283" s="21"/>
      <c r="D283" s="54"/>
      <c r="E283" s="54"/>
      <c r="F283" s="55"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21"/>
      <c r="B284" s="21"/>
      <c r="C284" s="21"/>
      <c r="D284" s="54"/>
      <c r="E284" s="54"/>
      <c r="F284" s="55"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21"/>
      <c r="B285" s="21"/>
      <c r="C285" s="21"/>
      <c r="D285" s="54"/>
      <c r="E285" s="54"/>
      <c r="F285" s="55"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21"/>
      <c r="B286" s="21"/>
      <c r="C286" s="21"/>
      <c r="D286" s="54"/>
      <c r="E286" s="54"/>
      <c r="F286" s="55"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21"/>
      <c r="B287" s="21"/>
      <c r="C287" s="21"/>
      <c r="D287" s="54"/>
      <c r="E287" s="54"/>
      <c r="F287" s="55"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21"/>
      <c r="B288" s="21"/>
      <c r="C288" s="21"/>
      <c r="D288" s="54"/>
      <c r="E288" s="54"/>
      <c r="F288" s="55"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21"/>
      <c r="B289" s="21"/>
      <c r="C289" s="21"/>
      <c r="D289" s="54"/>
      <c r="E289" s="54"/>
      <c r="F289" s="55"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21"/>
      <c r="B290" s="21"/>
      <c r="C290" s="21"/>
      <c r="D290" s="54"/>
      <c r="E290" s="54"/>
      <c r="F290" s="55"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21"/>
      <c r="B291" s="21"/>
      <c r="C291" s="21"/>
      <c r="D291" s="54"/>
      <c r="E291" s="54"/>
      <c r="F291" s="55"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21"/>
      <c r="B292" s="21"/>
      <c r="C292" s="21"/>
      <c r="D292" s="54"/>
      <c r="E292" s="54"/>
      <c r="F292" s="55"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21"/>
      <c r="B293" s="21"/>
      <c r="C293" s="21"/>
      <c r="D293" s="54"/>
      <c r="E293" s="54"/>
      <c r="F293" s="55"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21"/>
      <c r="B294" s="21"/>
      <c r="C294" s="21"/>
      <c r="D294" s="54"/>
      <c r="E294" s="54"/>
      <c r="F294" s="55"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21"/>
      <c r="B295" s="21"/>
      <c r="C295" s="21"/>
      <c r="D295" s="54"/>
      <c r="E295" s="54"/>
      <c r="F295" s="55"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21"/>
      <c r="B296" s="21"/>
      <c r="C296" s="21"/>
      <c r="D296" s="54"/>
      <c r="E296" s="54"/>
      <c r="F296" s="55"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21"/>
      <c r="B297" s="21"/>
      <c r="C297" s="21"/>
      <c r="D297" s="54"/>
      <c r="E297" s="54"/>
      <c r="F297" s="55"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21"/>
      <c r="B298" s="21"/>
      <c r="C298" s="21"/>
      <c r="D298" s="54"/>
      <c r="E298" s="54"/>
      <c r="F298" s="55"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21"/>
      <c r="B299" s="21"/>
      <c r="C299" s="21"/>
      <c r="D299" s="54"/>
      <c r="E299" s="54"/>
      <c r="F299" s="55"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21"/>
      <c r="B300" s="21"/>
      <c r="C300" s="21"/>
      <c r="D300" s="54"/>
      <c r="E300" s="54"/>
      <c r="F300" s="55"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21"/>
      <c r="B301" s="21"/>
      <c r="C301" s="21"/>
      <c r="D301" s="54"/>
      <c r="E301" s="54"/>
      <c r="F301" s="55"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21"/>
      <c r="B302" s="21"/>
      <c r="C302" s="21"/>
      <c r="D302" s="54"/>
      <c r="E302" s="54"/>
      <c r="F302" s="55"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21"/>
      <c r="B303" s="21"/>
      <c r="C303" s="21"/>
      <c r="D303" s="54"/>
      <c r="E303" s="54"/>
      <c r="F303" s="55"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21"/>
      <c r="B304" s="21"/>
      <c r="C304" s="21"/>
      <c r="D304" s="54"/>
      <c r="E304" s="54"/>
      <c r="F304" s="55"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53" t="s">
        <v>524</v>
      </c>
      <c r="B1" s="53"/>
      <c r="C1" s="53"/>
      <c r="D1" s="53"/>
      <c r="E1" s="53"/>
      <c r="F1" s="53"/>
      <c r="G1" s="53"/>
      <c r="H1" s="53"/>
    </row>
    <row r="2" customFormat="false" ht="43.5" hidden="false" customHeight="true" outlineLevel="0" collapsed="false">
      <c r="A2" s="14" t="s">
        <v>525</v>
      </c>
      <c r="B2" s="14"/>
      <c r="C2" s="14"/>
      <c r="D2" s="14"/>
      <c r="E2" s="14"/>
      <c r="F2" s="14"/>
      <c r="G2" s="14"/>
      <c r="H2" s="14"/>
    </row>
    <row r="4" customFormat="false" ht="49.5" hidden="false" customHeight="true" outlineLevel="0" collapsed="false">
      <c r="A4" s="10" t="s">
        <v>7</v>
      </c>
      <c r="B4" s="10" t="s">
        <v>23</v>
      </c>
      <c r="C4" s="10" t="s">
        <v>24</v>
      </c>
      <c r="D4" s="10" t="s">
        <v>26</v>
      </c>
      <c r="E4" s="10" t="s">
        <v>526</v>
      </c>
      <c r="F4" s="10" t="s">
        <v>527</v>
      </c>
      <c r="G4" s="10" t="s">
        <v>528</v>
      </c>
      <c r="H4" s="10" t="s">
        <v>529</v>
      </c>
    </row>
    <row r="5" customFormat="false" ht="15" hidden="false" customHeight="true" outlineLevel="0" collapsed="false">
      <c r="A5" s="11" t="s">
        <v>9</v>
      </c>
      <c r="B5" s="11" t="s">
        <v>403</v>
      </c>
      <c r="C5" s="13" t="n">
        <f aca="false">IFERROR(INDEX('تحليل التكلفة والسعر'!$D$2:$D$700,MATCH("بيتزا مارجريتا وسط",'تحليل التكلفة والسعر'!$B$2:$B$700,0)),"")</f>
        <v>80</v>
      </c>
      <c r="D5" s="12" t="n">
        <f aca="false">IFERROR(INDEX('تحليل التكلفة والسعر'!$I$2:$I$700,MATCH("بيتزا مارجريتا وسط",'تحليل التكلفة والسعر'!$B$2:$B$700,0)),"")</f>
        <v>0.51440125</v>
      </c>
      <c r="E5" s="21"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21"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348</v>
      </c>
      <c r="C6" s="13" t="n">
        <f aca="false">IFERROR(INDEX('تحليل التكلفة والسعر'!$D$2:$D$700,MATCH("بيتزا مارجريتا حجم اكبر",'تحليل التكلفة والسعر'!$B$2:$B$700,0)),"")</f>
        <v>110</v>
      </c>
      <c r="D6" s="12" t="n">
        <f aca="false">IFERROR(INDEX('تحليل التكلفة والسعر'!$I$2:$I$700,MATCH("بيتزا مارجريتا حجم اكبر",'تحليل التكلفة والسعر'!$B$2:$B$700,0)),"")</f>
        <v>0.540888181818182</v>
      </c>
      <c r="E6" s="21"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21"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373</v>
      </c>
      <c r="C7" s="13" t="n">
        <f aca="false">IFERROR(INDEX('تحليل التكلفة والسعر'!$D$2:$D$700,MATCH("بيتزا بسطرمة وسط",'تحليل التكلفة والسعر'!$B$2:$B$700,0)),"")</f>
        <v>130</v>
      </c>
      <c r="D7" s="12" t="n">
        <f aca="false">IFERROR(INDEX('تحليل التكلفة والسعر'!$I$2:$I$700,MATCH("بيتزا بسطرمة وسط",'تحليل التكلفة والسعر'!$B$2:$B$700,0)),"")</f>
        <v>0.431939230769231</v>
      </c>
      <c r="E7" s="21"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21"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392</v>
      </c>
      <c r="C8" s="13" t="n">
        <f aca="false">IFERROR(INDEX('تحليل التكلفة والسعر'!$D$2:$D$700,MATCH("بيتزا بسطرمة حجم اكبر",'تحليل التكلفة والسعر'!$B$2:$B$700,0)),"")</f>
        <v>190</v>
      </c>
      <c r="D8" s="12" t="n">
        <f aca="false">IFERROR(INDEX('تحليل التكلفة والسعر'!$I$2:$I$700,MATCH("بيتزا بسطرمة حجم اكبر",'تحليل التكلفة والسعر'!$B$2:$B$700,0)),"")</f>
        <v>0.487414736842105</v>
      </c>
      <c r="E8" s="21"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21"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424</v>
      </c>
      <c r="C9" s="13" t="n">
        <f aca="false">IFERROR(INDEX('تحليل التكلفة والسعر'!$D$2:$D$700,MATCH("بيتزا سدق وسط",'تحليل التكلفة والسعر'!$B$2:$B$700,0)),"")</f>
        <v>120</v>
      </c>
      <c r="D9" s="12" t="n">
        <f aca="false">IFERROR(INDEX('تحليل التكلفة والسعر'!$I$2:$I$700,MATCH("بيتزا سدق وسط",'تحليل التكلفة والسعر'!$B$2:$B$700,0)),"")</f>
        <v>0.392934166666667</v>
      </c>
      <c r="E9" s="21"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21"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356</v>
      </c>
      <c r="C10" s="13" t="n">
        <f aca="false">IFERROR(INDEX('تحليل التكلفة والسعر'!$D$2:$D$700,MATCH("بيتزا سدق حجم اكبر",'تحليل التكلفة والسعر'!$B$2:$B$700,0)),"")</f>
        <v>180</v>
      </c>
      <c r="D10" s="12" t="n">
        <f aca="false">IFERROR(INDEX('تحليل التكلفة والسعر'!$I$2:$I$700,MATCH("بيتزا سدق حجم اكبر",'تحليل التكلفة والسعر'!$B$2:$B$700,0)),"")</f>
        <v>0.469431666666667</v>
      </c>
      <c r="E10" s="21"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21"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371</v>
      </c>
      <c r="C11" s="13" t="n">
        <f aca="false">IFERROR(INDEX('تحليل التكلفة والسعر'!$D$2:$D$700,MATCH("بيتزا دبل سلامي / بيبروني وسط",'تحليل التكلفة والسعر'!$B$2:$B$700,0)),"")</f>
        <v>120</v>
      </c>
      <c r="D11" s="12" t="n">
        <f aca="false">IFERROR(INDEX('تحليل التكلفة والسعر'!$I$2:$I$700,MATCH("بيتزا دبل سلامي / بيبروني وسط",'تحليل التكلفة والسعر'!$B$2:$B$700,0)),"")</f>
        <v>0.450065833333333</v>
      </c>
      <c r="E11" s="21"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21"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445</v>
      </c>
      <c r="C12" s="13" t="n">
        <f aca="false">IFERROR(INDEX('تحليل التكلفة والسعر'!$D$2:$D$700,MATCH("بيتزا دبل سلامي / بيبروني حجم اكبر",'تحليل التكلفة والسعر'!$B$2:$B$700,0)),"")</f>
        <v>180</v>
      </c>
      <c r="D12" s="12" t="n">
        <f aca="false">IFERROR(INDEX('تحليل التكلفة والسعر'!$I$2:$I$700,MATCH("بيتزا دبل سلامي / بيبروني حجم اكبر",'تحليل التكلفة والسعر'!$B$2:$B$700,0)),"")</f>
        <v>0.49323</v>
      </c>
      <c r="E12" s="21"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21"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402</v>
      </c>
      <c r="C13" s="13" t="n">
        <f aca="false">IFERROR(INDEX('تحليل التكلفة والسعر'!$D$2:$D$700,MATCH("بيتزا مشكل جبن وسط",'تحليل التكلفة والسعر'!$B$2:$B$700,0)),"")</f>
        <v>120</v>
      </c>
      <c r="D13" s="12" t="n">
        <f aca="false">IFERROR(INDEX('تحليل التكلفة والسعر'!$I$2:$I$700,MATCH("بيتزا مشكل جبن وسط",'تحليل التكلفة والسعر'!$B$2:$B$700,0)),"")</f>
        <v>0.367934166666667</v>
      </c>
      <c r="E13" s="21"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21"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399</v>
      </c>
      <c r="C14" s="13" t="n">
        <f aca="false">IFERROR(INDEX('تحليل التكلفة والسعر'!$D$2:$D$700,MATCH("بيتزا مشكل جبن حجم اكبر",'تحليل التكلفة والسعر'!$B$2:$B$700,0)),"")</f>
        <v>180</v>
      </c>
      <c r="D14" s="12" t="n">
        <f aca="false">IFERROR(INDEX('تحليل التكلفة والسعر'!$I$2:$I$700,MATCH("بيتزا مشكل جبن حجم اكبر",'تحليل التكلفة والسعر'!$B$2:$B$700,0)),"")</f>
        <v>0.411098333333333</v>
      </c>
      <c r="E14" s="21"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21"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414</v>
      </c>
      <c r="C15" s="13" t="n">
        <f aca="false">IFERROR(INDEX('تحليل التكلفة والسعر'!$D$2:$D$700,MATCH("بيتزا فراخ رانش وسط",'تحليل التكلفة والسعر'!$B$2:$B$700,0)),"")</f>
        <v>140</v>
      </c>
      <c r="D15" s="12" t="n">
        <f aca="false">IFERROR(INDEX('تحليل التكلفة والسعر'!$I$2:$I$700,MATCH("بيتزا فراخ رانش وسط",'تحليل التكلفة والسعر'!$B$2:$B$700,0)),"")</f>
        <v>0.406365714285714</v>
      </c>
      <c r="E15" s="21"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21"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355</v>
      </c>
      <c r="C16" s="13" t="n">
        <f aca="false">IFERROR(INDEX('تحليل التكلفة والسعر'!$D$2:$D$700,MATCH("بيتزا فراخ رانش حجم اكبر",'تحليل التكلفة والسعر'!$B$2:$B$700,0)),"")</f>
        <v>220</v>
      </c>
      <c r="D16" s="12" t="n">
        <f aca="false">IFERROR(INDEX('تحليل التكلفة والسعر'!$I$2:$I$700,MATCH("بيتزا فراخ رانش حجم اكبر",'تحليل التكلفة والسعر'!$B$2:$B$700,0)),"")</f>
        <v>0.479372727272727</v>
      </c>
      <c r="E16" s="21"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21"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418</v>
      </c>
      <c r="C17" s="13" t="n">
        <f aca="false">IFERROR(INDEX('تحليل التكلفة والسعر'!$D$2:$D$700,MATCH("بيتزا فراخ باربيكيو وسط",'تحليل التكلفة والسعر'!$B$2:$B$700,0)),"")</f>
        <v>140</v>
      </c>
      <c r="D17" s="12" t="n">
        <f aca="false">IFERROR(INDEX('تحليل التكلفة والسعر'!$I$2:$I$700,MATCH("بيتزا فراخ باربيكيو وسط",'تحليل التكلفة والسعر'!$B$2:$B$700,0)),"")</f>
        <v>0.431365714285714</v>
      </c>
      <c r="E17" s="21"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21"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354</v>
      </c>
      <c r="C18" s="13" t="n">
        <f aca="false">IFERROR(INDEX('تحليل التكلفة والسعر'!$D$2:$D$700,MATCH("بيتزا فراخ باربيكيو حجم اكبر",'تحليل التكلفة والسعر'!$B$2:$B$700,0)),"")</f>
        <v>220</v>
      </c>
      <c r="D18" s="12" t="n">
        <f aca="false">IFERROR(INDEX('تحليل التكلفة والسعر'!$I$2:$I$700,MATCH("بيتزا فراخ باربيكيو حجم اكبر",'تحليل التكلفة والسعر'!$B$2:$B$700,0)),"")</f>
        <v>0.503236363636364</v>
      </c>
      <c r="E18" s="21"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21"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394</v>
      </c>
      <c r="C19" s="13" t="n">
        <f aca="false">IFERROR(INDEX('تحليل التكلفة والسعر'!$D$2:$D$700,MATCH("بيتزا فراخ كريسبي رانش وسط",'تحليل التكلفة والسعر'!$B$2:$B$700,0)),"")</f>
        <v>140</v>
      </c>
      <c r="D19" s="12" t="n">
        <f aca="false">IFERROR(INDEX('تحليل التكلفة والسعر'!$I$2:$I$700,MATCH("بيتزا فراخ كريسبي رانش وسط",'تحليل التكلفة والسعر'!$B$2:$B$700,0)),"")</f>
        <v>0.393388571428571</v>
      </c>
      <c r="E19" s="21"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21"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318</v>
      </c>
      <c r="C20" s="13" t="n">
        <f aca="false">IFERROR(INDEX('تحليل التكلفة والسعر'!$D$2:$D$700,MATCH("بيتزا فراخ كريسبي رانش حجم اكبر",'تحليل التكلفة والسعر'!$B$2:$B$700,0)),"")</f>
        <v>220</v>
      </c>
      <c r="D20" s="12" t="n">
        <f aca="false">IFERROR(INDEX('تحليل التكلفة والسعر'!$I$2:$I$700,MATCH("بيتزا فراخ كريسبي رانش حجم اكبر",'تحليل التكلفة والسعر'!$B$2:$B$700,0)),"")</f>
        <v>0.541681818181818</v>
      </c>
      <c r="E20" s="21"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21"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411</v>
      </c>
      <c r="C21" s="13" t="n">
        <f aca="false">IFERROR(INDEX('تحليل التكلفة والسعر'!$D$2:$D$700,MATCH("بيتزا فراخ كريسبي شيدر وسط",'تحليل التكلفة والسعر'!$B$2:$B$700,0)),"")</f>
        <v>140</v>
      </c>
      <c r="D21" s="12" t="n">
        <f aca="false">IFERROR(INDEX('تحليل التكلفة والسعر'!$I$2:$I$700,MATCH("بيتزا فراخ كريسبي شيدر وسط",'تحليل التكلفة والسعر'!$B$2:$B$700,0)),"")</f>
        <v>0.368388571428571</v>
      </c>
      <c r="E21" s="21"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21"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324</v>
      </c>
      <c r="C22" s="13" t="n">
        <f aca="false">IFERROR(INDEX('تحليل التكلفة والسعر'!$D$2:$D$700,MATCH("بيتزا فراخ كريسبي شيدر حجم اكبر",'تحليل التكلفة والسعر'!$B$2:$B$700,0)),"")</f>
        <v>220</v>
      </c>
      <c r="D22" s="12" t="n">
        <f aca="false">IFERROR(INDEX('تحليل التكلفة والسعر'!$I$2:$I$700,MATCH("بيتزا فراخ كريسبي شيدر حجم اكبر",'تحليل التكلفة والسعر'!$B$2:$B$700,0)),"")</f>
        <v>0.517818181818182</v>
      </c>
      <c r="E22" s="21"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21"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396</v>
      </c>
      <c r="C23" s="13" t="n">
        <f aca="false">IFERROR(INDEX('تحليل التكلفة والسعر'!$D$2:$D$700,MATCH("بيتزا مشكل لحوم النكش وسط",'تحليل التكلفة والسعر'!$B$2:$B$700,0)),"")</f>
        <v>220</v>
      </c>
      <c r="D23" s="12" t="n">
        <f aca="false">IFERROR(INDEX('تحليل التكلفة والسعر'!$I$2:$I$700,MATCH("بيتزا مشكل لحوم النكش وسط",'تحليل التكلفة والسعر'!$B$2:$B$700,0)),"")</f>
        <v>0.414327727272727</v>
      </c>
      <c r="E23" s="21"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21"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461</v>
      </c>
      <c r="C24" s="13" t="n">
        <f aca="false">IFERROR(INDEX('تحليل التكلفة والسعر'!$D$2:$D$700,MATCH("بيتزا مشكل لحوم النكش حجم اكبر",'تحليل التكلفة والسعر'!$B$2:$B$700,0)),"")</f>
        <v>330</v>
      </c>
      <c r="D24" s="12" t="n">
        <f aca="false">IFERROR(INDEX('تحليل التكلفة والسعر'!$I$2:$I$700,MATCH("بيتزا مشكل لحوم النكش حجم اكبر",'تحليل التكلفة والسعر'!$B$2:$B$700,0)),"")</f>
        <v>0.504875151515152</v>
      </c>
      <c r="E24" s="21"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21"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458</v>
      </c>
      <c r="C25" s="13" t="n">
        <f aca="false">IFERROR(INDEX('تحليل التكلفة والسعر'!$D$2:$D$700,MATCH("بيتزا جمبري وسط",'تحليل التكلفة والسعر'!$B$2:$B$700,0)),"")</f>
        <v>230</v>
      </c>
      <c r="D25" s="12" t="n">
        <f aca="false">IFERROR(INDEX('تحليل التكلفة والسعر'!$I$2:$I$700,MATCH("بيتزا جمبري وسط",'تحليل التكلفة والسعر'!$B$2:$B$700,0)),"")</f>
        <v>0.418052608695652</v>
      </c>
      <c r="E25" s="21"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21"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395</v>
      </c>
      <c r="C26" s="13" t="n">
        <f aca="false">IFERROR(INDEX('تحليل التكلفة والسعر'!$D$2:$D$700,MATCH("بيتزا جمبري حجم اكبر",'تحليل التكلفة والسعر'!$B$2:$B$700,0)),"")</f>
        <v>350</v>
      </c>
      <c r="D26" s="12" t="n">
        <f aca="false">IFERROR(INDEX('تحليل التكلفة والسعر'!$I$2:$I$700,MATCH("بيتزا جمبري حجم اكبر",'تحليل التكلفة والسعر'!$B$2:$B$700,0)),"")</f>
        <v>0.448564857142857</v>
      </c>
      <c r="E26" s="21"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21"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453</v>
      </c>
      <c r="C27" s="13" t="n">
        <f aca="false">IFERROR(INDEX('تحليل التكلفة والسعر'!$D$2:$D$700,MATCH("فطيرة سدق وسط",'تحليل التكلفة والسعر'!$B$2:$B$700,0)),"")</f>
        <v>120</v>
      </c>
      <c r="D27" s="12" t="n">
        <f aca="false">IFERROR(INDEX('تحليل التكلفة والسعر'!$I$2:$I$700,MATCH("فطيرة سدق وسط",'تحليل التكلفة والسعر'!$B$2:$B$700,0)),"")</f>
        <v>0.356434166666667</v>
      </c>
      <c r="E27" s="21"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21"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384</v>
      </c>
      <c r="C28" s="13" t="n">
        <f aca="false">IFERROR(INDEX('تحليل التكلفة والسعر'!$D$2:$D$700,MATCH("فطيرة سدق حجم اكبر",'تحليل التكلفة والسعر'!$B$2:$B$700,0)),"")</f>
        <v>180</v>
      </c>
      <c r="D28" s="12" t="n">
        <f aca="false">IFERROR(INDEX('تحليل التكلفة والسعر'!$I$2:$I$700,MATCH("فطيرة سدق حجم اكبر",'تحليل التكلفة والسعر'!$B$2:$B$700,0)),"")</f>
        <v>0.416317222222222</v>
      </c>
      <c r="E28" s="21"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21"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383</v>
      </c>
      <c r="C29" s="13" t="n">
        <f aca="false">IFERROR(INDEX('تحليل التكلفة والسعر'!$D$2:$D$700,MATCH("فطيرة بسطرمة وسط",'تحليل التكلفة والسعر'!$B$2:$B$700,0)),"")</f>
        <v>130</v>
      </c>
      <c r="D29" s="12" t="n">
        <f aca="false">IFERROR(INDEX('تحليل التكلفة والسعر'!$I$2:$I$700,MATCH("فطيرة بسطرمة وسط",'تحليل التكلفة والسعر'!$B$2:$B$700,0)),"")</f>
        <v>0.467477692307692</v>
      </c>
      <c r="E29" s="21"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21"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357</v>
      </c>
      <c r="C30" s="13" t="n">
        <f aca="false">IFERROR(INDEX('تحليل التكلفة والسعر'!$D$2:$D$700,MATCH("فطيرة بسطرمة حجم اكبر",'تحليل التكلفة والسعر'!$B$2:$B$700,0)),"")</f>
        <v>190</v>
      </c>
      <c r="D30" s="12" t="n">
        <f aca="false">IFERROR(INDEX('تحليل التكلفة والسعر'!$I$2:$I$700,MATCH("فطيرة بسطرمة حجم اكبر",'تحليل التكلفة والسعر'!$B$2:$B$700,0)),"")</f>
        <v>0.508148421052632</v>
      </c>
      <c r="E30" s="21"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21"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407</v>
      </c>
      <c r="C31" s="13" t="n">
        <f aca="false">IFERROR(INDEX('تحليل التكلفة والسعر'!$D$2:$D$700,MATCH("فطيرة ميكس بسطرمة وسدق بالكيري وسط",'تحليل التكلفة والسعر'!$B$2:$B$700,0)),"")</f>
        <v>200</v>
      </c>
      <c r="D31" s="12" t="n">
        <f aca="false">IFERROR(INDEX('تحليل التكلفة والسعر'!$I$2:$I$700,MATCH("فطيرة ميكس بسطرمة وسدق بالكيري وسط",'تحليل التكلفة والسعر'!$B$2:$B$700,0)),"")</f>
        <v>0.4138605</v>
      </c>
      <c r="E31" s="21"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21"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405</v>
      </c>
      <c r="C32" s="13" t="n">
        <f aca="false">IFERROR(INDEX('تحليل التكلفة والسعر'!$D$2:$D$700,MATCH("فطيرة ميكس بسطرمة وسدق بالكيري حجم اكبر",'تحليل التكلفة والسعر'!$B$2:$B$700,0)),"")</f>
        <v>320</v>
      </c>
      <c r="D32" s="12" t="n">
        <f aca="false">IFERROR(INDEX('تحليل التكلفة والسعر'!$I$2:$I$700,MATCH("فطيرة ميكس بسطرمة وسدق بالكيري حجم اكبر",'تحليل التكلفة والسعر'!$B$2:$B$700,0)),"")</f>
        <v>0.501713125</v>
      </c>
      <c r="E32" s="21"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21"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437</v>
      </c>
      <c r="C33" s="13" t="n">
        <f aca="false">IFERROR(INDEX('تحليل التكلفة والسعر'!$D$2:$D$700,MATCH("فطيرة مشكل جبن وسط",'تحليل التكلفة والسعر'!$B$2:$B$700,0)),"")</f>
        <v>135</v>
      </c>
      <c r="D33" s="12" t="n">
        <f aca="false">IFERROR(INDEX('تحليل التكلفة والسعر'!$I$2:$I$700,MATCH("فطيرة مشكل جبن وسط",'تحليل التكلفة والسعر'!$B$2:$B$700,0)),"")</f>
        <v>0.407571111111111</v>
      </c>
      <c r="E33" s="21"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21"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452</v>
      </c>
      <c r="C34" s="13" t="n">
        <f aca="false">IFERROR(INDEX('تحليل التكلفة والسعر'!$D$2:$D$700,MATCH("فطيرة مشكل جبن حجم اكبر",'تحليل التكلفة والسعر'!$B$2:$B$700,0)),"")</f>
        <v>200</v>
      </c>
      <c r="D34" s="12" t="n">
        <f aca="false">IFERROR(INDEX('تحليل التكلفة والسعر'!$I$2:$I$700,MATCH("فطيرة مشكل جبن حجم اكبر",'تحليل التكلفة والسعر'!$B$2:$B$700,0)),"")</f>
        <v>0.4271855</v>
      </c>
      <c r="E34" s="21"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21"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391</v>
      </c>
      <c r="C35" s="13" t="n">
        <f aca="false">IFERROR(INDEX('تحليل التكلفة والسعر'!$D$2:$D$700,MATCH("فطيرة فراخ رانش وسط",'تحليل التكلفة والسعر'!$B$2:$B$700,0)),"")</f>
        <v>150</v>
      </c>
      <c r="D35" s="12" t="n">
        <f aca="false">IFERROR(INDEX('تحليل التكلفة والسعر'!$I$2:$I$700,MATCH("فطيرة فراخ رانش وسط",'تحليل التكلفة والسعر'!$B$2:$B$700,0)),"")</f>
        <v>0.476741333333333</v>
      </c>
      <c r="E35" s="21"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21"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377</v>
      </c>
      <c r="C36" s="13" t="n">
        <f aca="false">IFERROR(INDEX('تحليل التكلفة والسعر'!$D$2:$D$700,MATCH("فطيرة فراخ رانش حجم اكبر",'تحليل التكلفة والسعر'!$B$2:$B$700,0)),"")</f>
        <v>240</v>
      </c>
      <c r="D36" s="12" t="n">
        <f aca="false">IFERROR(INDEX('تحليل التكلفة والسعر'!$I$2:$I$700,MATCH("فطيرة فراخ رانش حجم اكبر",'تحليل التكلفة والسعر'!$B$2:$B$700,0)),"")</f>
        <v>0.5391725</v>
      </c>
      <c r="E36" s="21"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21"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393</v>
      </c>
      <c r="C37" s="13" t="n">
        <f aca="false">IFERROR(INDEX('تحليل التكلفة والسعر'!$D$2:$D$700,MATCH("فطيرة فراخ باربيكيو وسط",'تحليل التكلفة والسعر'!$B$2:$B$700,0)),"")</f>
        <v>150</v>
      </c>
      <c r="D37" s="12" t="n">
        <f aca="false">IFERROR(INDEX('تحليل التكلفة والسعر'!$I$2:$I$700,MATCH("فطيرة فراخ باربيكيو وسط",'تحليل التكلفة والسعر'!$B$2:$B$700,0)),"")</f>
        <v>0.500074666666667</v>
      </c>
      <c r="E37" s="21"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21"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378</v>
      </c>
      <c r="C38" s="13" t="n">
        <f aca="false">IFERROR(INDEX('تحليل التكلفة والسعر'!$D$2:$D$700,MATCH("فطيرة فراخ باربيكيو حجم اكبر",'تحليل التكلفة والسعر'!$B$2:$B$700,0)),"")</f>
        <v>240</v>
      </c>
      <c r="D38" s="12" t="n">
        <f aca="false">IFERROR(INDEX('تحليل التكلفة والسعر'!$I$2:$I$700,MATCH("فطيرة فراخ باربيكيو حجم اكبر",'تحليل التكلفة والسعر'!$B$2:$B$700,0)),"")</f>
        <v>0.5610475</v>
      </c>
      <c r="E38" s="21"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21"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375</v>
      </c>
      <c r="C39" s="13" t="n">
        <f aca="false">IFERROR(INDEX('تحليل التكلفة والسعر'!$D$2:$D$700,MATCH("فطيرة فراخ كريسبي رانش وسط",'تحليل التكلفة والسعر'!$B$2:$B$700,0)),"")</f>
        <v>140</v>
      </c>
      <c r="D39" s="12" t="n">
        <f aca="false">IFERROR(INDEX('تحليل التكلفة والسعر'!$I$2:$I$700,MATCH("فطيرة فراخ كريسبي رانش وسط",'تحليل التكلفة والسعر'!$B$2:$B$700,0)),"")</f>
        <v>0.426388571428571</v>
      </c>
      <c r="E39" s="21"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21"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322</v>
      </c>
      <c r="C40" s="13" t="n">
        <f aca="false">IFERROR(INDEX('تحليل التكلفة والسعر'!$D$2:$D$700,MATCH("فطيرة فراخ كريسبي رانش حجم اكبر",'تحليل التكلفة والسعر'!$B$2:$B$700,0)),"")</f>
        <v>220</v>
      </c>
      <c r="D40" s="12" t="n">
        <f aca="false">IFERROR(INDEX('تحليل التكلفة والسعر'!$I$2:$I$700,MATCH("فطيرة فراخ كريسبي رانش حجم اكبر",'تحليل التكلفة والسعر'!$B$2:$B$700,0)),"")</f>
        <v>0.559588181818182</v>
      </c>
      <c r="E40" s="21"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21"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389</v>
      </c>
      <c r="C41" s="13" t="n">
        <f aca="false">IFERROR(INDEX('تحليل التكلفة والسعر'!$D$2:$D$700,MATCH("فطيرة فراخ كريسبي شيدر وسط",'تحليل التكلفة والسعر'!$B$2:$B$700,0)),"")</f>
        <v>140</v>
      </c>
      <c r="D41" s="12" t="n">
        <f aca="false">IFERROR(INDEX('تحليل التكلفة والسعر'!$I$2:$I$700,MATCH("فطيرة فراخ كريسبي شيدر وسط",'تحليل التكلفة والسعر'!$B$2:$B$700,0)),"")</f>
        <v>0.401388571428571</v>
      </c>
      <c r="E41" s="21"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21"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327</v>
      </c>
      <c r="C42" s="13" t="n">
        <f aca="false">IFERROR(INDEX('تحليل التكلفة والسعر'!$D$2:$D$700,MATCH("فطيرة فراخ كريسبي شيدر حجم اكبر",'تحليل التكلفة والسعر'!$B$2:$B$700,0)),"")</f>
        <v>220</v>
      </c>
      <c r="D42" s="12" t="n">
        <f aca="false">IFERROR(INDEX('تحليل التكلفة والسعر'!$I$2:$I$700,MATCH("فطيرة فراخ كريسبي شيدر حجم اكبر",'تحليل التكلفة والسعر'!$B$2:$B$700,0)),"")</f>
        <v>0.535724545454546</v>
      </c>
      <c r="E42" s="21"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21"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409</v>
      </c>
      <c r="C43" s="13" t="n">
        <f aca="false">IFERROR(INDEX('تحليل التكلفة والسعر'!$D$2:$D$700,MATCH("فطيرة مشكل لحوم النكش وسط",'تحليل التكلفة والسعر'!$B$2:$B$700,0)),"")</f>
        <v>220</v>
      </c>
      <c r="D43" s="12" t="n">
        <f aca="false">IFERROR(INDEX('تحليل التكلفة والسعر'!$I$2:$I$700,MATCH("فطيرة مشكل لحوم النكش وسط",'تحليل التكلفة والسعر'!$B$2:$B$700,0)),"")</f>
        <v>0.435327727272727</v>
      </c>
      <c r="E43" s="21"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21"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406</v>
      </c>
      <c r="C44" s="13" t="n">
        <f aca="false">IFERROR(INDEX('تحليل التكلفة والسعر'!$D$2:$D$700,MATCH("فطيرة مشكل لحوم النكش حجم اكبر",'تحليل التكلفة والسعر'!$B$2:$B$700,0)),"")</f>
        <v>330</v>
      </c>
      <c r="D44" s="12" t="n">
        <f aca="false">IFERROR(INDEX('تحليل التكلفة والسعر'!$I$2:$I$700,MATCH("فطيرة مشكل لحوم النكش حجم اكبر",'تحليل التكلفة والسعر'!$B$2:$B$700,0)),"")</f>
        <v>0.516812727272727</v>
      </c>
      <c r="E44" s="21"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21"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390</v>
      </c>
      <c r="C45" s="13" t="n">
        <f aca="false">IFERROR(INDEX('تحليل التكلفة والسعر'!$D$2:$D$700,MATCH("فطيرة مشلتت بالسمنة البلدي صغير",'تحليل التكلفة والسعر'!$B$2:$B$700,0)),"")</f>
        <v>60</v>
      </c>
      <c r="D45" s="12" t="n">
        <f aca="false">IFERROR(INDEX('تحليل التكلفة والسعر'!$I$2:$I$700,MATCH("فطيرة مشلتت بالسمنة البلدي صغير",'تحليل التكلفة والسعر'!$B$2:$B$700,0)),"")</f>
        <v>0.288368333333333</v>
      </c>
      <c r="E45" s="21"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21"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398</v>
      </c>
      <c r="C46" s="13" t="n">
        <f aca="false">IFERROR(INDEX('تحليل التكلفة والسعر'!$D$2:$D$700,MATCH("فطيرة مشلتت بالسمنة البلدي وسط",'تحليل التكلفة والسعر'!$B$2:$B$700,0)),"")</f>
        <v>100</v>
      </c>
      <c r="D46" s="12" t="n">
        <f aca="false">IFERROR(INDEX('تحليل التكلفة والسعر'!$I$2:$I$700,MATCH("فطيرة مشلتت بالسمنة البلدي وسط",'تحليل التكلفة والسعر'!$B$2:$B$700,0)),"")</f>
        <v>0.357021</v>
      </c>
      <c r="E46" s="21"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21"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404</v>
      </c>
      <c r="C47" s="13" t="n">
        <f aca="false">IFERROR(INDEX('تحليل التكلفة والسعر'!$D$2:$D$700,MATCH("فطيرة مشلتت بالسمنة البلدي كبير",'تحليل التكلفة والسعر'!$B$2:$B$700,0)),"")</f>
        <v>160</v>
      </c>
      <c r="D47" s="12" t="n">
        <f aca="false">IFERROR(INDEX('تحليل التكلفة والسعر'!$I$2:$I$700,MATCH("فطيرة مشلتت بالسمنة البلدي كبير",'تحليل التكلفة والسعر'!$B$2:$B$700,0)),"")</f>
        <v>0.438138125</v>
      </c>
      <c r="E47" s="21"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21"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430</v>
      </c>
      <c r="C48" s="13" t="n">
        <f aca="false">IFERROR(INDEX('تحليل التكلفة والسعر'!$D$2:$D$700,MATCH("فطيرة جمبري وسط",'تحليل التكلفة والسعر'!$B$2:$B$700,0)),"")</f>
        <v>240</v>
      </c>
      <c r="D48" s="12" t="n">
        <f aca="false">IFERROR(INDEX('تحليل التكلفة والسعر'!$I$2:$I$700,MATCH("فطيرة جمبري وسط",'تحليل التكلفة والسعر'!$B$2:$B$700,0)),"")</f>
        <v>0.461550416666667</v>
      </c>
      <c r="E48" s="21"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21"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419</v>
      </c>
      <c r="C49" s="13" t="n">
        <f aca="false">IFERROR(INDEX('تحليل التكلفة والسعر'!$D$2:$D$700,MATCH("فطيرة جمبري حجم اكبر",'تحليل التكلفة والسعر'!$B$2:$B$700,0)),"")</f>
        <v>350</v>
      </c>
      <c r="D49" s="12" t="n">
        <f aca="false">IFERROR(INDEX('تحليل التكلفة والسعر'!$I$2:$I$700,MATCH("فطيرة جمبري حجم اكبر",'تحليل التكلفة والسعر'!$B$2:$B$700,0)),"")</f>
        <v>0.459820285714286</v>
      </c>
      <c r="E49" s="21"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21"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365</v>
      </c>
      <c r="C50" s="13" t="n">
        <f aca="false">IFERROR(INDEX('تحليل التكلفة والسعر'!$D$2:$D$700,MATCH("فطيرة سكر / كاستر",'تحليل التكلفة والسعر'!$B$2:$B$700,0)),"")</f>
        <v>40</v>
      </c>
      <c r="D50" s="12" t="n">
        <f aca="false">IFERROR(INDEX('تحليل التكلفة والسعر'!$I$2:$I$700,MATCH("فطيرة سكر / كاستر",'تحليل التكلفة والسعر'!$B$2:$B$700,0)),"")</f>
        <v>0.497559075</v>
      </c>
      <c r="E50" s="21"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21"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372</v>
      </c>
      <c r="C51" s="13" t="n">
        <f aca="false">IFERROR(INDEX('تحليل التكلفة والسعر'!$D$2:$D$700,MATCH("فطيرة ملوكي زبيب وجوزهند",'تحليل التكلفة والسعر'!$B$2:$B$700,0)),"")</f>
        <v>65</v>
      </c>
      <c r="D51" s="12" t="n">
        <f aca="false">IFERROR(INDEX('تحليل التكلفة والسعر'!$I$2:$I$700,MATCH("فطيرة ملوكي زبيب وجوزهند",'تحليل التكلفة والسعر'!$B$2:$B$700,0)),"")</f>
        <v>0.3759502</v>
      </c>
      <c r="E51" s="21"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21"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340</v>
      </c>
      <c r="C52" s="13" t="n">
        <f aca="false">IFERROR(INDEX('تحليل التكلفة والسعر'!$D$2:$D$700,MATCH("فطيرة قشطة عسل مكسرات",'تحليل التكلفة والسعر'!$B$2:$B$700,0)),"")</f>
        <v>130</v>
      </c>
      <c r="D52" s="12" t="n">
        <f aca="false">IFERROR(INDEX('تحليل التكلفة والسعر'!$I$2:$I$700,MATCH("فطيرة قشطة عسل مكسرات",'تحليل التكلفة والسعر'!$B$2:$B$700,0)),"")</f>
        <v>0.391052023076923</v>
      </c>
      <c r="E52" s="21"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c r="G52" s="21"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لغز</v>
      </c>
    </row>
    <row r="53" customFormat="false" ht="15" hidden="false" customHeight="true" outlineLevel="0" collapsed="false">
      <c r="A53" s="11" t="s">
        <v>11</v>
      </c>
      <c r="B53" s="11" t="s">
        <v>331</v>
      </c>
      <c r="C53" s="13" t="n">
        <f aca="false">IFERROR(INDEX('تحليل التكلفة والسعر'!$D$2:$D$700,MATCH("فطيرة شيكولاتة",'تحليل التكلفة والسعر'!$B$2:$B$700,0)),"")</f>
        <v>90</v>
      </c>
      <c r="D53" s="12" t="n">
        <f aca="false">IFERROR(INDEX('تحليل التكلفة والسعر'!$I$2:$I$700,MATCH("فطيرة شيكولاتة",'تحليل التكلفة والسعر'!$B$2:$B$700,0)),"")</f>
        <v>0.502119311111111</v>
      </c>
      <c r="E53" s="21"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21"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358</v>
      </c>
      <c r="C54" s="13" t="n">
        <f aca="false">IFERROR(INDEX('تحليل التكلفة والسعر'!$D$2:$D$700,MATCH("فطيرة نوتيلا قشطة مكسرات",'تحليل التكلفة والسعر'!$B$2:$B$700,0)),"")</f>
        <v>250</v>
      </c>
      <c r="D54" s="12" t="n">
        <f aca="false">IFERROR(INDEX('تحليل التكلفة والسعر'!$I$2:$I$700,MATCH("فطيرة نوتيلا قشطة مكسرات",'تحليل التكلفة والسعر'!$B$2:$B$700,0)),"")</f>
        <v>0.338362952</v>
      </c>
      <c r="E54" s="21"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21"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362</v>
      </c>
      <c r="C55" s="13" t="n">
        <f aca="false">IFERROR(INDEX('تحليل التكلفة والسعر'!$D$2:$D$700,MATCH("فطيرة فورسيزون ستاموني",'تحليل التكلفة والسعر'!$B$2:$B$700,0)),"")</f>
        <v>150</v>
      </c>
      <c r="D55" s="12" t="n">
        <f aca="false">IFERROR(INDEX('تحليل التكلفة والسعر'!$I$2:$I$700,MATCH("فطيرة فورسيزون ستاموني",'تحليل التكلفة والسعر'!$B$2:$B$700,0)),"")</f>
        <v>0.50347892</v>
      </c>
      <c r="E55" s="21"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21"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460</v>
      </c>
      <c r="C56" s="13" t="n">
        <f aca="false">IFERROR(INDEX('تحليل التكلفة والسعر'!$D$2:$D$700,MATCH("قنبلة برجر",'تحليل التكلفة والسعر'!$B$2:$B$700,0)),"")</f>
        <v>150</v>
      </c>
      <c r="D56" s="12" t="n">
        <f aca="false">IFERROR(INDEX('تحليل التكلفة والسعر'!$I$2:$I$700,MATCH("قنبلة برجر",'تحليل التكلفة والسعر'!$B$2:$B$700,0)),"")</f>
        <v>0.465614</v>
      </c>
      <c r="E56" s="21"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21"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434</v>
      </c>
      <c r="C57" s="13" t="n">
        <f aca="false">IFERROR(INDEX('تحليل التكلفة والسعر'!$D$2:$D$700,MATCH("قنبلة كريسبي",'تحليل التكلفة والسعر'!$B$2:$B$700,0)),"")</f>
        <v>150</v>
      </c>
      <c r="D57" s="12" t="n">
        <f aca="false">IFERROR(INDEX('تحليل التكلفة والسعر'!$I$2:$I$700,MATCH("قنبلة كريسبي",'تحليل التكلفة والسعر'!$B$2:$B$700,0)),"")</f>
        <v>0.413429333333333</v>
      </c>
      <c r="E57" s="21"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21"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442</v>
      </c>
      <c r="C58" s="13" t="n">
        <f aca="false">IFERROR(INDEX('تحليل التكلفة والسعر'!$D$2:$D$700,MATCH("بهججة بيتزا برجر",'تحليل التكلفة والسعر'!$B$2:$B$700,0)),"")</f>
        <v>160</v>
      </c>
      <c r="D58" s="12" t="n">
        <f aca="false">IFERROR(INDEX('تحليل التكلفة والسعر'!$I$2:$I$700,MATCH("بهججة بيتزا برجر",'تحليل التكلفة والسعر'!$B$2:$B$700,0)),"")</f>
        <v>0.38561775</v>
      </c>
      <c r="E58" s="21"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21"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463</v>
      </c>
      <c r="C59" s="13" t="n">
        <f aca="false">IFERROR(INDEX('تحليل التكلفة والسعر'!$D$2:$D$700,MATCH("بهججة كريسبي",'تحليل التكلفة والسعر'!$B$2:$B$700,0)),"")</f>
        <v>160</v>
      </c>
      <c r="D59" s="12" t="n">
        <f aca="false">IFERROR(INDEX('تحليل التكلفة والسعر'!$I$2:$I$700,MATCH("بهججة كريسبي",'تحليل التكلفة والسعر'!$B$2:$B$700,0)),"")</f>
        <v>0.399194625</v>
      </c>
      <c r="E59" s="21"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21"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326</v>
      </c>
      <c r="C60" s="13" t="n">
        <f aca="false">IFERROR(INDEX('تحليل التكلفة والسعر'!$D$2:$D$700,MATCH("شيكاغو بيتزا برجر",'تحليل التكلفة والسعر'!$B$2:$B$700,0)),"")</f>
        <v>320</v>
      </c>
      <c r="D60" s="12" t="n">
        <f aca="false">IFERROR(INDEX('تحليل التكلفة والسعر'!$I$2:$I$700,MATCH("شيكاغو بيتزا برجر",'تحليل التكلفة والسعر'!$B$2:$B$700,0)),"")</f>
        <v>0.4339503125</v>
      </c>
      <c r="E60" s="21"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21"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412</v>
      </c>
      <c r="C61" s="13" t="n">
        <f aca="false">IFERROR(INDEX('تحليل التكلفة والسعر'!$D$2:$D$700,MATCH("فطيررجر",'تحليل التكلفة والسعر'!$B$2:$B$700,0)),"")</f>
        <v>140</v>
      </c>
      <c r="D61" s="12" t="n">
        <f aca="false">IFERROR(INDEX('تحليل التكلفة والسعر'!$I$2:$I$700,MATCH("فطيررجر",'تحليل التكلفة والسعر'!$B$2:$B$700,0)),"")</f>
        <v>0.478443571428571</v>
      </c>
      <c r="E61" s="21"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21"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336</v>
      </c>
      <c r="C62" s="13" t="n">
        <f aca="false">IFERROR(INDEX('تحليل التكلفة والسعر'!$D$2:$D$700,MATCH("مكرونة تجرسكو (فراخ ومشروم)",'تحليل التكلفة والسعر'!$B$2:$B$700,0)),"")</f>
        <v>150</v>
      </c>
      <c r="D62" s="12" t="n">
        <f aca="false">IFERROR(INDEX('تحليل التكلفة والسعر'!$I$2:$I$700,MATCH("مكرونة تجرسكو (فراخ ومشروم)",'تحليل التكلفة والسعر'!$B$2:$B$700,0)),"")</f>
        <v>0.411942686666667</v>
      </c>
      <c r="E62" s="21"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21"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397</v>
      </c>
      <c r="C63" s="13" t="n">
        <f aca="false">IFERROR(INDEX('تحليل التكلفة والسعر'!$D$2:$D$700,MATCH("مكرونة كريسبي شيدر",'تحليل التكلفة والسعر'!$B$2:$B$700,0)),"")</f>
        <v>170</v>
      </c>
      <c r="D63" s="12" t="n">
        <f aca="false">IFERROR(INDEX('تحليل التكلفة والسعر'!$I$2:$I$700,MATCH("مكرونة كريسبي شيدر",'تحليل التكلفة والسعر'!$B$2:$B$700,0)),"")</f>
        <v>0.441451558823529</v>
      </c>
      <c r="E63" s="21"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21"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382</v>
      </c>
      <c r="C64" s="13" t="n">
        <f aca="false">IFERROR(INDEX('تحليل التكلفة والسعر'!$D$2:$D$700,MATCH("مكرونة كريسبي رانش",'تحليل التكلفة والسعر'!$B$2:$B$700,0)),"")</f>
        <v>170</v>
      </c>
      <c r="D64" s="12" t="n">
        <f aca="false">IFERROR(INDEX('تحليل التكلفة والسعر'!$I$2:$I$700,MATCH("مكرونة كريسبي رانش",'تحليل التكلفة والسعر'!$B$2:$B$700,0)),"")</f>
        <v>0.462039794117647</v>
      </c>
      <c r="E64" s="21"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21"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435</v>
      </c>
      <c r="C65" s="13" t="n">
        <f aca="false">IFERROR(INDEX('تحليل التكلفة والسعر'!$D$2:$D$700,MATCH("مكرونة جمبري",'تحليل التكلفة والسعر'!$B$2:$B$700,0)),"")</f>
        <v>250</v>
      </c>
      <c r="D65" s="12" t="n">
        <f aca="false">IFERROR(INDEX('تحليل التكلفة والسعر'!$I$2:$I$700,MATCH("مكرونة جمبري",'تحليل التكلفة والسعر'!$B$2:$B$700,0)),"")</f>
        <v>0.43849786</v>
      </c>
      <c r="E65" s="21"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21"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459</v>
      </c>
      <c r="C66" s="13" t="n">
        <f aca="false">IFERROR(INDEX('تحليل التكلفة والسعر'!$D$2:$D$700,MATCH("مكرونة صوص ابيض سدق",'تحليل التكلفة والسعر'!$B$2:$B$700,0)),"")</f>
        <v>130</v>
      </c>
      <c r="D66" s="12" t="n">
        <f aca="false">IFERROR(INDEX('تحليل التكلفة والسعر'!$I$2:$I$700,MATCH("مكرونة صوص ابيض سدق",'تحليل التكلفة والسعر'!$B$2:$B$700,0)),"")</f>
        <v>0.389418961538462</v>
      </c>
      <c r="E66" s="21"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21"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385</v>
      </c>
      <c r="C67" s="13" t="n">
        <f aca="false">IFERROR(INDEX('تحليل التكلفة والسعر'!$D$2:$D$700,MATCH("مكرونة صوص ابيض بسطرمة",'تحليل التكلفة والسعر'!$B$2:$B$700,0)),"")</f>
        <v>130</v>
      </c>
      <c r="D67" s="12" t="n">
        <f aca="false">IFERROR(INDEX('تحليل التكلفة والسعر'!$I$2:$I$700,MATCH("مكرونة صوص ابيض بسطرمة",'تحليل التكلفة والسعر'!$B$2:$B$700,0)),"")</f>
        <v>0.381726653846154</v>
      </c>
      <c r="E67" s="21"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21"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364</v>
      </c>
      <c r="C68" s="13" t="n">
        <f aca="false">IFERROR(INDEX('تحليل التكلفة والسعر'!$D$2:$D$700,MATCH("كريب فراخ كريسبي شيدر",'تحليل التكلفة والسعر'!$B$2:$B$700,0)),"")</f>
        <v>115</v>
      </c>
      <c r="D68" s="12" t="n">
        <f aca="false">IFERROR(INDEX('تحليل التكلفة والسعر'!$I$2:$I$700,MATCH("كريب فراخ كريسبي شيدر",'تحليل التكلفة والسعر'!$B$2:$B$700,0)),"")</f>
        <v>0.438547717391304</v>
      </c>
      <c r="E68" s="21"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21"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366</v>
      </c>
      <c r="C69" s="13" t="n">
        <f aca="false">IFERROR(INDEX('تحليل التكلفة والسعر'!$D$2:$D$700,MATCH("كريب مشكل فراخ",'تحليل التكلفة والسعر'!$B$2:$B$700,0)),"")</f>
        <v>115</v>
      </c>
      <c r="D69" s="12" t="n">
        <f aca="false">IFERROR(INDEX('تحليل التكلفة والسعر'!$I$2:$I$700,MATCH("كريب مشكل فراخ",'تحليل التكلفة والسعر'!$B$2:$B$700,0)),"")</f>
        <v>0.470697717391304</v>
      </c>
      <c r="E69" s="21"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21"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368</v>
      </c>
      <c r="C70" s="13" t="n">
        <f aca="false">IFERROR(INDEX('تحليل التكلفة والسعر'!$D$2:$D$700,MATCH("كريب بسطرمة",'تحليل التكلفة والسعر'!$B$2:$B$700,0)),"")</f>
        <v>100</v>
      </c>
      <c r="D70" s="12" t="n">
        <f aca="false">IFERROR(INDEX('تحليل التكلفة والسعر'!$I$2:$I$700,MATCH("كريب بسطرمة",'تحليل التكلفة والسعر'!$B$2:$B$700,0)),"")</f>
        <v>0.475662375</v>
      </c>
      <c r="E70" s="21"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21"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379</v>
      </c>
      <c r="C71" s="13" t="n">
        <f aca="false">IFERROR(INDEX('تحليل التكلفة والسعر'!$D$2:$D$700,MATCH("كريب سدق",'تحليل التكلفة والسعر'!$B$2:$B$700,0)),"")</f>
        <v>100</v>
      </c>
      <c r="D71" s="12" t="n">
        <f aca="false">IFERROR(INDEX('تحليل التكلفة والسعر'!$I$2:$I$700,MATCH("كريب سدق",'تحليل التكلفة والسعر'!$B$2:$B$700,0)),"")</f>
        <v>0.485106875</v>
      </c>
      <c r="E71" s="21"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21"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380</v>
      </c>
      <c r="C72" s="13" t="n">
        <f aca="false">IFERROR(INDEX('تحليل التكلفة والسعر'!$D$2:$D$700,MATCH("كريب فراخ باربيكيو",'تحليل التكلفة والسعر'!$B$2:$B$700,0)),"")</f>
        <v>110</v>
      </c>
      <c r="D72" s="12" t="n">
        <f aca="false">IFERROR(INDEX('تحليل التكلفة والسعر'!$I$2:$I$700,MATCH("كريب فراخ باربيكيو",'تحليل التكلفة والسعر'!$B$2:$B$700,0)),"")</f>
        <v>0.365907159090909</v>
      </c>
      <c r="E72" s="21"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21"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361</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-0.1800825</v>
      </c>
      <c r="E73" s="21"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21"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400</v>
      </c>
      <c r="C74" s="13" t="n">
        <f aca="false">IFERROR(INDEX('تحليل التكلفة والسعر'!$D$2:$D$700,MATCH("باكت بطاطس وسط",'تحليل التكلفة والسعر'!$B$2:$B$700,0)),"")</f>
        <v>30</v>
      </c>
      <c r="D74" s="12" t="n">
        <f aca="false">IFERROR(INDEX('تحليل التكلفة والسعر'!$I$2:$I$700,MATCH("باكت بطاطس وسط",'تحليل التكلفة والسعر'!$B$2:$B$700,0)),"")</f>
        <v>0.433846666666667</v>
      </c>
      <c r="E74" s="21"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21"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386</v>
      </c>
      <c r="C75" s="13" t="n">
        <f aca="false">IFERROR(INDEX('تحليل التكلفة والسعر'!$D$2:$D$700,MATCH("باكت بطاطس كبير",'تحليل التكلفة والسعر'!$B$2:$B$700,0)),"")</f>
        <v>50</v>
      </c>
      <c r="D75" s="12" t="n">
        <f aca="false">IFERROR(INDEX('تحليل التكلفة والسعر'!$I$2:$I$700,MATCH("باكت بطاطس كبير",'تحليل التكلفة والسعر'!$B$2:$B$700,0)),"")</f>
        <v>0.478808</v>
      </c>
      <c r="E75" s="21"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21"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374</v>
      </c>
      <c r="C76" s="13" t="n">
        <f aca="false">IFERROR(INDEX('تحليل التكلفة والسعر'!$D$2:$D$700,MATCH("باكت بطاطس جبنة (وسط)",'تحليل التكلفة والسعر'!$B$2:$B$700,0)),"")</f>
        <v>40</v>
      </c>
      <c r="D76" s="12" t="n">
        <f aca="false">IFERROR(INDEX('تحليل التكلفة والسعر'!$I$2:$I$700,MATCH("باكت بطاطس جبنة (وسط)",'تحليل التكلفة والسعر'!$B$2:$B$700,0)),"")</f>
        <v>0.5398275</v>
      </c>
      <c r="E76" s="21"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21"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370</v>
      </c>
      <c r="C77" s="13" t="n">
        <f aca="false">IFERROR(INDEX('تحليل التكلفة والسعر'!$D$2:$D$700,MATCH("باكت بطاطس جبنة (كبير)",'تحليل التكلفة والسعر'!$B$2:$B$700,0)),"")</f>
        <v>60</v>
      </c>
      <c r="D77" s="12" t="n">
        <f aca="false">IFERROR(INDEX('تحليل التكلفة والسعر'!$I$2:$I$700,MATCH("باكت بطاطس جبنة (كبير)",'تحليل التكلفة والسعر'!$B$2:$B$700,0)),"")</f>
        <v>0.425301666666667</v>
      </c>
      <c r="E77" s="21"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21"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321</v>
      </c>
      <c r="B78" s="11" t="s">
        <v>136</v>
      </c>
      <c r="C78" s="13" t="n">
        <f aca="false">IFERROR(INDEX('تحليل التكلفة والسعر'!$D$2:$D$700,MATCH("بيبسي كانز",'تحليل التكلفة والسعر'!$B$2:$B$700,0)),"")</f>
        <v>20</v>
      </c>
      <c r="D78" s="12" t="n">
        <f aca="false">IFERROR(INDEX('تحليل التكلفة والسعر'!$I$2:$I$700,MATCH("بيبسي كانز",'تحليل التكلفة والسعر'!$B$2:$B$700,0)),"")</f>
        <v>0.175625</v>
      </c>
      <c r="E78" s="21"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21"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321</v>
      </c>
      <c r="B79" s="11" t="s">
        <v>138</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21"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21"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401</v>
      </c>
      <c r="C80" s="13" t="n">
        <f aca="false">IFERROR(INDEX('تحليل التكلفة والسعر'!$D$2:$D$700,MATCH("بيتزا مارجريتا صيامي وسط",'تحليل التكلفة والسعر'!$B$2:$B$700,0)),"")</f>
        <v>80</v>
      </c>
      <c r="D80" s="12" t="n">
        <f aca="false">IFERROR(INDEX('تحليل التكلفة والسعر'!$I$2:$I$700,MATCH("بيتزا مارجريتا صيامي وسط",'تحليل التكلفة والسعر'!$B$2:$B$700,0)),"")</f>
        <v>0.54565125</v>
      </c>
      <c r="E80" s="21"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21"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427</v>
      </c>
      <c r="C81" s="13" t="n">
        <f aca="false">IFERROR(INDEX('تحليل التكلفة والسعر'!$D$2:$D$700,MATCH("بيتزا مارجريتا صيامي مخصوص",'تحليل التكلفة والسعر'!$B$2:$B$700,0)),"")</f>
        <v>110</v>
      </c>
      <c r="D81" s="12" t="n">
        <f aca="false">IFERROR(INDEX('تحليل التكلفة والسعر'!$I$2:$I$700,MATCH("بيتزا مارجريتا صيامي مخصوص",'تحليل التكلفة والسعر'!$B$2:$B$700,0)),"")</f>
        <v>0.553791818181818</v>
      </c>
      <c r="E81" s="21"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21"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325</v>
      </c>
      <c r="C82" s="13" t="n">
        <f aca="false">IFERROR(INDEX('تحليل التكلفة والسعر'!$D$2:$D$700,MATCH("بيتزا مشروم صيامي وسط",'تحليل التكلفة والسعر'!$B$2:$B$700,0)),"")</f>
        <v>105</v>
      </c>
      <c r="D82" s="12" t="n">
        <f aca="false">IFERROR(INDEX('تحليل التكلفة والسعر'!$I$2:$I$700,MATCH("بيتزا مشروم صيامي وسط",'تحليل التكلفة والسعر'!$B$2:$B$700,0)),"")</f>
        <v>0.509826952380952</v>
      </c>
      <c r="E82" s="21"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21"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320</v>
      </c>
      <c r="C83" s="13" t="n">
        <f aca="false">IFERROR(INDEX('تحليل التكلفة والسعر'!$D$2:$D$700,MATCH("بيتزا مشروم صيامي مخصوص",'تحليل التكلفة والسعر'!$B$2:$B$700,0)),"")</f>
        <v>160</v>
      </c>
      <c r="D83" s="12" t="n">
        <f aca="false">IFERROR(INDEX('تحليل التكلفة والسعر'!$I$2:$I$700,MATCH("بيتزا مشروم صيامي مخصوص",'تحليل التكلفة والسعر'!$B$2:$B$700,0)),"")</f>
        <v>0.55147934375</v>
      </c>
      <c r="E83" s="21"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21"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417</v>
      </c>
      <c r="C84" s="13" t="n">
        <f aca="false">IFERROR(INDEX('تحليل التكلفة والسعر'!$D$2:$D$700,MATCH("بيتزا سوسيس صيامي وسط",'تحليل التكلفة والسعر'!$B$2:$B$700,0)),"")</f>
        <v>110</v>
      </c>
      <c r="D84" s="12" t="n">
        <f aca="false">IFERROR(INDEX('تحليل التكلفة والسعر'!$I$2:$I$700,MATCH("بيتزا سوسيس صيامي وسط",'تحليل التكلفة والسعر'!$B$2:$B$700,0)),"")</f>
        <v>0.429542727272727</v>
      </c>
      <c r="E84" s="21"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21"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441</v>
      </c>
      <c r="C85" s="13" t="n">
        <f aca="false">IFERROR(INDEX('تحليل التكلفة والسعر'!$D$2:$D$700,MATCH("بيتزا سوسيس صيامي مخصوص",'تحليل التكلفة والسعر'!$B$2:$B$700,0)),"")</f>
        <v>180</v>
      </c>
      <c r="D85" s="12" t="n">
        <f aca="false">IFERROR(INDEX('تحليل التكلفة والسعر'!$I$2:$I$700,MATCH("بيتزا سوسيس صيامي مخصوص",'تحليل التكلفة والسعر'!$B$2:$B$700,0)),"")</f>
        <v>0.507297222222222</v>
      </c>
      <c r="E85" s="21"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21"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432</v>
      </c>
      <c r="C86" s="13" t="n">
        <f aca="false">IFERROR(INDEX('تحليل التكلفة والسعر'!$D$2:$D$700,MATCH("بيتزا شاورما لحم / فراخ صيامي وسط",'تحليل التكلفة والسعر'!$B$2:$B$700,0)),"")</f>
        <v>120</v>
      </c>
      <c r="D86" s="12" t="n">
        <f aca="false">IFERROR(INDEX('تحليل التكلفة والسعر'!$I$2:$I$700,MATCH("بيتزا شاورما لحم / فراخ صيامي وسط",'تحليل التكلفة والسعر'!$B$2:$B$700,0)),"")</f>
        <v>0.4413325</v>
      </c>
      <c r="E86" s="21"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21"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454</v>
      </c>
      <c r="C87" s="13" t="n">
        <f aca="false">IFERROR(INDEX('تحليل التكلفة والسعر'!$D$2:$D$700,MATCH("بيتزا شاورما لحم / فراخ صيامي مخصوص",'تحليل التكلفة والسعر'!$B$2:$B$700,0)),"")</f>
        <v>190</v>
      </c>
      <c r="D87" s="12" t="n">
        <f aca="false">IFERROR(INDEX('تحليل التكلفة والسعر'!$I$2:$I$700,MATCH("بيتزا شاورما لحم / فراخ صيامي مخصوص",'تحليل التكلفة والسعر'!$B$2:$B$700,0)),"")</f>
        <v>0.499362105263158</v>
      </c>
      <c r="E87" s="21"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21"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410</v>
      </c>
      <c r="C88" s="13" t="n">
        <f aca="false">IFERROR(INDEX('تحليل التكلفة والسعر'!$D$2:$D$700,MATCH("بيتزا مشكل جبن صيامي وسط",'تحليل التكلفة والسعر'!$B$2:$B$700,0)),"")</f>
        <v>120</v>
      </c>
      <c r="D88" s="12" t="n">
        <f aca="false">IFERROR(INDEX('تحليل التكلفة والسعر'!$I$2:$I$700,MATCH("بيتزا مشكل جبن صيامي وسط",'تحليل التكلفة والسعر'!$B$2:$B$700,0)),"")</f>
        <v>0.609600833333333</v>
      </c>
      <c r="E88" s="21"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21"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436</v>
      </c>
      <c r="C89" s="13" t="n">
        <f aca="false">IFERROR(INDEX('تحليل التكلفة والسعر'!$D$2:$D$700,MATCH("بيتزا مشكل جبن صيامي مخصوص",'تحليل التكلفة والسعر'!$B$2:$B$700,0)),"")</f>
        <v>180</v>
      </c>
      <c r="D89" s="12" t="n">
        <f aca="false">IFERROR(INDEX('تحليل التكلفة والسعر'!$I$2:$I$700,MATCH("بيتزا مشكل جبن صيامي مخصوص",'تحليل التكلفة والسعر'!$B$2:$B$700,0)),"")</f>
        <v>0.639817222222222</v>
      </c>
      <c r="E89" s="21"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21"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341</v>
      </c>
      <c r="C90" s="13" t="n">
        <f aca="false">IFERROR(INDEX('تحليل التكلفة والسعر'!$D$2:$D$700,MATCH("بيتزا فراخ باربيكيو صيامي وسط",'تحليل التكلفة والسعر'!$B$2:$B$700,0)),"")</f>
        <v>145</v>
      </c>
      <c r="D90" s="12" t="n">
        <f aca="false">IFERROR(INDEX('تحليل التكلفة والسعر'!$I$2:$I$700,MATCH("بيتزا فراخ باربيكيو صيامي وسط",'تحليل التكلفة والسعر'!$B$2:$B$700,0)),"")</f>
        <v>0.517754482758621</v>
      </c>
      <c r="E90" s="21"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21"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342</v>
      </c>
      <c r="C91" s="13" t="n">
        <f aca="false">IFERROR(INDEX('تحليل التكلفة والسعر'!$D$2:$D$700,MATCH("بيتزا فراخ باربيكيو صيامي مخصوص",'تحليل التكلفة والسعر'!$B$2:$B$700,0)),"")</f>
        <v>220</v>
      </c>
      <c r="D91" s="12" t="n">
        <f aca="false">IFERROR(INDEX('تحليل التكلفة والسعر'!$I$2:$I$700,MATCH("بيتزا فراخ باربيكيو صيامي مخصوص",'تحليل التكلفة والسعر'!$B$2:$B$700,0)),"")</f>
        <v>0.560633636363636</v>
      </c>
      <c r="E91" s="21"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21"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457</v>
      </c>
      <c r="C92" s="13" t="n">
        <f aca="false">IFERROR(INDEX('تحليل التكلفة والسعر'!$D$2:$D$700,MATCH("بيتزا جمبري صيامي وسط",'تحليل التكلفة والسعر'!$B$2:$B$700,0)),"")</f>
        <v>230</v>
      </c>
      <c r="D92" s="12" t="n">
        <f aca="false">IFERROR(INDEX('تحليل التكلفة والسعر'!$I$2:$I$700,MATCH("بيتزا جمبري صيامي وسط",'تحليل التكلفة والسعر'!$B$2:$B$700,0)),"")</f>
        <v>0.428922173913043</v>
      </c>
      <c r="E92" s="21"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21"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443</v>
      </c>
      <c r="C93" s="13" t="n">
        <f aca="false">IFERROR(INDEX('تحليل التكلفة والسعر'!$D$2:$D$700,MATCH("بيتزا جمبري صيامي مخصوص",'تحليل التكلفة والسعر'!$B$2:$B$700,0)),"")</f>
        <v>350</v>
      </c>
      <c r="D93" s="12" t="n">
        <f aca="false">IFERROR(INDEX('تحليل التكلفة والسعر'!$I$2:$I$700,MATCH("بيتزا جمبري صيامي مخصوص",'تحليل التكلفة والسعر'!$B$2:$B$700,0)),"")</f>
        <v>0.452620285714286</v>
      </c>
      <c r="E93" s="21"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21"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425</v>
      </c>
      <c r="C94" s="13" t="n">
        <f aca="false">IFERROR(INDEX('تحليل التكلفة والسعر'!$D$2:$D$700,MATCH("بيتزا تونة صيامي وسط",'تحليل التكلفة والسعر'!$B$2:$B$700,0)),"")</f>
        <v>170</v>
      </c>
      <c r="D94" s="12" t="n">
        <f aca="false">IFERROR(INDEX('تحليل التكلفة والسعر'!$I$2:$I$700,MATCH("بيتزا تونة صيامي وسط",'تحليل التكلفة والسعر'!$B$2:$B$700,0)),"")</f>
        <v>0.538953529411765</v>
      </c>
      <c r="E94" s="21"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21"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444</v>
      </c>
      <c r="C95" s="13" t="n">
        <f aca="false">IFERROR(INDEX('تحليل التكلفة والسعر'!$D$2:$D$700,MATCH("بيتزا تونة صيامي مخصوص",'تحليل التكلفة والسعر'!$B$2:$B$700,0)),"")</f>
        <v>240</v>
      </c>
      <c r="D95" s="12" t="n">
        <f aca="false">IFERROR(INDEX('تحليل التكلفة والسعر'!$I$2:$I$700,MATCH("بيتزا تونة صيامي مخصوص",'تحليل التكلفة والسعر'!$B$2:$B$700,0)),"")</f>
        <v>0.532800416666667</v>
      </c>
      <c r="E95" s="21"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21"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439</v>
      </c>
      <c r="C96" s="13" t="n">
        <f aca="false">IFERROR(INDEX('تحليل التكلفة والسعر'!$D$2:$D$700,MATCH("فطيرة خضروات صيامي وسط",'تحليل التكلفة والسعر'!$B$2:$B$700,0)),"")</f>
        <v>80</v>
      </c>
      <c r="D96" s="12" t="n">
        <f aca="false">IFERROR(INDEX('تحليل التكلفة والسعر'!$I$2:$I$700,MATCH("فطيرة خضروات صيامي وسط",'تحليل التكلفة والسعر'!$B$2:$B$700,0)),"")</f>
        <v>0.57215125</v>
      </c>
      <c r="E96" s="21"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21"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408</v>
      </c>
      <c r="C97" s="13" t="n">
        <f aca="false">IFERROR(INDEX('تحليل التكلفة والسعر'!$D$2:$D$700,MATCH("فطيرة خضروات صيامي مخصوص",'تحليل التكلفة والسعر'!$B$2:$B$700,0)),"")</f>
        <v>110</v>
      </c>
      <c r="D97" s="12" t="n">
        <f aca="false">IFERROR(INDEX('تحليل التكلفة والسعر'!$I$2:$I$700,MATCH("فطيرة خضروات صيامي مخصوص",'تحليل التكلفة والسعر'!$B$2:$B$700,0)),"")</f>
        <v>0.576700909090909</v>
      </c>
      <c r="E97" s="21"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21"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319</v>
      </c>
      <c r="C98" s="13" t="n">
        <f aca="false">IFERROR(INDEX('تحليل التكلفة والسعر'!$D$2:$D$700,MATCH("فطيرة مشروم صيامي وسط",'تحليل التكلفة والسعر'!$B$2:$B$700,0)),"")</f>
        <v>105</v>
      </c>
      <c r="D98" s="12" t="n">
        <f aca="false">IFERROR(INDEX('تحليل التكلفة والسعر'!$I$2:$I$700,MATCH("فطيرة مشروم صيامي وسط",'تحليل التكلفة والسعر'!$B$2:$B$700,0)),"")</f>
        <v>0.530017428571429</v>
      </c>
      <c r="E98" s="21"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21"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317</v>
      </c>
      <c r="C99" s="13" t="n">
        <f aca="false">IFERROR(INDEX('تحليل التكلفة والسعر'!$D$2:$D$700,MATCH("فطيرة مشروم صيامي مخصوص",'تحليل التكلفة والسعر'!$B$2:$B$700,0)),"")</f>
        <v>160</v>
      </c>
      <c r="D99" s="12" t="n">
        <f aca="false">IFERROR(INDEX('تحليل التكلفة والسعر'!$I$2:$I$700,MATCH("فطيرة مشروم صيامي مخصوص",'تحليل التكلفة والسعر'!$B$2:$B$700,0)),"")</f>
        <v>0.56722934375</v>
      </c>
      <c r="E99" s="21"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21"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451</v>
      </c>
      <c r="C100" s="13" t="n">
        <f aca="false">IFERROR(INDEX('تحليل التكلفة والسعر'!$D$2:$D$700,MATCH("فطيرة سوسيس صيامي وسط",'تحليل التكلفة والسعر'!$B$2:$B$700,0)),"")</f>
        <v>110</v>
      </c>
      <c r="D100" s="12" t="n">
        <f aca="false">IFERROR(INDEX('تحليل التكلفة والسعر'!$I$2:$I$700,MATCH("فطيرة سوسيس صيامي وسط",'تحليل التكلفة والسعر'!$B$2:$B$700,0)),"")</f>
        <v>0.448815454545455</v>
      </c>
      <c r="E100" s="21"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21"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428</v>
      </c>
      <c r="C101" s="13" t="n">
        <f aca="false">IFERROR(INDEX('تحليل التكلفة والسعر'!$D$2:$D$700,MATCH("فطيرة سوسيس صيامي مخصوص",'تحليل التكلفة والسعر'!$B$2:$B$700,0)),"")</f>
        <v>180</v>
      </c>
      <c r="D101" s="12" t="n">
        <f aca="false">IFERROR(INDEX('تحليل التكلفة والسعر'!$I$2:$I$700,MATCH("فطيرة سوسيس صيامي مخصوص",'تحليل التكلفة والسعر'!$B$2:$B$700,0)),"")</f>
        <v>0.521297222222222</v>
      </c>
      <c r="E101" s="21"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21"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440</v>
      </c>
      <c r="C102" s="13" t="n">
        <f aca="false">IFERROR(INDEX('تحليل التكلفة والسعر'!$D$2:$D$700,MATCH("فطيرة شاورما لحم / فراخ صيامي وسط",'تحليل التكلفة والسعر'!$B$2:$B$700,0)),"")</f>
        <v>120</v>
      </c>
      <c r="D102" s="12" t="n">
        <f aca="false">IFERROR(INDEX('تحليل التكلفة والسعر'!$I$2:$I$700,MATCH("فطيرة شاورما لحم / فراخ صيامي وسط",'تحليل التكلفة والسعر'!$B$2:$B$700,0)),"")</f>
        <v>0.458999166666667</v>
      </c>
      <c r="E102" s="21"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21"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421</v>
      </c>
      <c r="C103" s="13" t="n">
        <f aca="false">IFERROR(INDEX('تحليل التكلفة والسعر'!$D$2:$D$700,MATCH("فطيرة شاورما لحم / فراخ صيامي مخصوص",'تحليل التكلفة والسعر'!$B$2:$B$700,0)),"")</f>
        <v>190</v>
      </c>
      <c r="D103" s="12" t="n">
        <f aca="false">IFERROR(INDEX('تحليل التكلفة والسعر'!$I$2:$I$700,MATCH("فطيرة شاورما لحم / فراخ صيامي مخصوص",'تحليل التكلفة والسعر'!$B$2:$B$700,0)),"")</f>
        <v>0.512625263157895</v>
      </c>
      <c r="E103" s="21"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21"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447</v>
      </c>
      <c r="C104" s="13" t="n">
        <f aca="false">IFERROR(INDEX('تحليل التكلفة والسعر'!$D$2:$D$700,MATCH("فطيرة مشكل لحوم صيامي وسط",'تحليل التكلفة والسعر'!$B$2:$B$700,0)),"")</f>
        <v>150</v>
      </c>
      <c r="D104" s="12" t="n">
        <f aca="false">IFERROR(INDEX('تحليل التكلفة والسعر'!$I$2:$I$700,MATCH("فطيرة مشكل لحوم صيامي وسط",'تحليل التكلفة والسعر'!$B$2:$B$700,0)),"")</f>
        <v>0.581498666666667</v>
      </c>
      <c r="E104" s="21"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21"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423</v>
      </c>
      <c r="C105" s="13" t="n">
        <f aca="false">IFERROR(INDEX('تحليل التكلفة والسعر'!$D$2:$D$700,MATCH("فطيرة مشكل لحوم صيامي مخصوص",'تحليل التكلفة والسعر'!$B$2:$B$700,0)),"")</f>
        <v>210</v>
      </c>
      <c r="D105" s="12" t="n">
        <f aca="false">IFERROR(INDEX('تحليل التكلفة والسعر'!$I$2:$I$700,MATCH("فطيرة مشكل لحوم صيامي مخصوص",'تحليل التكلفة والسعر'!$B$2:$B$700,0)),"")</f>
        <v>0.574362619047619</v>
      </c>
      <c r="E105" s="21"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21"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446</v>
      </c>
      <c r="C106" s="13" t="n">
        <f aca="false">IFERROR(INDEX('تحليل التكلفة والسعر'!$D$2:$D$700,MATCH("فطيرة مشكل جبن صيامي وسط",'تحليل التكلفة والسعر'!$B$2:$B$700,0)),"")</f>
        <v>120</v>
      </c>
      <c r="D106" s="12" t="n">
        <f aca="false">IFERROR(INDEX('تحليل التكلفة والسعر'!$I$2:$I$700,MATCH("فطيرة مشكل جبن صيامي وسط",'تحليل التكلفة والسعر'!$B$2:$B$700,0)),"")</f>
        <v>0.6272675</v>
      </c>
      <c r="E106" s="21"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21"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415</v>
      </c>
      <c r="C107" s="13" t="n">
        <f aca="false">IFERROR(INDEX('تحليل التكلفة والسعر'!$D$2:$D$700,MATCH("فطيرة مشكل جبن صيامي مخصوص",'تحليل التكلفة والسعر'!$B$2:$B$700,0)),"")</f>
        <v>180</v>
      </c>
      <c r="D107" s="12" t="n">
        <f aca="false">IFERROR(INDEX('تحليل التكلفة والسعر'!$I$2:$I$700,MATCH("فطيرة مشكل جبن صيامي مخصوص",'تحليل التكلفة والسعر'!$B$2:$B$700,0)),"")</f>
        <v>0.653817222222222</v>
      </c>
      <c r="E107" s="21"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21"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349</v>
      </c>
      <c r="C108" s="13" t="n">
        <f aca="false">IFERROR(INDEX('تحليل التكلفة والسعر'!$D$2:$D$700,MATCH("فطيرة فراخ باربيكيو صيامي وسط",'تحليل التكلفة والسعر'!$B$2:$B$700,0)),"")</f>
        <v>145</v>
      </c>
      <c r="D108" s="12" t="n">
        <f aca="false">IFERROR(INDEX('تحليل التكلفة والسعر'!$I$2:$I$700,MATCH("فطيرة فراخ باربيكيو صيامي وسط",'تحليل التكلفة والسعر'!$B$2:$B$700,0)),"")</f>
        <v>0.532375172413793</v>
      </c>
      <c r="E108" s="21"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21"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350</v>
      </c>
      <c r="C109" s="13" t="n">
        <f aca="false">IFERROR(INDEX('تحليل التكلفة والسعر'!$D$2:$D$700,MATCH("فطيرة فراخ باربيكيو صيامي مخصوص",'تحليل التكلفة والسعر'!$B$2:$B$700,0)),"")</f>
        <v>220</v>
      </c>
      <c r="D109" s="12" t="n">
        <f aca="false">IFERROR(INDEX('تحليل التكلفة والسعر'!$I$2:$I$700,MATCH("فطيرة فراخ باربيكيو صيامي مخصوص",'تحليل التكلفة والسعر'!$B$2:$B$700,0)),"")</f>
        <v>0.572088181818182</v>
      </c>
      <c r="E109" s="21"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21"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431</v>
      </c>
      <c r="C110" s="13" t="n">
        <f aca="false">IFERROR(INDEX('تحليل التكلفة والسعر'!$D$2:$D$700,MATCH("فطيرة جمبري صيامي وسط",'تحليل التكلفة والسعر'!$B$2:$B$700,0)),"")</f>
        <v>230</v>
      </c>
      <c r="D110" s="12" t="n">
        <f aca="false">IFERROR(INDEX('تحليل التكلفة والسعر'!$I$2:$I$700,MATCH("فطيرة جمبري صيامي وسط",'تحليل التكلفة والسعر'!$B$2:$B$700,0)),"")</f>
        <v>0.438139565217391</v>
      </c>
      <c r="E110" s="21"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21"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420</v>
      </c>
      <c r="C111" s="13" t="n">
        <f aca="false">IFERROR(INDEX('تحليل التكلفة والسعر'!$D$2:$D$700,MATCH("فطيرة جمبري صيامي مخصوص",'تحليل التكلفة والسعر'!$B$2:$B$700,0)),"")</f>
        <v>350</v>
      </c>
      <c r="D111" s="12" t="n">
        <f aca="false">IFERROR(INDEX('تحليل التكلفة والسعر'!$I$2:$I$700,MATCH("فطيرة جمبري صيامي مخصوص",'تحليل التكلفة والسعر'!$B$2:$B$700,0)),"")</f>
        <v>0.459820285714286</v>
      </c>
      <c r="E111" s="21"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21"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455</v>
      </c>
      <c r="C112" s="13" t="n">
        <f aca="false">IFERROR(INDEX('تحليل التكلفة والسعر'!$D$2:$D$700,MATCH("فطيرة تونة صيامي وسط",'تحليل التكلفة والسعر'!$B$2:$B$700,0)),"")</f>
        <v>170</v>
      </c>
      <c r="D112" s="12" t="n">
        <f aca="false">IFERROR(INDEX('تحليل التكلفة والسعر'!$I$2:$I$700,MATCH("فطيرة تونة صيامي وسط",'تحليل التكلفة والسعر'!$B$2:$B$700,0)),"")</f>
        <v>0.551424117647059</v>
      </c>
      <c r="E112" s="21"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21"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438</v>
      </c>
      <c r="C113" s="13" t="n">
        <f aca="false">IFERROR(INDEX('تحليل التكلفة والسعر'!$D$2:$D$700,MATCH("فطيرة تونة صيامي مخصوص",'تحليل التكلفة والسعر'!$B$2:$B$700,0)),"")</f>
        <v>240</v>
      </c>
      <c r="D113" s="12" t="n">
        <f aca="false">IFERROR(INDEX('تحليل التكلفة والسعر'!$I$2:$I$700,MATCH("فطيرة تونة صيامي مخصوص",'تحليل التكلفة والسعر'!$B$2:$B$700,0)),"")</f>
        <v>0.543300416666667</v>
      </c>
      <c r="E113" s="21"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21"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353</v>
      </c>
      <c r="C114" s="13" t="n">
        <f aca="false">IFERROR(INDEX('تحليل التكلفة والسعر'!$D$2:$D$700,MATCH("فطيرة سكر / كاستر صيامي",'تحليل التكلفة والسعر'!$B$2:$B$700,0)),"")</f>
        <v>40</v>
      </c>
      <c r="D114" s="12" t="n">
        <f aca="false">IFERROR(INDEX('تحليل التكلفة والسعر'!$I$2:$I$700,MATCH("فطيرة سكر / كاستر صيامي",'تحليل التكلفة والسعر'!$B$2:$B$700,0)),"")</f>
        <v>0.60399075</v>
      </c>
      <c r="E114" s="21"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21"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369</v>
      </c>
      <c r="C115" s="13" t="n">
        <f aca="false">IFERROR(INDEX('تحليل التكلفة والسعر'!$D$2:$D$700,MATCH("فطيرة ملوكي زبيب وجوزهند صيامي",'تحليل التكلفة والسعر'!$B$2:$B$700,0)),"")</f>
        <v>60</v>
      </c>
      <c r="D115" s="12" t="n">
        <f aca="false">IFERROR(INDEX('تحليل التكلفة والسعر'!$I$2:$I$700,MATCH("فطيرة ملوكي زبيب وجوزهند صيامي",'تحليل التكلفة والسعر'!$B$2:$B$700,0)),"")</f>
        <v>0.3949005</v>
      </c>
      <c r="E115" s="21"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21"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329</v>
      </c>
      <c r="C116" s="13" t="n">
        <f aca="false">IFERROR(INDEX('تحليل التكلفة والسعر'!$D$2:$D$700,MATCH("فطيرة شيكولاتة صيامي",'تحليل التكلفة والسعر'!$B$2:$B$700,0)),"")</f>
        <v>90</v>
      </c>
      <c r="D116" s="12" t="n">
        <f aca="false">IFERROR(INDEX('تحليل التكلفة والسعر'!$I$2:$I$700,MATCH("فطيرة شيكولاتة صيامي",'تحليل التكلفة والسعر'!$B$2:$B$700,0)),"")</f>
        <v>0.515634444444444</v>
      </c>
      <c r="E116" s="21"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21"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422</v>
      </c>
      <c r="C117" s="13" t="n">
        <f aca="false">IFERROR(INDEX('تحليل التكلفة والسعر'!$D$2:$D$700,MATCH("فطيرة لوتس صيامي",'تحليل التكلفة والسعر'!$B$2:$B$700,0)),"")</f>
        <v>130</v>
      </c>
      <c r="D117" s="12" t="n">
        <f aca="false">IFERROR(INDEX('تحليل التكلفة والسعر'!$I$2:$I$700,MATCH("فطيرة لوتس صيامي",'تحليل التكلفة والسعر'!$B$2:$B$700,0)),"")</f>
        <v>0.667042307692308</v>
      </c>
      <c r="E117" s="21"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21"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376</v>
      </c>
      <c r="C118" s="13" t="n">
        <f aca="false">IFERROR(INDEX('تحليل التكلفة والسعر'!$D$2:$D$700,MATCH("قنبلة برجر صيامي",'تحليل التكلفة والسعر'!$B$2:$B$700,0)),"")</f>
        <v>150</v>
      </c>
      <c r="D118" s="12" t="n">
        <f aca="false">IFERROR(INDEX('تحليل التكلفة والسعر'!$I$2:$I$700,MATCH("قنبلة برجر صيامي",'تحليل التكلفة والسعر'!$B$2:$B$700,0)),"")</f>
        <v>0.593947333333333</v>
      </c>
      <c r="E118" s="21"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21"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335</v>
      </c>
      <c r="C119" s="13" t="n">
        <f aca="false">IFERROR(INDEX('تحليل التكلفة والسعر'!$D$2:$D$700,MATCH("قنبلة كريسبي صيامي",'تحليل التكلفة والسعر'!$B$2:$B$700,0)),"")</f>
        <v>150</v>
      </c>
      <c r="D119" s="12" t="n">
        <f aca="false">IFERROR(INDEX('تحليل التكلفة والسعر'!$I$2:$I$700,MATCH("قنبلة كريسبي صيامي",'تحليل التكلفة والسعر'!$B$2:$B$700,0)),"")</f>
        <v>0.548429333333333</v>
      </c>
      <c r="E119" s="21"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21"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381</v>
      </c>
      <c r="C120" s="13" t="n">
        <f aca="false">IFERROR(INDEX('تحليل التكلفة والسعر'!$D$2:$D$700,MATCH("بهججة بيتزا برجر صيامي",'تحليل التكلفة والسعر'!$B$2:$B$700,0)),"")</f>
        <v>160</v>
      </c>
      <c r="D120" s="12" t="n">
        <f aca="false">IFERROR(INDEX('تحليل التكلفة والسعر'!$I$2:$I$700,MATCH("بهججة بيتزا برجر صيامي",'تحليل التكلفة والسعر'!$B$2:$B$700,0)),"")</f>
        <v>0.564638125</v>
      </c>
      <c r="E120" s="21"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21"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337</v>
      </c>
      <c r="C121" s="13" t="n">
        <f aca="false">IFERROR(INDEX('تحليل التكلفة والسعر'!$D$2:$D$700,MATCH("بهججة كريسبي صيامي",'تحليل التكلفة والسعر'!$B$2:$B$700,0)),"")</f>
        <v>160</v>
      </c>
      <c r="D121" s="12" t="n">
        <f aca="false">IFERROR(INDEX('تحليل التكلفة والسعر'!$I$2:$I$700,MATCH("بهججة كريسبي صيامي",'تحليل التكلفة والسعر'!$B$2:$B$700,0)),"")</f>
        <v>0.521965</v>
      </c>
      <c r="E121" s="21"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21"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450</v>
      </c>
      <c r="C122" s="13" t="n">
        <f aca="false">IFERROR(INDEX('تحليل التكلفة والسعر'!$D$2:$D$700,MATCH("مكرونة صوص ابيض خضروات صيامي",'تحليل التكلفة والسعر'!$B$2:$B$700,0)),"")</f>
        <v>90</v>
      </c>
      <c r="D122" s="12" t="n">
        <f aca="false">IFERROR(INDEX('تحليل التكلفة والسعر'!$I$2:$I$700,MATCH("مكرونة صوص ابيض خضروات صيامي",'تحليل التكلفة والسعر'!$B$2:$B$700,0)),"")</f>
        <v>0.583756666666667</v>
      </c>
      <c r="E122" s="21"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21"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328</v>
      </c>
      <c r="C123" s="13" t="n">
        <f aca="false">IFERROR(INDEX('تحليل التكلفة والسعر'!$D$2:$D$700,MATCH("مكرونة مشروم صيامي",'تحليل التكلفة والسعر'!$B$2:$B$700,0)),"")</f>
        <v>120</v>
      </c>
      <c r="D123" s="12" t="n">
        <f aca="false">IFERROR(INDEX('تحليل التكلفة والسعر'!$I$2:$I$700,MATCH("مكرونة مشروم صيامي",'تحليل التكلفة والسعر'!$B$2:$B$700,0)),"")</f>
        <v>0.61221615</v>
      </c>
      <c r="E123" s="21"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21"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456</v>
      </c>
      <c r="C124" s="13" t="n">
        <f aca="false">IFERROR(INDEX('تحليل التكلفة والسعر'!$D$2:$D$700,MATCH("مكرونة سوسيس صيامي",'تحليل التكلفة والسعر'!$B$2:$B$700,0)),"")</f>
        <v>120</v>
      </c>
      <c r="D124" s="12" t="n">
        <f aca="false">IFERROR(INDEX('تحليل التكلفة والسعر'!$I$2:$I$700,MATCH("مكرونة سوسيس صيامي",'تحليل التكلفة والسعر'!$B$2:$B$700,0)),"")</f>
        <v>0.4311275</v>
      </c>
      <c r="E124" s="21"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21"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352</v>
      </c>
      <c r="C125" s="13" t="n">
        <f aca="false">IFERROR(INDEX('تحليل التكلفة والسعر'!$D$2:$D$700,MATCH("مكرونة فراخ باربيكيو صيامي",'تحليل التكلفة والسعر'!$B$2:$B$700,0)),"")</f>
        <v>150</v>
      </c>
      <c r="D125" s="12" t="n">
        <f aca="false">IFERROR(INDEX('تحليل التكلفة والسعر'!$I$2:$I$700,MATCH("مكرونة فراخ باربيكيو صيامي",'تحليل التكلفة والسعر'!$B$2:$B$700,0)),"")</f>
        <v>0.526402666666667</v>
      </c>
      <c r="E125" s="21"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21"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433</v>
      </c>
      <c r="C126" s="13" t="n">
        <f aca="false">IFERROR(INDEX('تحليل التكلفة والسعر'!$D$2:$D$700,MATCH("مكرونة جمبري صيامي",'تحليل التكلفة والسعر'!$B$2:$B$700,0)),"")</f>
        <v>250</v>
      </c>
      <c r="D126" s="12" t="n">
        <f aca="false">IFERROR(INDEX('تحليل التكلفة والسعر'!$I$2:$I$700,MATCH("مكرونة جمبري صيامي",'تحليل التكلفة والسعر'!$B$2:$B$700,0)),"")</f>
        <v>0.4701524</v>
      </c>
      <c r="E126" s="21"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21"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429</v>
      </c>
      <c r="C127" s="13" t="n">
        <f aca="false">IFERROR(INDEX('تحليل التكلفة والسعر'!$D$2:$D$700,MATCH("كريب بطاطس صيامي",'تحليل التكلفة والسعر'!$B$2:$B$700,0)),"")</f>
        <v>80</v>
      </c>
      <c r="D127" s="12" t="n">
        <f aca="false">IFERROR(INDEX('تحليل التكلفة والسعر'!$I$2:$I$700,MATCH("كريب بطاطس صيامي",'تحليل التكلفة والسعر'!$B$2:$B$700,0)),"")</f>
        <v>0.540143052083333</v>
      </c>
      <c r="E127" s="21"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21"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351</v>
      </c>
      <c r="C128" s="13" t="n">
        <f aca="false">IFERROR(INDEX('تحليل التكلفة والسعر'!$D$2:$D$700,MATCH("كريب فراخ باربيكيو صيامي",'تحليل التكلفة والسعر'!$B$2:$B$700,0)),"")</f>
        <v>115</v>
      </c>
      <c r="D128" s="12" t="n">
        <f aca="false">IFERROR(INDEX('تحليل التكلفة والسعر'!$I$2:$I$700,MATCH("كريب فراخ باربيكيو صيامي",'تحليل التكلفة والسعر'!$B$2:$B$700,0)),"")</f>
        <v>0.461815166666667</v>
      </c>
      <c r="E128" s="21"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21"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416</v>
      </c>
      <c r="C129" s="13" t="n">
        <f aca="false">IFERROR(INDEX('تحليل التكلفة والسعر'!$D$2:$D$700,MATCH("كريب سوسيس / شاورما لحم فراخ صيامي",'تحليل التكلفة والسعر'!$B$2:$B$700,0)),"")</f>
        <v>100</v>
      </c>
      <c r="D129" s="12" t="n">
        <f aca="false">IFERROR(INDEX('تحليل التكلفة والسعر'!$I$2:$I$700,MATCH("كريب سوسيس / شاورما لحم فراخ صيامي",'تحليل التكلفة والسعر'!$B$2:$B$700,0)),"")</f>
        <v>0.409389441666667</v>
      </c>
      <c r="E129" s="21"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21"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413</v>
      </c>
      <c r="C130" s="13" t="n">
        <f aca="false">IFERROR(INDEX('تحليل التكلفة والسعر'!$D$2:$D$700,MATCH("كريب جمبري صيامي",'تحليل التكلفة والسعر'!$B$2:$B$700,0)),"")</f>
        <v>180</v>
      </c>
      <c r="D130" s="12" t="n">
        <f aca="false">IFERROR(INDEX('تحليل التكلفة والسعر'!$I$2:$I$700,MATCH("كريب جمبري صيامي",'تحليل التكلفة والسعر'!$B$2:$B$700,0)),"")</f>
        <v>0.578813578703704</v>
      </c>
      <c r="E130" s="21"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21"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310</v>
      </c>
      <c r="B131" s="11" t="s">
        <v>464</v>
      </c>
      <c r="C131" s="13" t="n">
        <f aca="false">IFERROR(INDEX('تحليل التكلفة والسعر'!$D$2:$D$700,MATCH("اضافة جبنة كيري (فطير M)",'تحليل التكلفة والسعر'!$B$2:$B$700,0)),"")</f>
        <v>30.92</v>
      </c>
      <c r="D131" s="12" t="n">
        <f aca="false">IFERROR(INDEX('تحليل التكلفة والسعر'!$I$2:$I$700,MATCH("اضافة جبنة كيري (فطير M)",'تحليل التكلفة والسعر'!$B$2:$B$700,0)),"")</f>
        <v>0.517079560155239</v>
      </c>
      <c r="E131" s="21"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21"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310</v>
      </c>
      <c r="B132" s="11" t="s">
        <v>465</v>
      </c>
      <c r="C132" s="13" t="n">
        <f aca="false">IFERROR(INDEX('تحليل التكلفة والسعر'!$D$2:$D$700,MATCH("اضافة جبنة كيري (فطير L)",'تحليل التكلفة والسعر'!$B$2:$B$700,0)),"")</f>
        <v>45.56</v>
      </c>
      <c r="D132" s="12" t="n">
        <f aca="false">IFERROR(INDEX('تحليل التكلفة والسعر'!$I$2:$I$700,MATCH("اضافة جبنة كيري (فطير L)",'تحليل التكلفة والسعر'!$B$2:$B$700,0)),"")</f>
        <v>0.518615013169447</v>
      </c>
      <c r="E132" s="21"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21"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310</v>
      </c>
      <c r="B133" s="11" t="s">
        <v>466</v>
      </c>
      <c r="C133" s="13" t="n">
        <f aca="false">IFERROR(INDEX('تحليل التكلفة والسعر'!$D$2:$D$700,MATCH("اضافة جبنة كيري (بيتزا وسط)",'تحليل التكلفة والسعر'!$B$2:$B$700,0)),"")</f>
        <v>30.71</v>
      </c>
      <c r="D133" s="12" t="n">
        <f aca="false">IFERROR(INDEX('تحليل التكلفة والسعر'!$I$2:$I$700,MATCH("اضافة جبنة كيري (بيتزا وسط)",'تحليل التكلفة والسعر'!$B$2:$B$700,0)),"")</f>
        <v>0.513777271247151</v>
      </c>
      <c r="E133" s="21"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21"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310</v>
      </c>
      <c r="B134" s="11" t="s">
        <v>467</v>
      </c>
      <c r="C134" s="13" t="n">
        <f aca="false">IFERROR(INDEX('تحليل التكلفة والسعر'!$D$2:$D$700,MATCH("اضافة جبنة موتزريلا (فطير M)",'تحليل التكلفة والسعر'!$B$2:$B$700,0)),"")</f>
        <v>30.62</v>
      </c>
      <c r="D134" s="12" t="n">
        <f aca="false">IFERROR(INDEX('تحليل التكلفة والسعر'!$I$2:$I$700,MATCH("اضافة جبنة موتزريلا (فطير M)",'تحليل التكلفة والسعر'!$B$2:$B$700,0)),"")</f>
        <v>0.398043762246898</v>
      </c>
      <c r="E134" s="21"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21"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310</v>
      </c>
      <c r="B135" s="11" t="s">
        <v>468</v>
      </c>
      <c r="C135" s="13" t="n">
        <f aca="false">IFERROR(INDEX('تحليل التكلفة والسعر'!$D$2:$D$700,MATCH("اضافة جبنة موتزريلا (فطير L)",'تحليل التكلفة والسعر'!$B$2:$B$700,0)),"")</f>
        <v>45</v>
      </c>
      <c r="D135" s="12" t="n">
        <f aca="false">IFERROR(INDEX('تحليل التكلفة والسعر'!$I$2:$I$700,MATCH("اضافة جبنة موتزريلا (فطير L)",'تحليل التكلفة والسعر'!$B$2:$B$700,0)),"")</f>
        <v>0.423735555555556</v>
      </c>
      <c r="E135" s="21"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21"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310</v>
      </c>
      <c r="B136" s="11" t="s">
        <v>469</v>
      </c>
      <c r="C136" s="13" t="n">
        <f aca="false">IFERROR(INDEX('تحليل التكلفة والسعر'!$D$2:$D$700,MATCH("اضافة جبنة موتزريلا (بيتزا وسط)",'تحليل التكلفة والسعر'!$B$2:$B$700,0)),"")</f>
        <v>31.25</v>
      </c>
      <c r="D136" s="12" t="n">
        <f aca="false">IFERROR(INDEX('تحليل التكلفة والسعر'!$I$2:$I$700,MATCH("اضافة جبنة موتزريلا (بيتزا وسط)",'تحليل التكلفة والسعر'!$B$2:$B$700,0)),"")</f>
        <v>0.3301792</v>
      </c>
      <c r="E136" s="21"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21"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310</v>
      </c>
      <c r="B137" s="11" t="s">
        <v>332</v>
      </c>
      <c r="C137" s="13" t="n">
        <f aca="false">IFERROR(INDEX('تحليل التكلفة والسعر'!$D$2:$D$700,MATCH("اضافة جبنة موتزريلا (بيتزا كبير)",'تحليل التكلفة والسعر'!$B$2:$B$700,0)),"")</f>
        <v>60</v>
      </c>
      <c r="D137" s="12" t="n">
        <f aca="false">IFERROR(INDEX('تحليل التكلفة والسعر'!$I$2:$I$700,MATCH("اضافة جبنة موتزريلا (بيتزا كبير)",'تحليل التكلفة والسعر'!$B$2:$B$700,0)),"")</f>
        <v>0.544145</v>
      </c>
      <c r="E137" s="21"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21"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310</v>
      </c>
      <c r="B138" s="11" t="s">
        <v>470</v>
      </c>
      <c r="C138" s="13" t="n">
        <f aca="false">IFERROR(INDEX('تحليل التكلفة والسعر'!$D$2:$D$700,MATCH("اضافة جبنة رومي (بيتزا وسط)",'تحليل التكلفة والسعر'!$B$2:$B$700,0)),"")</f>
        <v>30</v>
      </c>
      <c r="D138" s="12" t="n">
        <f aca="false">IFERROR(INDEX('تحليل التكلفة والسعر'!$I$2:$I$700,MATCH("اضافة جبنة رومي (بيتزا وسط)",'تحليل التكلفة والسعر'!$B$2:$B$700,0)),"")</f>
        <v>0.668936666666667</v>
      </c>
      <c r="E138" s="21"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21"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310</v>
      </c>
      <c r="B139" s="11" t="s">
        <v>471</v>
      </c>
      <c r="C139" s="13" t="n">
        <f aca="false">IFERROR(INDEX('تحليل التكلفة والسعر'!$D$2:$D$700,MATCH("اضافة جبنة رومي (فطير وسط)",'تحليل التكلفة والسعر'!$B$2:$B$700,0)),"")</f>
        <v>30</v>
      </c>
      <c r="D139" s="12" t="n">
        <f aca="false">IFERROR(INDEX('تحليل التكلفة والسعر'!$I$2:$I$700,MATCH("اضافة جبنة رومي (فطير وسط)",'تحليل التكلفة والسعر'!$B$2:$B$700,0)),"")</f>
        <v>0.668936666666667</v>
      </c>
      <c r="E139" s="21"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21"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310</v>
      </c>
      <c r="B140" s="11" t="s">
        <v>472</v>
      </c>
      <c r="C140" s="13" t="n">
        <f aca="false">IFERROR(INDEX('تحليل التكلفة والسعر'!$D$2:$D$700,MATCH("اضافة جبنة رومي (فطير كبير)",'تحليل التكلفة والسعر'!$B$2:$B$700,0)),"")</f>
        <v>45</v>
      </c>
      <c r="D140" s="12" t="n">
        <f aca="false">IFERROR(INDEX('تحليل التكلفة والسعر'!$I$2:$I$700,MATCH("اضافة جبنة رومي (فطير كبير)",'تحليل التكلفة والسعر'!$B$2:$B$700,0)),"")</f>
        <v>0.679291111111111</v>
      </c>
      <c r="E140" s="21"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21"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310</v>
      </c>
      <c r="B141" s="11" t="s">
        <v>448</v>
      </c>
      <c r="C141" s="13" t="n">
        <f aca="false">IFERROR(INDEX('تحليل التكلفة والسعر'!$D$2:$D$700,MATCH("اضافة مكسرات (وسط)",'تحليل التكلفة والسعر'!$B$2:$B$700,0)),"")</f>
        <v>40</v>
      </c>
      <c r="D141" s="12" t="n">
        <f aca="false">IFERROR(INDEX('تحليل التكلفة والسعر'!$I$2:$I$700,MATCH("اضافة مكسرات (وسط)",'تحليل التكلفة والسعر'!$B$2:$B$700,0)),"")</f>
        <v>0.4017025</v>
      </c>
      <c r="E141" s="21"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21"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310</v>
      </c>
      <c r="B142" s="11" t="s">
        <v>449</v>
      </c>
      <c r="C142" s="13" t="n">
        <f aca="false">IFERROR(INDEX('تحليل التكلفة والسعر'!$D$2:$D$700,MATCH("اضافة مكسرات (كبير)",'تحليل التكلفة والسعر'!$B$2:$B$700,0)),"")</f>
        <v>80</v>
      </c>
      <c r="D142" s="12" t="n">
        <f aca="false">IFERROR(INDEX('تحليل التكلفة والسعر'!$I$2:$I$700,MATCH("اضافة مكسرات (كبير)",'تحليل التكلفة والسعر'!$B$2:$B$700,0)),"")</f>
        <v>0.41335125</v>
      </c>
      <c r="E142" s="21"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21"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310</v>
      </c>
      <c r="B143" s="11" t="s">
        <v>316</v>
      </c>
      <c r="C143" s="13" t="n">
        <f aca="false">IFERROR(INDEX('تحليل التكلفة والسعر'!$D$2:$D$700,MATCH("اضافة شيكولاتة (عام)",'تحليل التكلفة والسعر'!$B$2:$B$700,0)),"")</f>
        <v>40</v>
      </c>
      <c r="D143" s="12" t="n">
        <f aca="false">IFERROR(INDEX('تحليل التكلفة والسعر'!$I$2:$I$700,MATCH("اضافة شيكولاتة (عام)",'تحليل التكلفة والسعر'!$B$2:$B$700,0)),"")</f>
        <v>0.6517025</v>
      </c>
      <c r="E143" s="21"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21"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310</v>
      </c>
      <c r="B144" s="11" t="s">
        <v>323</v>
      </c>
      <c r="C144" s="13" t="n">
        <f aca="false">IFERROR(INDEX('تحليل التكلفة والسعر'!$D$2:$D$700,MATCH("اضافة قشطة (عام)",'تحليل التكلفة والسعر'!$B$2:$B$700,0)),"")</f>
        <v>50</v>
      </c>
      <c r="D144" s="12" t="n">
        <f aca="false">IFERROR(INDEX('تحليل التكلفة والسعر'!$I$2:$I$700,MATCH("اضافة قشطة (عام)",'تحليل التكلفة والسعر'!$B$2:$B$700,0)),"")</f>
        <v>0.481362</v>
      </c>
      <c r="E144" s="21"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21"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310</v>
      </c>
      <c r="B145" s="11" t="s">
        <v>473</v>
      </c>
      <c r="C145" s="13" t="n">
        <f aca="false">IFERROR(INDEX('تحليل التكلفة والسعر'!$D$2:$D$700,MATCH("اضافة مفروم (بيتزا وسط)",'تحليل التكلفة والسعر'!$B$2:$B$700,0)),"")</f>
        <v>50</v>
      </c>
      <c r="D145" s="12" t="n">
        <f aca="false">IFERROR(INDEX('تحليل التكلفة والسعر'!$I$2:$I$700,MATCH("اضافة مفروم (بيتزا وسط)",'تحليل التكلفة والسعر'!$B$2:$B$700,0)),"")</f>
        <v>0.561362</v>
      </c>
      <c r="E145" s="21"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21"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310</v>
      </c>
      <c r="B146" s="11" t="s">
        <v>474</v>
      </c>
      <c r="C146" s="13" t="n">
        <f aca="false">IFERROR(INDEX('تحليل التكلفة والسعر'!$D$2:$D$700,MATCH("اضافة مفروم (فطير وسط)",'تحليل التكلفة والسعر'!$B$2:$B$700,0)),"")</f>
        <v>50</v>
      </c>
      <c r="D146" s="12" t="n">
        <f aca="false">IFERROR(INDEX('تحليل التكلفة والسعر'!$I$2:$I$700,MATCH("اضافة مفروم (فطير وسط)",'تحليل التكلفة والسعر'!$B$2:$B$700,0)),"")</f>
        <v>0.561362</v>
      </c>
      <c r="E146" s="21"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21"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310</v>
      </c>
      <c r="B147" s="11" t="s">
        <v>475</v>
      </c>
      <c r="C147" s="13" t="n">
        <f aca="false">IFERROR(INDEX('تحليل التكلفة والسعر'!$D$2:$D$700,MATCH("اضافة سدق (بيتزا وسط)",'تحليل التكلفة والسعر'!$B$2:$B$700,0)),"")</f>
        <v>70</v>
      </c>
      <c r="D147" s="12" t="n">
        <f aca="false">IFERROR(INDEX('تحليل التكلفة والسعر'!$I$2:$I$700,MATCH("اضافة سدق (بيتزا وسط)",'تحليل التكلفة والسعر'!$B$2:$B$700,0)),"")</f>
        <v>0.500972857142857</v>
      </c>
      <c r="E147" s="21"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21"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310</v>
      </c>
      <c r="B148" s="11" t="s">
        <v>476</v>
      </c>
      <c r="C148" s="13" t="n">
        <f aca="false">IFERROR(INDEX('تحليل التكلفة والسعر'!$D$2:$D$700,MATCH("اضافة سدق (فطير وسط)",'تحليل التكلفة والسعر'!$B$2:$B$700,0)),"")</f>
        <v>73.33</v>
      </c>
      <c r="D148" s="12" t="n">
        <f aca="false">IFERROR(INDEX('تحليل التكلفة والسعر'!$I$2:$I$700,MATCH("اضافة سدق (فطير وسط)",'تحليل التكلفة والسعر'!$B$2:$B$700,0)),"")</f>
        <v>0.52363425610255</v>
      </c>
      <c r="E148" s="21"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21"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310</v>
      </c>
      <c r="B149" s="11" t="s">
        <v>367</v>
      </c>
      <c r="C149" s="13" t="n">
        <f aca="false">IFERROR(INDEX('تحليل التكلفة والسعر'!$D$2:$D$700,MATCH("اضافة سدق (فطير كبير)",'تحليل التكلفة والسعر'!$B$2:$B$700,0)),"")</f>
        <v>90</v>
      </c>
      <c r="D149" s="12" t="n">
        <f aca="false">IFERROR(INDEX('تحليل التكلفة والسعر'!$I$2:$I$700,MATCH("اضافة سدق (فطير كبير)",'تحليل التكلفة والسعر'!$B$2:$B$700,0)),"")</f>
        <v>0.489645555555556</v>
      </c>
      <c r="E149" s="21"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21"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310</v>
      </c>
      <c r="B150" s="11" t="s">
        <v>344</v>
      </c>
      <c r="C150" s="13" t="n">
        <f aca="false">IFERROR(INDEX('تحليل التكلفة والسعر'!$D$2:$D$700,MATCH("اضافة بسطرمة (بيتزا وسط)",'تحليل التكلفة والسعر'!$B$2:$B$700,0)),"")</f>
        <v>70</v>
      </c>
      <c r="D150" s="12" t="n">
        <f aca="false">IFERROR(INDEX('تحليل التكلفة والسعر'!$I$2:$I$700,MATCH("اضافة بسطرمة (بيتزا وسط)",'تحليل التكلفة والسعر'!$B$2:$B$700,0)),"")</f>
        <v>0.486687142857143</v>
      </c>
      <c r="E150" s="21"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21"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310</v>
      </c>
      <c r="B151" s="11" t="s">
        <v>345</v>
      </c>
      <c r="C151" s="13" t="n">
        <f aca="false">IFERROR(INDEX('تحليل التكلفة والسعر'!$D$2:$D$700,MATCH("اضافة بسطرمة (فطير وسط)",'تحليل التكلفة والسعر'!$B$2:$B$700,0)),"")</f>
        <v>70</v>
      </c>
      <c r="D151" s="12" t="n">
        <f aca="false">IFERROR(INDEX('تحليل التكلفة والسعر'!$I$2:$I$700,MATCH("اضافة بسطرمة (فطير وسط)",'تحليل التكلفة والسعر'!$B$2:$B$700,0)),"")</f>
        <v>0.486687142857143</v>
      </c>
      <c r="E151" s="21"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21"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310</v>
      </c>
      <c r="B152" s="11" t="s">
        <v>330</v>
      </c>
      <c r="C152" s="13" t="n">
        <f aca="false">IFERROR(INDEX('تحليل التكلفة والسعر'!$D$2:$D$700,MATCH("اضافة بسطرمة (فطير كبير)",'تحليل التكلفة والسعر'!$B$2:$B$700,0)),"")</f>
        <v>90</v>
      </c>
      <c r="D152" s="12" t="n">
        <f aca="false">IFERROR(INDEX('تحليل التكلفة والسعر'!$I$2:$I$700,MATCH("اضافة بسطرمة (فطير كبير)",'تحليل التكلفة والسعر'!$B$2:$B$700,0)),"")</f>
        <v>0.468657777777778</v>
      </c>
      <c r="E152" s="21"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21"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310</v>
      </c>
      <c r="B153" s="11" t="s">
        <v>343</v>
      </c>
      <c r="C153" s="13" t="n">
        <f aca="false">IFERROR(INDEX('تحليل التكلفة والسعر'!$D$2:$D$700,MATCH("اضافة سلامي (بيتزا وسط)",'تحليل التكلفة والسعر'!$B$2:$B$700,0)),"")</f>
        <v>50</v>
      </c>
      <c r="D153" s="12" t="n">
        <f aca="false">IFERROR(INDEX('تحليل التكلفة والسعر'!$I$2:$I$700,MATCH("اضافة سلامي (بيتزا وسط)",'تحليل التكلفة والسعر'!$B$2:$B$700,0)),"")</f>
        <v>0.438478</v>
      </c>
      <c r="E153" s="21"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21"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310</v>
      </c>
      <c r="B154" s="11" t="s">
        <v>462</v>
      </c>
      <c r="C154" s="13" t="n">
        <f aca="false">IFERROR(INDEX('تحليل التكلفة والسعر'!$D$2:$D$700,MATCH("اضافة تونة (بيتزا وسط)",'تحليل التكلفة والسعر'!$B$2:$B$700,0)),"")</f>
        <v>70</v>
      </c>
      <c r="D154" s="12" t="n">
        <f aca="false">IFERROR(INDEX('تحليل التكلفة والسعر'!$I$2:$I$700,MATCH("اضافة تونة (بيتزا وسط)",'تحليل التكلفة والسعر'!$B$2:$B$700,0)),"")</f>
        <v>0.386258571428571</v>
      </c>
      <c r="E154" s="21"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21"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310</v>
      </c>
      <c r="B155" s="11" t="s">
        <v>426</v>
      </c>
      <c r="C155" s="13" t="n">
        <f aca="false">IFERROR(INDEX('تحليل التكلفة والسعر'!$D$2:$D$700,MATCH("اضافة جمبري (بيتزا وسط)",'تحليل التكلفة والسعر'!$B$2:$B$700,0)),"")</f>
        <v>130</v>
      </c>
      <c r="D155" s="12" t="n">
        <f aca="false">IFERROR(INDEX('تحليل التكلفة والسعر'!$I$2:$I$700,MATCH("اضافة جمبري (بيتزا وسط)",'تحليل التكلفة والسعر'!$B$2:$B$700,0)),"")</f>
        <v>0.262062307692308</v>
      </c>
      <c r="E155" s="21"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21"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310</v>
      </c>
      <c r="B156" s="11" t="s">
        <v>363</v>
      </c>
      <c r="C156" s="13" t="n">
        <f aca="false">IFERROR(INDEX('تحليل التكلفة والسعر'!$D$2:$D$700,MATCH("اضافة فراخ جريل (بيتزا وسط)",'تحليل التكلفة والسعر'!$B$2:$B$700,0)),"")</f>
        <v>70</v>
      </c>
      <c r="D156" s="12" t="n">
        <f aca="false">IFERROR(INDEX('تحليل التكلفة والسعر'!$I$2:$I$700,MATCH("اضافة فراخ جريل (بيتزا وسط)",'تحليل التكلفة والسعر'!$B$2:$B$700,0)),"")</f>
        <v>0.504388571428571</v>
      </c>
      <c r="E156" s="21"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21"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310</v>
      </c>
      <c r="B157" s="11" t="s">
        <v>346</v>
      </c>
      <c r="C157" s="13" t="n">
        <f aca="false">IFERROR(INDEX('تحليل التكلفة والسعر'!$D$2:$D$700,MATCH("اضافة فراخ جريل (بيتزا كبير)",'تحليل التكلفة والسعر'!$B$2:$B$700,0)),"")</f>
        <v>120</v>
      </c>
      <c r="D157" s="12" t="n">
        <f aca="false">IFERROR(INDEX('تحليل التكلفة والسعر'!$I$2:$I$700,MATCH("اضافة فراخ جريل (بيتزا كبير)",'تحليل التكلفة والسعر'!$B$2:$B$700,0)),"")</f>
        <v>0.589853333333333</v>
      </c>
      <c r="E157" s="21"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21"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310</v>
      </c>
      <c r="B158" s="11" t="s">
        <v>347</v>
      </c>
      <c r="C158" s="13" t="n">
        <f aca="false">IFERROR(INDEX('تحليل التكلفة والسعر'!$D$2:$D$700,MATCH("اضافة فراخ جريل (فطير كبير)",'تحليل التكلفة والسعر'!$B$2:$B$700,0)),"")</f>
        <v>120</v>
      </c>
      <c r="D158" s="12" t="n">
        <f aca="false">IFERROR(INDEX('تحليل التكلفة والسعر'!$I$2:$I$700,MATCH("اضافة فراخ جريل (فطير كبير)",'تحليل التكلفة والسعر'!$B$2:$B$700,0)),"")</f>
        <v>0.589853333333333</v>
      </c>
      <c r="E158" s="21"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21"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310</v>
      </c>
      <c r="B159" s="11" t="s">
        <v>338</v>
      </c>
      <c r="C159" s="13" t="n">
        <f aca="false">IFERROR(INDEX('تحليل التكلفة والسعر'!$D$2:$D$700,MATCH("اضافة فراخ كريسبي (بيتزا وسط)",'تحليل التكلفة والسعر'!$B$2:$B$700,0)),"")</f>
        <v>90</v>
      </c>
      <c r="D159" s="12" t="n">
        <f aca="false">IFERROR(INDEX('تحليل التكلفة والسعر'!$I$2:$I$700,MATCH("اضافة فراخ كريسبي (بيتزا وسط)",'تحليل التكلفة والسعر'!$B$2:$B$700,0)),"")</f>
        <v>0.656312222222222</v>
      </c>
      <c r="E159" s="21"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21"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310</v>
      </c>
      <c r="B160" s="11" t="s">
        <v>339</v>
      </c>
      <c r="C160" s="13" t="n">
        <f aca="false">IFERROR(INDEX('تحليل التكلفة والسعر'!$D$2:$D$700,MATCH("اضافة فراخ كريسبي (فطير وسط)",'تحليل التكلفة والسعر'!$B$2:$B$700,0)),"")</f>
        <v>70</v>
      </c>
      <c r="D160" s="12" t="n">
        <f aca="false">IFERROR(INDEX('تحليل التكلفة والسعر'!$I$2:$I$700,MATCH("اضافة فراخ كريسبي (فطير وسط)",'تحليل التكلفة والسعر'!$B$2:$B$700,0)),"")</f>
        <v>0.558115714285714</v>
      </c>
      <c r="E160" s="21"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21"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310</v>
      </c>
      <c r="B161" s="11" t="s">
        <v>315</v>
      </c>
      <c r="C161" s="13" t="n">
        <f aca="false">IFERROR(INDEX('تحليل التكلفة والسعر'!$D$2:$D$700,MATCH("اضافة فراخ كريسبي (فطير كبير)",'تحليل التكلفة والسعر'!$B$2:$B$700,0)),"")</f>
        <v>120</v>
      </c>
      <c r="D161" s="12" t="n">
        <f aca="false">IFERROR(INDEX('تحليل التكلفة والسعر'!$I$2:$I$700,MATCH("اضافة فراخ كريسبي (فطير كبير)",'تحليل التكلفة والسعر'!$B$2:$B$700,0)),"")</f>
        <v>0.7505675</v>
      </c>
      <c r="E161" s="21"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21"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310</v>
      </c>
      <c r="B162" s="11" t="s">
        <v>311</v>
      </c>
      <c r="C162" s="13" t="n">
        <f aca="false">IFERROR(INDEX('تحليل التكلفة والسعر'!$D$2:$D$700,MATCH("اضافة مشروم (بيتزا وسط)",'تحليل التكلفة والسعر'!$B$2:$B$700,0)),"")</f>
        <v>30</v>
      </c>
      <c r="D162" s="12" t="n">
        <f aca="false">IFERROR(INDEX('تحليل التكلفة والسعر'!$I$2:$I$700,MATCH("اضافة مشروم (بيتزا وسط)",'تحليل التكلفة والسعر'!$B$2:$B$700,0)),"")</f>
        <v>0.666531266666667</v>
      </c>
      <c r="E162" s="21"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21"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310</v>
      </c>
      <c r="B163" s="11" t="s">
        <v>312</v>
      </c>
      <c r="C163" s="13" t="n">
        <f aca="false">IFERROR(INDEX('تحليل التكلفة والسعر'!$D$2:$D$700,MATCH("اضافة مشروم (بيتزا كبير)",'تحليل التكلفة والسعر'!$B$2:$B$700,0)),"")</f>
        <v>45</v>
      </c>
      <c r="D163" s="12" t="n">
        <f aca="false">IFERROR(INDEX('تحليل التكلفة والسعر'!$I$2:$I$700,MATCH("اضافة مشروم (بيتزا كبير)",'تحليل التكلفة والسعر'!$B$2:$B$700,0)),"")</f>
        <v>0.676885711111111</v>
      </c>
      <c r="E163" s="21"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21"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310</v>
      </c>
      <c r="B164" s="11" t="s">
        <v>313</v>
      </c>
      <c r="C164" s="13" t="n">
        <f aca="false">IFERROR(INDEX('تحليل التكلفة والسعر'!$D$2:$D$700,MATCH("اضافة مشروم (فطير وسط)",'تحليل التكلفة والسعر'!$B$2:$B$700,0)),"")</f>
        <v>30</v>
      </c>
      <c r="D164" s="12" t="n">
        <f aca="false">IFERROR(INDEX('تحليل التكلفة والسعر'!$I$2:$I$700,MATCH("اضافة مشروم (فطير وسط)",'تحليل التكلفة والسعر'!$B$2:$B$700,0)),"")</f>
        <v>0.666531266666667</v>
      </c>
      <c r="E164" s="21"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21"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310</v>
      </c>
      <c r="B165" s="11" t="s">
        <v>314</v>
      </c>
      <c r="C165" s="13" t="n">
        <f aca="false">IFERROR(INDEX('تحليل التكلفة والسعر'!$D$2:$D$700,MATCH("اضافة مشروم (فطير كبير)",'تحليل التكلفة والسعر'!$B$2:$B$700,0)),"")</f>
        <v>45</v>
      </c>
      <c r="D165" s="12" t="n">
        <f aca="false">IFERROR(INDEX('تحليل التكلفة والسعر'!$I$2:$I$700,MATCH("اضافة مشروم (فطير كبير)",'تحليل التكلفة والسعر'!$B$2:$B$700,0)),"")</f>
        <v>0.676885711111111</v>
      </c>
      <c r="E165" s="21"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21"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310</v>
      </c>
      <c r="B166" s="11" t="s">
        <v>477</v>
      </c>
      <c r="C166" s="13" t="n">
        <f aca="false">IFERROR(INDEX('تحليل التكلفة والسعر'!$D$2:$D$700,MATCH("إضافة وش بيتزا (مخصوص) (وسط)",'تحليل التكلفة والسعر'!$B$2:$B$700,0)),"")</f>
        <v>30.83</v>
      </c>
      <c r="D166" s="12" t="n">
        <f aca="false">IFERROR(INDEX('تحليل التكلفة والسعر'!$I$2:$I$700,MATCH("إضافة وش بيتزا (مخصوص) (وسط)",'تحليل التكلفة والسعر'!$B$2:$B$700,0)),"")</f>
        <v>0.321054168018164</v>
      </c>
      <c r="E166" s="21"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21"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310</v>
      </c>
      <c r="B167" s="11" t="s">
        <v>333</v>
      </c>
      <c r="C167" s="13" t="n">
        <f aca="false">IFERROR(INDEX('تحليل التكلفة والسعر'!$D$2:$D$700,MATCH("إضافة وش بيتزا (مخصوص) (كبير)",'تحليل التكلفة والسعر'!$B$2:$B$700,0)),"")</f>
        <v>45</v>
      </c>
      <c r="D167" s="12" t="n">
        <f aca="false">IFERROR(INDEX('تحليل التكلفة والسعر'!$I$2:$I$700,MATCH("إضافة وش بيتزا (مخصوص) (كبير)",'تحليل التكلفة والسعر'!$B$2:$B$700,0)),"")</f>
        <v>0.392193333333333</v>
      </c>
      <c r="E167" s="21"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21"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310</v>
      </c>
      <c r="B168" s="11" t="s">
        <v>478</v>
      </c>
      <c r="C168" s="13" t="n">
        <f aca="false">IFERROR(INDEX('تحليل التكلفة والسعر'!$D$2:$D$700,MATCH("اضافة حشو للاطراف (Small)",'تحليل التكلفة والسعر'!$B$2:$B$700,0)),"")</f>
        <v>40</v>
      </c>
      <c r="D168" s="12" t="n">
        <f aca="false">IFERROR(INDEX('تحليل التكلفة والسعر'!$I$2:$I$700,MATCH("اضافة حشو للاطراف (Small)",'تحليل التكلفة والسعر'!$B$2:$B$700,0)),"")</f>
        <v>0.7267025</v>
      </c>
      <c r="E168" s="21"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21"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310</v>
      </c>
      <c r="B169" s="11" t="s">
        <v>334</v>
      </c>
      <c r="C169" s="13" t="n">
        <f aca="false">IFERROR(INDEX('تحليل التكلفة والسعر'!$D$2:$D$700,MATCH("اضافة حشو للاطراف (Medium)",'تحليل التكلفة والسعر'!$B$2:$B$700,0)),"")</f>
        <v>56.25</v>
      </c>
      <c r="D169" s="12" t="n">
        <f aca="false">IFERROR(INDEX('تحليل التكلفة والسعر'!$I$2:$I$700,MATCH("اضافة حشو للاطراف (Medium)",'تحليل التكلفة والسعر'!$B$2:$B$700,0)),"")</f>
        <v>0.631174222222222</v>
      </c>
      <c r="E169" s="21"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21"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310</v>
      </c>
      <c r="B170" s="11" t="s">
        <v>479</v>
      </c>
      <c r="C170" s="13" t="n">
        <f aca="false">IFERROR(INDEX('تحليل التكلفة والسعر'!$D$2:$D$700,MATCH("صوص رانش إضافي (M)",'تحليل التكلفة والسعر'!$B$2:$B$700,0)),"")</f>
        <v>21.47</v>
      </c>
      <c r="D170" s="12" t="n">
        <f aca="false">IFERROR(INDEX('تحليل التكلفة والسعر'!$I$2:$I$700,MATCH("صوص رانش إضافي (M)",'تحليل التكلفة والسعر'!$B$2:$B$700,0)),"")</f>
        <v>0.46754075454122</v>
      </c>
      <c r="E170" s="21"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21"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310</v>
      </c>
      <c r="B171" s="11" t="s">
        <v>480</v>
      </c>
      <c r="C171" s="13" t="n">
        <f aca="false">IFERROR(INDEX('تحليل التكلفة والسعر'!$D$2:$D$700,MATCH("صوص رانش إضافي (L)",'تحليل التكلفة والسعر'!$B$2:$B$700,0)),"")</f>
        <v>31.25</v>
      </c>
      <c r="D171" s="12" t="n">
        <f aca="false">IFERROR(INDEX('تحليل التكلفة والسعر'!$I$2:$I$700,MATCH("صوص رانش إضافي (L)",'تحليل التكلفة والسعر'!$B$2:$B$700,0)),"")</f>
        <v>0.4661792</v>
      </c>
      <c r="E171" s="21"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21"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310</v>
      </c>
      <c r="B172" s="11" t="s">
        <v>359</v>
      </c>
      <c r="C172" s="13" t="n">
        <f aca="false">IFERROR(INDEX('تحليل التكلفة والسعر'!$D$2:$D$700,MATCH("صوص شيدر إضافي (M)",'تحليل التكلفة والسعر'!$B$2:$B$700,0)),"")</f>
        <v>23.93</v>
      </c>
      <c r="D172" s="12" t="n">
        <f aca="false">IFERROR(INDEX('تحليل التكلفة والسعر'!$I$2:$I$700,MATCH("صوص شيدر إضافي (M)",'تحليل التكلفة والسعر'!$B$2:$B$700,0)),"")</f>
        <v>0.376017551190974</v>
      </c>
      <c r="E172" s="21"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21"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310</v>
      </c>
      <c r="B173" s="11" t="s">
        <v>360</v>
      </c>
      <c r="C173" s="13" t="n">
        <f aca="false">IFERROR(INDEX('تحليل التكلفة والسعر'!$D$2:$D$700,MATCH("صوص شيدر إضافي (L)",'تحليل التكلفة والسعر'!$B$2:$B$700,0)),"")</f>
        <v>38.57</v>
      </c>
      <c r="D173" s="12" t="n">
        <f aca="false">IFERROR(INDEX('تحليل التكلفة والسعر'!$I$2:$I$700,MATCH("صوص شيدر إضافي (L)",'تحليل التكلفة والسعر'!$B$2:$B$700,0)),"")</f>
        <v>0.431374124967591</v>
      </c>
      <c r="E173" s="21"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21"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310</v>
      </c>
      <c r="B174" s="11" t="s">
        <v>387</v>
      </c>
      <c r="C174" s="13" t="n">
        <f aca="false">IFERROR(INDEX('تحليل التكلفة والسعر'!$D$2:$D$700,MATCH("صوص باربيكيو إضافي (M)",'تحليل التكلفة والسعر'!$B$2:$B$700,0)),"")</f>
        <v>24.5</v>
      </c>
      <c r="D174" s="12" t="n">
        <f aca="false">IFERROR(INDEX('تحليل التكلفة والسعر'!$I$2:$I$700,MATCH("صوص باربيكيو إضافي (M)",'تحليل التكلفة والسعر'!$B$2:$B$700,0)),"")</f>
        <v>0.676248979591837</v>
      </c>
      <c r="E174" s="21"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21"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310</v>
      </c>
      <c r="B175" s="11" t="s">
        <v>388</v>
      </c>
      <c r="C175" s="13" t="n">
        <f aca="false">IFERROR(INDEX('تحليل التكلفة والسعر'!$D$2:$D$700,MATCH("صوص باربيكيو إضافي (L)",'تحليل التكلفة والسعر'!$B$2:$B$700,0)),"")</f>
        <v>30</v>
      </c>
      <c r="D175" s="12" t="n">
        <f aca="false">IFERROR(INDEX('تحليل التكلفة والسعر'!$I$2:$I$700,MATCH("صوص باربيكيو إضافي (L)",'تحليل التكلفة والسعر'!$B$2:$B$700,0)),"")</f>
        <v>0.618936666666667</v>
      </c>
      <c r="E175" s="21"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21"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7">
      <formula>F5="⭐ نجم"</formula>
    </cfRule>
    <cfRule type="expression" priority="3" aboveAverage="0" equalAverage="0" bottom="0" percent="0" rank="0" text="" dxfId="8">
      <formula>F5="🐎 حصان عمل"</formula>
    </cfRule>
    <cfRule type="expression" priority="4" aboveAverage="0" equalAverage="0" bottom="0" percent="0" rank="0" text="" dxfId="13">
      <formula>F5="🧩 لغز"</formula>
    </cfRule>
    <cfRule type="expression" priority="5" aboveAverage="0" equalAverage="0" bottom="0" percent="0" rank="0" text="" dxfId="9">
      <formula>F5="🐶 كلب"</formula>
    </cfRule>
  </conditionalFormatting>
  <conditionalFormatting sqref="H5:H175">
    <cfRule type="expression" priority="6" aboveAverage="0" equalAverage="0" bottom="0" percent="0" rank="0" text="" dxfId="7">
      <formula>H5="⭐ نجم"</formula>
    </cfRule>
    <cfRule type="expression" priority="7" aboveAverage="0" equalAverage="0" bottom="0" percent="0" rank="0" text="" dxfId="8">
      <formula>H5="🐎 حصان عمل"</formula>
    </cfRule>
    <cfRule type="expression" priority="8" aboveAverage="0" equalAverage="0" bottom="0" percent="0" rank="0" text="" dxfId="13">
      <formula>H5="🧩 لغز"</formula>
    </cfRule>
    <cfRule type="expression" priority="9" aboveAverage="0" equalAverage="0" bottom="0" percent="0" rank="0" text="" dxfId="9">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53" t="s">
        <v>530</v>
      </c>
      <c r="B1" s="53"/>
      <c r="C1" s="53"/>
      <c r="D1" s="53"/>
      <c r="E1" s="53"/>
    </row>
    <row r="2" customFormat="false" ht="33.75" hidden="false" customHeight="true" outlineLevel="0" collapsed="false">
      <c r="A2" s="14" t="s">
        <v>531</v>
      </c>
      <c r="B2" s="14"/>
      <c r="C2" s="14"/>
      <c r="D2" s="14"/>
      <c r="E2" s="14"/>
    </row>
    <row r="4" customFormat="false" ht="24" hidden="false" customHeight="true" outlineLevel="0" collapsed="false">
      <c r="A4" s="10" t="s">
        <v>532</v>
      </c>
      <c r="B4" s="10" t="s">
        <v>481</v>
      </c>
      <c r="C4" s="10" t="s">
        <v>533</v>
      </c>
      <c r="D4" s="10" t="s">
        <v>534</v>
      </c>
      <c r="E4" s="10" t="s">
        <v>53</v>
      </c>
    </row>
    <row r="5" customFormat="false" ht="15" hidden="false" customHeight="true" outlineLevel="0" collapsed="false">
      <c r="A5" s="19" t="s">
        <v>65</v>
      </c>
      <c r="B5" s="19" t="s">
        <v>535</v>
      </c>
      <c r="C5" s="19" t="n">
        <v>5</v>
      </c>
      <c r="D5" s="56" t="n">
        <v>360</v>
      </c>
      <c r="E5" s="57"/>
    </row>
    <row r="6" customFormat="false" ht="15" hidden="false" customHeight="true" outlineLevel="0" collapsed="false">
      <c r="A6" s="19" t="s">
        <v>165</v>
      </c>
      <c r="B6" s="19" t="s">
        <v>535</v>
      </c>
      <c r="C6" s="19" t="n">
        <v>6</v>
      </c>
      <c r="D6" s="56" t="n">
        <v>42.6</v>
      </c>
      <c r="E6" s="57"/>
    </row>
    <row r="7" customFormat="false" ht="15" hidden="false" customHeight="true" outlineLevel="0" collapsed="false">
      <c r="A7" s="19" t="s">
        <v>238</v>
      </c>
      <c r="B7" s="19" t="s">
        <v>535</v>
      </c>
      <c r="C7" s="19" t="n">
        <v>9</v>
      </c>
      <c r="D7" s="56" t="n">
        <v>45</v>
      </c>
      <c r="E7" s="57"/>
    </row>
    <row r="8" customFormat="false" ht="15" hidden="false" customHeight="true" outlineLevel="0" collapsed="false">
      <c r="A8" s="19" t="s">
        <v>240</v>
      </c>
      <c r="B8" s="19" t="s">
        <v>535</v>
      </c>
      <c r="C8" s="19" t="n">
        <v>2</v>
      </c>
      <c r="D8" s="56" t="n">
        <v>50</v>
      </c>
      <c r="E8" s="57"/>
    </row>
    <row r="9" customFormat="false" ht="15" hidden="false" customHeight="true" outlineLevel="0" collapsed="false">
      <c r="A9" s="19" t="s">
        <v>246</v>
      </c>
      <c r="B9" s="19" t="s">
        <v>535</v>
      </c>
      <c r="C9" s="19" t="n">
        <v>1</v>
      </c>
      <c r="D9" s="56" t="n">
        <v>25</v>
      </c>
      <c r="E9" s="57"/>
    </row>
    <row r="10" customFormat="false" ht="15" hidden="false" customHeight="true" outlineLevel="0" collapsed="false">
      <c r="A10" s="19" t="s">
        <v>184</v>
      </c>
      <c r="B10" s="19" t="s">
        <v>535</v>
      </c>
      <c r="C10" s="19" t="n">
        <v>65</v>
      </c>
      <c r="D10" s="56" t="n">
        <v>880</v>
      </c>
      <c r="E10" s="57"/>
    </row>
    <row r="11" customFormat="false" ht="15" hidden="false" customHeight="true" outlineLevel="0" collapsed="false">
      <c r="A11" s="19" t="s">
        <v>250</v>
      </c>
      <c r="B11" s="19" t="s">
        <v>535</v>
      </c>
      <c r="C11" s="19" t="n">
        <v>69</v>
      </c>
      <c r="D11" s="56" t="n">
        <v>621</v>
      </c>
      <c r="E11" s="57"/>
    </row>
    <row r="12" customFormat="false" ht="15" hidden="false" customHeight="true" outlineLevel="0" collapsed="false">
      <c r="A12" s="19" t="s">
        <v>221</v>
      </c>
      <c r="B12" s="19" t="s">
        <v>535</v>
      </c>
      <c r="C12" s="19" t="n">
        <v>2</v>
      </c>
      <c r="D12" s="56" t="n">
        <v>20</v>
      </c>
      <c r="E12" s="57"/>
    </row>
    <row r="13" customFormat="false" ht="15" hidden="false" customHeight="true" outlineLevel="0" collapsed="false">
      <c r="A13" s="19" t="s">
        <v>150</v>
      </c>
      <c r="B13" s="19" t="s">
        <v>536</v>
      </c>
      <c r="C13" s="19" t="n">
        <v>3</v>
      </c>
      <c r="D13" s="56" t="n">
        <v>45</v>
      </c>
      <c r="E13" s="57"/>
    </row>
    <row r="14" customFormat="false" ht="15" hidden="false" customHeight="true" outlineLevel="0" collapsed="false">
      <c r="A14" s="19" t="s">
        <v>208</v>
      </c>
      <c r="B14" s="19" t="s">
        <v>537</v>
      </c>
      <c r="C14" s="19" t="n">
        <v>200</v>
      </c>
      <c r="D14" s="56" t="n">
        <v>100</v>
      </c>
      <c r="E14" s="57"/>
    </row>
    <row r="15" customFormat="false" ht="15" hidden="false" customHeight="true" outlineLevel="0" collapsed="false">
      <c r="A15" s="19" t="s">
        <v>129</v>
      </c>
      <c r="B15" s="19" t="s">
        <v>538</v>
      </c>
      <c r="C15" s="19" t="n">
        <v>40</v>
      </c>
      <c r="D15" s="56" t="n">
        <v>1200</v>
      </c>
      <c r="E15" s="57"/>
    </row>
    <row r="16" customFormat="false" ht="15" hidden="false" customHeight="true" outlineLevel="0" collapsed="false">
      <c r="A16" s="19" t="s">
        <v>72</v>
      </c>
      <c r="B16" s="19" t="s">
        <v>538</v>
      </c>
      <c r="C16" s="19" t="n">
        <v>4</v>
      </c>
      <c r="D16" s="56" t="n">
        <v>240</v>
      </c>
      <c r="E16" s="57"/>
    </row>
    <row r="18" customFormat="false" ht="15" hidden="false" customHeight="true" outlineLevel="0" collapsed="false">
      <c r="A18" s="58" t="s">
        <v>539</v>
      </c>
      <c r="B18" s="58"/>
      <c r="C18" s="58"/>
      <c r="D18" s="59"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53" t="s">
        <v>540</v>
      </c>
      <c r="B1" s="53"/>
      <c r="C1" s="53"/>
      <c r="D1" s="53"/>
      <c r="E1" s="53"/>
      <c r="F1" s="53"/>
      <c r="G1" s="53"/>
      <c r="H1" s="53"/>
      <c r="I1" s="53"/>
    </row>
    <row r="2" customFormat="false" ht="33.75" hidden="false" customHeight="true" outlineLevel="0" collapsed="false">
      <c r="A2" s="14" t="s">
        <v>541</v>
      </c>
      <c r="B2" s="14"/>
      <c r="C2" s="14"/>
      <c r="D2" s="14"/>
      <c r="E2" s="14"/>
      <c r="F2" s="14"/>
      <c r="G2" s="14"/>
      <c r="H2" s="14"/>
      <c r="I2" s="14"/>
    </row>
    <row r="4" customFormat="false" ht="39.75" hidden="false" customHeight="true" outlineLevel="0" collapsed="false">
      <c r="A4" s="10" t="s">
        <v>517</v>
      </c>
      <c r="B4" s="10" t="s">
        <v>542</v>
      </c>
      <c r="C4" s="10" t="s">
        <v>543</v>
      </c>
      <c r="D4" s="10" t="s">
        <v>544</v>
      </c>
      <c r="E4" s="10" t="s">
        <v>545</v>
      </c>
      <c r="F4" s="10" t="s">
        <v>546</v>
      </c>
      <c r="G4" s="10" t="s">
        <v>547</v>
      </c>
      <c r="H4" s="10" t="s">
        <v>548</v>
      </c>
      <c r="I4" s="10" t="s">
        <v>549</v>
      </c>
    </row>
    <row r="5" customFormat="false" ht="15" hidden="false" customHeight="true" outlineLevel="0" collapsed="false">
      <c r="A5" s="21" t="s">
        <v>550</v>
      </c>
      <c r="B5" s="56" t="n">
        <v>0</v>
      </c>
      <c r="C5" s="60" t="n">
        <f aca="false">'لوحة التحكم'!$B$4</f>
        <v>0.51307795619249</v>
      </c>
      <c r="D5" s="61" t="n">
        <v>0.25</v>
      </c>
      <c r="E5" s="44" t="n">
        <f aca="false">'المصروفات غير المباشرة'!$D$18</f>
        <v>3628.6</v>
      </c>
      <c r="F5" s="12" t="n">
        <f aca="false">IFERROR($C5+$D5,"")</f>
        <v>0.76307795619249</v>
      </c>
      <c r="G5" s="13" t="n">
        <f aca="false">IFERROR($B5*(1-$F5)-$E5,"")</f>
        <v>-3628.6</v>
      </c>
      <c r="H5" s="44" t="n">
        <v>498293.35</v>
      </c>
      <c r="I5" s="44" t="n">
        <v>55842.02</v>
      </c>
    </row>
    <row r="6" customFormat="false" ht="15" hidden="false" customHeight="true" outlineLevel="0" collapsed="false">
      <c r="A6" s="21" t="s">
        <v>551</v>
      </c>
      <c r="B6" s="56" t="n">
        <v>0</v>
      </c>
      <c r="C6" s="61" t="n">
        <f aca="false">$C$5</f>
        <v>0.51307795619249</v>
      </c>
      <c r="D6" s="61" t="n">
        <v>0.25</v>
      </c>
      <c r="E6" s="56" t="n">
        <v>0</v>
      </c>
      <c r="F6" s="12" t="n">
        <f aca="false">IFERROR($C6+$D6,"")</f>
        <v>0.76307795619249</v>
      </c>
      <c r="G6" s="13" t="n">
        <f aca="false">IFERROR($B6*(1-$F6)-$E6,"")</f>
        <v>0</v>
      </c>
      <c r="H6" s="44" t="n">
        <v>467792.88</v>
      </c>
      <c r="I6" s="44" t="n">
        <v>67521.74</v>
      </c>
    </row>
    <row r="7" customFormat="false" ht="15" hidden="false" customHeight="true" outlineLevel="0" collapsed="false">
      <c r="A7" s="21" t="s">
        <v>552</v>
      </c>
      <c r="B7" s="56" t="n">
        <v>0</v>
      </c>
      <c r="C7" s="61" t="n">
        <f aca="false">$C$5</f>
        <v>0.51307795619249</v>
      </c>
      <c r="D7" s="61" t="n">
        <v>0.25</v>
      </c>
      <c r="E7" s="56" t="n">
        <v>0</v>
      </c>
      <c r="F7" s="12" t="n">
        <f aca="false">IFERROR($C7+$D7,"")</f>
        <v>0.76307795619249</v>
      </c>
      <c r="G7" s="13" t="n">
        <f aca="false">IFERROR($B7*(1-$F7)-$E7,"")</f>
        <v>0</v>
      </c>
      <c r="H7" s="44" t="n">
        <v>478115.01</v>
      </c>
      <c r="I7" s="44" t="n">
        <v>51512.87</v>
      </c>
    </row>
    <row r="8" customFormat="false" ht="15" hidden="false" customHeight="true" outlineLevel="0" collapsed="false">
      <c r="A8" s="21" t="s">
        <v>553</v>
      </c>
      <c r="B8" s="56" t="n">
        <v>0</v>
      </c>
      <c r="C8" s="61" t="n">
        <f aca="false">$C$5</f>
        <v>0.51307795619249</v>
      </c>
      <c r="D8" s="61" t="n">
        <v>0.25</v>
      </c>
      <c r="E8" s="56" t="n">
        <v>0</v>
      </c>
      <c r="F8" s="12" t="n">
        <f aca="false">IFERROR($C8+$D8,"")</f>
        <v>0.76307795619249</v>
      </c>
      <c r="G8" s="13" t="n">
        <f aca="false">IFERROR($B8*(1-$F8)-$E8,"")</f>
        <v>0</v>
      </c>
      <c r="H8" s="23" t="n">
        <v>0</v>
      </c>
      <c r="I8" s="23" t="n">
        <v>0</v>
      </c>
    </row>
    <row r="10" customFormat="false" ht="11.25" hidden="false" customHeight="true" outlineLevel="0" collapsed="false">
      <c r="A10" s="14" t="s">
        <v>554</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53" t="s">
        <v>555</v>
      </c>
      <c r="B1" s="53"/>
      <c r="C1" s="53"/>
    </row>
    <row r="2" customFormat="false" ht="24" hidden="false" customHeight="true" outlineLevel="0" collapsed="false">
      <c r="A2" s="14" t="s">
        <v>556</v>
      </c>
      <c r="B2" s="14"/>
      <c r="C2" s="14"/>
    </row>
    <row r="4" customFormat="false" ht="24" hidden="false" customHeight="true" outlineLevel="0" collapsed="false">
      <c r="A4" s="10" t="s">
        <v>532</v>
      </c>
      <c r="B4" s="10"/>
      <c r="C4" s="10"/>
    </row>
    <row r="5" customFormat="false" ht="15" hidden="false" customHeight="true" outlineLevel="0" collapsed="false">
      <c r="A5" s="11" t="s">
        <v>557</v>
      </c>
      <c r="B5" s="56" t="n">
        <v>0</v>
      </c>
      <c r="C5" s="62" t="str">
        <f aca="false">IFERROR($B5/$B$5,"")</f>
        <v/>
      </c>
    </row>
    <row r="6" customFormat="false" ht="15" hidden="false" customHeight="true" outlineLevel="0" collapsed="false">
      <c r="A6" s="11" t="s">
        <v>558</v>
      </c>
      <c r="B6" s="13" t="n">
        <f aca="false">IFERROR($B$5*'لوحة التحكم'!$B$4,"")</f>
        <v>0</v>
      </c>
      <c r="C6" s="62" t="str">
        <f aca="false">IFERROR($B6/$B$5,"")</f>
        <v/>
      </c>
    </row>
    <row r="7" customFormat="false" ht="15" hidden="false" customHeight="true" outlineLevel="0" collapsed="false">
      <c r="A7" s="11" t="s">
        <v>559</v>
      </c>
      <c r="B7" s="13" t="n">
        <f aca="false">IFERROR($B$5-$B$6,"")</f>
        <v>0</v>
      </c>
      <c r="C7" s="62" t="str">
        <f aca="false">IFERROR($B7/$B$5,"")</f>
        <v/>
      </c>
    </row>
    <row r="8" customFormat="false" ht="15" hidden="false" customHeight="true" outlineLevel="0" collapsed="false">
      <c r="A8" s="11" t="s">
        <v>560</v>
      </c>
      <c r="B8" s="13" t="n">
        <f aca="false">IFERROR($B$5*'مقارنة الفروع'!$D$5,"")</f>
        <v>0</v>
      </c>
      <c r="C8" s="62" t="str">
        <f aca="false">IFERROR($B8/$B$5,"")</f>
        <v/>
      </c>
    </row>
    <row r="9" customFormat="false" ht="15" hidden="false" customHeight="true" outlineLevel="0" collapsed="false">
      <c r="A9" s="11" t="s">
        <v>561</v>
      </c>
      <c r="B9" s="13" t="n">
        <f aca="false">'المصروفات غير المباشرة'!$D$18</f>
        <v>3628.6</v>
      </c>
      <c r="C9" s="62" t="str">
        <f aca="false">IFERROR($B9/$B$5,"")</f>
        <v/>
      </c>
    </row>
    <row r="10" customFormat="false" ht="15" hidden="false" customHeight="true" outlineLevel="0" collapsed="false">
      <c r="A10" s="11" t="s">
        <v>562</v>
      </c>
      <c r="B10" s="56" t="n">
        <v>0</v>
      </c>
      <c r="C10" s="62" t="str">
        <f aca="false">IFERROR($B10/$B$5,"")</f>
        <v/>
      </c>
    </row>
    <row r="11" customFormat="false" ht="15" hidden="false" customHeight="true" outlineLevel="0" collapsed="false">
      <c r="A11" s="11" t="s">
        <v>563</v>
      </c>
      <c r="B11" s="56" t="n">
        <v>0</v>
      </c>
      <c r="C11" s="62" t="str">
        <f aca="false">IFERROR($B11/$B$5,"")</f>
        <v/>
      </c>
    </row>
    <row r="12" customFormat="false" ht="15" hidden="false" customHeight="true" outlineLevel="0" collapsed="false">
      <c r="A12" s="11" t="s">
        <v>564</v>
      </c>
      <c r="B12" s="13" t="n">
        <f aca="false">IFERROR($B$5-$B$6-$B$8-$B$9-$B$10-$B$11,"")</f>
        <v>-3628.6</v>
      </c>
      <c r="C12" s="62"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53" t="s">
        <v>565</v>
      </c>
      <c r="B1" s="53"/>
      <c r="C1" s="53"/>
    </row>
    <row r="2" customFormat="false" ht="30" hidden="false" customHeight="true" outlineLevel="0" collapsed="false">
      <c r="A2" s="14" t="s">
        <v>566</v>
      </c>
      <c r="B2" s="14"/>
      <c r="C2" s="14"/>
    </row>
    <row r="4" customFormat="false" ht="24" hidden="false" customHeight="true" outlineLevel="0" collapsed="false">
      <c r="A4" s="10" t="s">
        <v>532</v>
      </c>
      <c r="B4" s="10"/>
    </row>
    <row r="5" customFormat="false" ht="15" hidden="false" customHeight="true" outlineLevel="0" collapsed="false">
      <c r="A5" s="11" t="s">
        <v>567</v>
      </c>
      <c r="B5" s="13" t="n">
        <f aca="false">'قائمة الدخل الشهرية'!$B$10</f>
        <v>0</v>
      </c>
    </row>
    <row r="6" customFormat="false" ht="15" hidden="false" customHeight="true" outlineLevel="0" collapsed="false">
      <c r="A6" s="11" t="s">
        <v>568</v>
      </c>
      <c r="B6" s="13" t="n">
        <f aca="false">'المصروفات غير المباشرة'!$D$18</f>
        <v>3628.6</v>
      </c>
    </row>
    <row r="7" customFormat="false" ht="15" hidden="false" customHeight="true" outlineLevel="0" collapsed="false">
      <c r="A7" s="11" t="s">
        <v>569</v>
      </c>
      <c r="B7" s="13" t="n">
        <f aca="false">'قائمة الدخل الشهرية'!$B$11</f>
        <v>0</v>
      </c>
    </row>
    <row r="8" customFormat="false" ht="15" hidden="false" customHeight="true" outlineLevel="0" collapsed="false">
      <c r="A8" s="11" t="s">
        <v>570</v>
      </c>
      <c r="B8" s="13" t="n">
        <f aca="false">IFERROR($B$5+$B$6+$B$7,"")</f>
        <v>3628.6</v>
      </c>
    </row>
    <row r="9" customFormat="false" ht="15" hidden="false" customHeight="true" outlineLevel="0" collapsed="false">
      <c r="A9" s="11" t="s">
        <v>571</v>
      </c>
      <c r="B9" s="12" t="n">
        <f aca="false">'لوحة التحكم'!$B$4</f>
        <v>0.51307795619249</v>
      </c>
    </row>
    <row r="10" customFormat="false" ht="15" hidden="false" customHeight="true" outlineLevel="0" collapsed="false">
      <c r="A10" s="11" t="s">
        <v>572</v>
      </c>
      <c r="B10" s="12" t="n">
        <f aca="false">'مقارنة الفروع'!$D$5</f>
        <v>0.25</v>
      </c>
    </row>
    <row r="11" customFormat="false" ht="15" hidden="false" customHeight="true" outlineLevel="0" collapsed="false">
      <c r="A11" s="11" t="s">
        <v>573</v>
      </c>
      <c r="B11" s="12" t="n">
        <f aca="false">IFERROR(1-$B$9-$B$10,"")</f>
        <v>0.23692204380751</v>
      </c>
    </row>
    <row r="12" customFormat="false" ht="15" hidden="false" customHeight="true" outlineLevel="0" collapsed="false">
      <c r="A12" s="11" t="s">
        <v>574</v>
      </c>
      <c r="B12" s="13" t="n">
        <f aca="false">IFERROR($B$8/$B$11,"")</f>
        <v>15315.5862649408</v>
      </c>
    </row>
    <row r="13" customFormat="false" ht="15" hidden="false" customHeight="true" outlineLevel="0" collapsed="false">
      <c r="A13" s="11" t="s">
        <v>575</v>
      </c>
      <c r="B13" s="13" t="n">
        <f aca="false">IFERROR($B$12/30,"")</f>
        <v>510.519542164692</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2026-10-12T23:45:07Z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